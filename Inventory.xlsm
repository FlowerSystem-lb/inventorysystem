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8_{B6B593C6-36DB-4101-8560-CC3904794BBB}" xr6:coauthVersionLast="47" xr6:coauthVersionMax="47" xr10:uidLastSave="{00000000-0000-0000-0000-000000000000}"/>
  <bookViews>
    <workbookView xWindow="2232" yWindow="1608" windowWidth="17280" windowHeight="9420"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3" i="1" l="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82" i="1"/>
  <c r="K81"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54" i="1"/>
  <c r="E53" i="1"/>
  <c r="E52"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N42" i="1"/>
  <c r="E42" i="1"/>
  <c r="E11" i="1"/>
  <c r="E6" i="1"/>
  <c r="E19" i="1"/>
  <c r="E51" i="1"/>
  <c r="P51" i="1"/>
  <c r="P3" i="1"/>
  <c r="N45" i="1"/>
  <c r="E45" i="1"/>
  <c r="O23" i="1"/>
  <c r="E23" i="1"/>
  <c r="P26" i="1"/>
  <c r="O35" i="1"/>
  <c r="O11" i="1"/>
  <c r="P37" i="1"/>
  <c r="P15" i="1"/>
  <c r="N34" i="1"/>
  <c r="O36" i="1"/>
  <c r="N22" i="1"/>
  <c r="N21" i="1"/>
  <c r="O47" i="1"/>
  <c r="P50" i="1"/>
  <c r="E50" i="1"/>
  <c r="P13" i="1"/>
  <c r="N33" i="1"/>
  <c r="P27" i="1"/>
  <c r="N46" i="1"/>
  <c r="O24" i="1"/>
  <c r="P48" i="1"/>
  <c r="E26" i="1"/>
  <c r="E2" i="1" l="1"/>
  <c r="E25" i="1"/>
  <c r="E36" i="1"/>
  <c r="E38" i="1"/>
  <c r="E29" i="1"/>
  <c r="E30" i="1"/>
  <c r="O9" i="1"/>
  <c r="E34" i="1"/>
  <c r="E10" i="1"/>
  <c r="E37" i="1"/>
  <c r="E14" i="1"/>
  <c r="E18" i="1"/>
  <c r="E21" i="1"/>
  <c r="E12" i="1"/>
  <c r="E41" i="1"/>
  <c r="N35" i="1"/>
  <c r="O46" i="1"/>
  <c r="O12" i="1"/>
  <c r="P10" i="1"/>
  <c r="N14" i="1"/>
  <c r="O44" i="1"/>
  <c r="P22" i="1"/>
  <c r="O29" i="1"/>
  <c r="N51" i="1"/>
  <c r="N32" i="1"/>
  <c r="O33" i="1"/>
  <c r="O21" i="1"/>
  <c r="O10" i="1"/>
  <c r="O31" i="1"/>
  <c r="E32" i="1"/>
  <c r="P11" i="1"/>
  <c r="N28" i="1"/>
  <c r="P44" i="1"/>
  <c r="N23" i="1"/>
  <c r="O32" i="1"/>
  <c r="O20" i="1"/>
  <c r="P30" i="1"/>
  <c r="N5" i="1"/>
  <c r="P43" i="1"/>
  <c r="O39" i="1"/>
  <c r="E28" i="1"/>
  <c r="O26" i="1"/>
  <c r="N40" i="1"/>
  <c r="O8" i="1"/>
  <c r="P31" i="1"/>
  <c r="N39" i="1"/>
  <c r="N20" i="1"/>
  <c r="P39" i="1"/>
  <c r="P40" i="1"/>
  <c r="O42" i="1"/>
  <c r="P7" i="1"/>
  <c r="N19" i="1"/>
  <c r="O28" i="1"/>
  <c r="P5" i="1"/>
  <c r="O3" i="1"/>
  <c r="E13" i="1"/>
  <c r="P23" i="1"/>
  <c r="E8" i="1"/>
  <c r="O4" i="1"/>
  <c r="P32" i="1"/>
  <c r="P38" i="1"/>
  <c r="N8" i="1"/>
  <c r="P24" i="1"/>
  <c r="E43" i="1"/>
  <c r="P18" i="1"/>
  <c r="E39" i="1"/>
  <c r="E15" i="1"/>
  <c r="P25" i="1"/>
  <c r="E40" i="1"/>
  <c r="E24" i="1"/>
  <c r="N4" i="1"/>
  <c r="P21" i="1"/>
  <c r="O45" i="1"/>
  <c r="O25" i="1"/>
  <c r="P2" i="1"/>
  <c r="E33" i="1" l="1"/>
  <c r="E27" i="1"/>
  <c r="N25" i="1"/>
  <c r="N7" i="1"/>
  <c r="N13" i="1"/>
  <c r="E20" i="1"/>
  <c r="O43" i="1"/>
  <c r="E7" i="1"/>
  <c r="O49" i="1"/>
  <c r="P46" i="1"/>
  <c r="E49" i="1"/>
  <c r="E17" i="1"/>
  <c r="E46" i="1"/>
  <c r="E47" i="1"/>
  <c r="N48" i="1"/>
  <c r="N17" i="1"/>
  <c r="E22" i="1"/>
  <c r="N47" i="1"/>
  <c r="E48" i="1"/>
  <c r="N27" i="1"/>
  <c r="O22" i="1"/>
  <c r="E3" i="1"/>
  <c r="E35" i="1"/>
  <c r="N9" i="1"/>
  <c r="E44" i="1"/>
  <c r="N44" i="1"/>
  <c r="E9" i="1"/>
  <c r="E31" i="1"/>
  <c r="P16" i="1"/>
  <c r="N3" i="1"/>
  <c r="E16" i="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<sst xmlns="http://schemas.openxmlformats.org/spreadsheetml/2006/main" count="4014" uniqueCount="3130">
  <si>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</si>
  <si>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</si>
  <si>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</si>
  <si>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</si>
  <si>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</si>
  <si>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</si>
  <si>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</si>
  <si>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</si>
  <si>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</si>
  <si>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</si>
  <si>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</si>
  <si>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</si>
  <si>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</si>
  <si>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</si>
  <si>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</si>
  <si>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</si>
  <si>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</si>
  <si>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</si>
  <si>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</si>
  <si>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</si>
  <si>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</si>
  <si>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</si>
  <si>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</si>
  <si>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</si>
  <si>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</si>
  <si>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</si>
  <si>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</si>
  <si>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</si>
  <si>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</si>
  <si>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</si>
  <si>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</si>
  <si>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</si>
  <si>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</si>
  <si>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</si>
  <si>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</si>
  <si>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</si>
  <si>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</si>
  <si>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</si>
  <si>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</si>
  <si>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</si>
  <si>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</si>
  <si>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</si>
  <si>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</si>
  <si>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</si>
  <si>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</si>
  <si>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</si>
  <si>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</si>
  <si>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</si>
  <si>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</si>
  <si>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</si>
  <si>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</si>
  <si>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</si>
  <si>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</si>
  <si>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</si>
  <si>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</si>
  <si>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</si>
  <si>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</si>
  <si>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</si>
  <si>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</si>
  <si>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</si>
  <si>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</si>
  <si>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</si>
  <si>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</si>
  <si>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</si>
  <si>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</si>
  <si>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</si>
  <si>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</si>
  <si>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</si>
  <si>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</si>
  <si>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</si>
  <si>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</si>
  <si>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</si>
  <si>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</si>
  <si>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</si>
  <si>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</si>
  <si>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</si>
  <si>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</si>
  <si>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</si>
  <si>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</si>
  <si>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</si>
  <si>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</si>
  <si>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</si>
  <si>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</si>
  <si>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</si>
  <si>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</si>
  <si>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</si>
  <si>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</si>
  <si>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</si>
  <si>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</si>
  <si>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</si>
  <si>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</si>
  <si>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</si>
  <si>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</si>
  <si>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</si>
  <si>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</si>
  <si>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</si>
  <si>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</si>
  <si>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</si>
  <si>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</si>
  <si>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</si>
  <si>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</si>
  <si>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</si>
  <si>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</si>
  <si>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</si>
  <si>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</si>
  <si>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</si>
  <si>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</si>
  <si>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</si>
  <si>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</si>
  <si>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</si>
  <si>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</si>
  <si>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</si>
  <si>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</si>
  <si>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</si>
  <si>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</si>
  <si>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</si>
  <si>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</si>
  <si>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</si>
  <si>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</si>
  <si>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</si>
  <si>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</si>
  <si>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</si>
  <si>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</si>
  <si>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</si>
  <si>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</si>
  <si>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</si>
  <si>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</si>
  <si>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</si>
  <si>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</si>
  <si>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</si>
  <si>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</si>
  <si>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</si>
  <si>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</si>
  <si>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</si>
  <si>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</si>
  <si>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</si>
  <si>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</si>
  <si>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</si>
  <si>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</si>
  <si>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</si>
  <si>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</si>
  <si>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</si>
  <si>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</si>
  <si>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</si>
  <si>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</si>
  <si>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</si>
  <si>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</si>
  <si>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</si>
  <si>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</si>
  <si>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</si>
  <si>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</si>
  <si>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</si>
  <si>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</si>
  <si>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</si>
  <si>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</si>
  <si>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</si>
  <si>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</si>
  <si>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</si>
  <si>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</si>
  <si>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</si>
  <si>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</si>
  <si>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</si>
  <si>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</si>
  <si>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</si>
  <si>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</si>
  <si>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</si>
  <si>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</si>
  <si>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</si>
  <si>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</si>
  <si>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</si>
  <si>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</si>
  <si>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</si>
  <si>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</si>
  <si>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</si>
  <si>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</si>
  <si>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</si>
  <si>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</si>
  <si>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</si>
  <si>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</si>
  <si>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</si>
  <si>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</si>
  <si>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</si>
  <si>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</si>
  <si>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</si>
  <si>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</si>
  <si>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</si>
  <si>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</si>
  <si>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</si>
  <si>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</si>
  <si>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</si>
  <si>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</si>
  <si>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</si>
  <si>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</si>
  <si>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</si>
  <si>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</si>
  <si>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</si>
  <si>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</si>
  <si>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</si>
  <si>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</si>
  <si>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</si>
  <si>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</si>
  <si>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</si>
  <si>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</si>
  <si>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</si>
  <si>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</si>
  <si>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</si>
  <si>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</si>
  <si>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</si>
  <si>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</si>
  <si>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</si>
  <si>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</si>
  <si>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</si>
  <si>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</si>
  <si>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</si>
  <si>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</si>
  <si>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</si>
  <si>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</si>
  <si>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</si>
  <si>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</si>
  <si>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</si>
  <si>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</si>
  <si>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</si>
  <si>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</si>
  <si>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</si>
  <si>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</si>
  <si>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</si>
  <si>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</si>
  <si>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</si>
  <si>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</si>
  <si>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</si>
  <si>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</si>
  <si>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</si>
  <si>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</si>
  <si>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</si>
  <si>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</si>
  <si>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</si>
  <si>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</si>
  <si>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</si>
  <si>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</si>
  <si>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</si>
  <si>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</si>
  <si>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</si>
  <si>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</si>
  <si>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</si>
  <si>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</si>
  <si>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</si>
  <si>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</si>
  <si>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</si>
  <si>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</si>
  <si>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</si>
  <si>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</si>
  <si>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</si>
  <si>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</si>
  <si>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</si>
  <si>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</si>
  <si>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</si>
  <si>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</si>
  <si>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</si>
  <si>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</si>
  <si>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</si>
  <si>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</si>
  <si>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</si>
  <si>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</si>
  <si>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</si>
  <si>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</si>
  <si>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</si>
  <si>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</si>
  <si>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</si>
  <si>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</si>
  <si>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</si>
  <si>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</si>
  <si>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</si>
  <si>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</si>
  <si>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</si>
  <si>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</si>
  <si>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</si>
  <si>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</si>
  <si>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</si>
  <si>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</si>
  <si>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</si>
  <si>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</si>
  <si>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</si>
  <si>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</si>
  <si>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</si>
  <si>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</si>
  <si>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</si>
  <si>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</si>
  <si>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</si>
  <si>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</si>
  <si>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</si>
  <si>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</si>
  <si>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</si>
  <si>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</si>
  <si>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</si>
  <si>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</si>
  <si>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</si>
  <si>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</si>
  <si>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</si>
  <si>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</si>
  <si>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</si>
  <si>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</si>
  <si>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</si>
  <si>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</si>
  <si>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</si>
  <si>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</si>
  <si>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</si>
  <si>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</si>
  <si>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</si>
  <si>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</si>
  <si>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</si>
  <si>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</si>
  <si>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</si>
  <si>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</si>
  <si>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</si>
  <si>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</si>
  <si>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</si>
  <si>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</si>
  <si>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</si>
  <si>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</si>
  <si>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</si>
  <si>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</si>
  <si>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</si>
  <si>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</si>
  <si>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</si>
  <si>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</si>
  <si>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</si>
  <si>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</si>
  <si>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</si>
  <si>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</si>
  <si>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</si>
  <si>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</si>
  <si>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</si>
  <si>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</si>
  <si>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</si>
  <si>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</si>
  <si>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</si>
  <si>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</si>
  <si>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</si>
  <si>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</si>
  <si>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</si>
  <si>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</si>
  <si>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</si>
  <si>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</si>
  <si>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</si>
  <si>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</si>
  <si>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</si>
  <si>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</si>
  <si>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</si>
  <si>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</si>
  <si>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</si>
  <si>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</si>
  <si>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</si>
  <si>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</si>
  <si>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</si>
  <si>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</si>
  <si>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</si>
  <si>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</si>
  <si>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</si>
  <si>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</si>
  <si>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</si>
  <si>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</si>
  <si>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</si>
  <si>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</si>
  <si>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</si>
  <si>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</si>
  <si>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</si>
  <si>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</si>
  <si>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</si>
  <si>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</si>
  <si>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</si>
  <si>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</si>
  <si>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</si>
  <si>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</si>
  <si>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</si>
  <si>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</si>
  <si>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</si>
  <si>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</si>
  <si>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</si>
  <si>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</si>
  <si>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</si>
  <si>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</si>
  <si>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</si>
  <si>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</si>
  <si>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</si>
  <si>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</si>
  <si>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</si>
  <si>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</si>
  <si>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</si>
  <si>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</si>
  <si>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</si>
  <si>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</si>
  <si>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</si>
  <si>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</si>
  <si>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</si>
  <si>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</si>
  <si>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</si>
  <si>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</si>
  <si>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</si>
  <si>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</si>
  <si>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</si>
  <si>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</si>
  <si>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</si>
  <si>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</si>
  <si>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</si>
  <si>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</si>
  <si>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</si>
  <si>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</si>
  <si>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</si>
  <si>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</si>
  <si>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</si>
  <si>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</si>
  <si>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</si>
  <si>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</si>
  <si>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</si>
  <si>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</si>
  <si>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</si>
  <si>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</si>
  <si>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</si>
  <si>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</si>
  <si>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</si>
  <si>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</si>
  <si>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</si>
  <si>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</si>
  <si>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</si>
  <si>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</si>
  <si>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</si>
  <si>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</si>
  <si>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</si>
  <si>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</si>
  <si>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</si>
  <si>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</si>
  <si>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</si>
  <si>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</si>
  <si>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</si>
  <si>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</si>
  <si>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</si>
  <si>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</si>
  <si>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</si>
  <si>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</si>
  <si>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</si>
  <si>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</si>
  <si>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</si>
  <si>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</si>
  <si>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</si>
  <si>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</si>
  <si>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</si>
  <si>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</si>
  <si>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</si>
  <si>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</si>
  <si>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</si>
  <si>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</si>
  <si>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</si>
  <si>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</si>
  <si>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</si>
  <si>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</si>
  <si>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</si>
  <si>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</si>
  <si>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</si>
  <si>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</si>
  <si>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</si>
  <si>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</si>
  <si>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</si>
  <si>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</si>
  <si>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</si>
  <si>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</si>
  <si>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</si>
  <si>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</si>
  <si>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</si>
  <si>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</si>
  <si>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</si>
  <si>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</si>
  <si>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</si>
  <si>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</si>
  <si>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</si>
  <si>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</si>
  <si>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</si>
  <si>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</si>
  <si>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</si>
  <si>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</si>
  <si>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</si>
  <si>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</si>
  <si>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</si>
  <si>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</si>
  <si>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</si>
  <si>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</si>
  <si>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</si>
  <si>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</si>
  <si>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</si>
  <si>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</si>
  <si>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</si>
  <si>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</si>
  <si>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</si>
  <si>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</si>
  <si>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</si>
  <si>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</si>
  <si>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</si>
  <si>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</si>
  <si>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</si>
  <si>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</si>
  <si>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</si>
  <si>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</si>
  <si>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</si>
  <si>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</si>
  <si>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</si>
  <si>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</si>
  <si>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</si>
  <si>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</si>
  <si>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</si>
  <si>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</si>
  <si>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</si>
  <si>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</si>
  <si>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</si>
  <si>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</si>
  <si>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</si>
  <si>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</si>
  <si>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</si>
  <si>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</si>
  <si>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</si>
  <si>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</si>
  <si>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</si>
  <si>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</si>
  <si>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</si>
  <si>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</si>
  <si>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</si>
  <si>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</si>
  <si>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</si>
  <si>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</si>
  <si>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</si>
  <si>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</si>
  <si>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</si>
  <si>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</si>
  <si>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</si>
  <si>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</si>
  <si>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</si>
  <si>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</si>
  <si>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</si>
  <si>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</si>
  <si>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</si>
  <si>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</si>
  <si>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</si>
  <si>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</si>
  <si>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</si>
  <si>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</si>
  <si>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</si>
  <si>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</si>
  <si>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</si>
  <si>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</si>
  <si>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</si>
  <si>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</si>
  <si>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</si>
  <si>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</si>
  <si>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</si>
  <si>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</si>
  <si>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</si>
  <si>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</si>
  <si>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</si>
  <si>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</si>
  <si>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</si>
  <si>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</si>
  <si>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</si>
  <si>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</si>
  <si>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</si>
  <si>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</si>
  <si>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</si>
  <si>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</si>
  <si>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</si>
  <si>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</si>
  <si>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</si>
  <si>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</si>
  <si>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</si>
  <si>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</si>
  <si>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</si>
  <si>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</si>
  <si>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</si>
  <si>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</si>
  <si>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</si>
  <si>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</si>
  <si>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</si>
  <si>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</si>
  <si>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</si>
  <si>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</si>
  <si>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</si>
  <si>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</si>
  <si>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</si>
  <si>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</si>
  <si>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</si>
  <si>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</si>
  <si>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</si>
  <si>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</si>
  <si>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</si>
  <si>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</si>
  <si>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</si>
  <si>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</si>
  <si>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</si>
  <si>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</si>
  <si>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</si>
  <si>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</si>
  <si>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</si>
  <si>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</si>
  <si>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</si>
  <si>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</si>
  <si>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</si>
  <si>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</si>
  <si>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</si>
  <si>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</si>
  <si>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</si>
  <si>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</si>
  <si>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</si>
  <si>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</si>
  <si>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</si>
  <si>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</si>
  <si>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</si>
  <si>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</si>
  <si>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</si>
  <si>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</si>
  <si>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</si>
  <si>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</si>
  <si>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</si>
  <si>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</si>
  <si>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</si>
  <si>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</si>
  <si>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</si>
  <si>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</si>
  <si>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</si>
  <si>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</si>
  <si>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</si>
  <si>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</si>
  <si>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</si>
  <si>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</si>
  <si>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</si>
  <si>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</si>
  <si>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</si>
  <si>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</si>
  <si>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</si>
  <si>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</si>
  <si>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</si>
  <si>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</si>
  <si>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</si>
  <si>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</si>
  <si>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</si>
  <si>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</si>
  <si>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</si>
  <si>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</si>
  <si>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</si>
  <si>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</si>
  <si>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</si>
  <si>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</si>
  <si>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</si>
  <si>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</si>
  <si>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</si>
  <si>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</si>
  <si>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</si>
  <si>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</si>
  <si>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</si>
  <si>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</si>
  <si>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</si>
  <si>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</si>
  <si>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</si>
  <si>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</si>
  <si>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</si>
  <si>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</si>
  <si>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</si>
  <si>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</si>
  <si>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</si>
  <si>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</si>
  <si>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</si>
  <si>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</si>
  <si>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</si>
  <si>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</si>
  <si>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</si>
  <si>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</si>
  <si>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</si>
  <si>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</si>
  <si>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</si>
  <si>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</si>
  <si>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</si>
  <si>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</si>
  <si>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</si>
  <si>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</si>
  <si>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</si>
  <si>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</si>
  <si>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</si>
  <si>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</si>
  <si>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</si>
  <si>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</si>
  <si>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</si>
  <si>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</si>
  <si>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</si>
  <si>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</si>
  <si>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</si>
  <si>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</si>
  <si>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</si>
  <si>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</si>
  <si>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</si>
  <si>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</si>
  <si>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</si>
  <si>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</si>
  <si>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</si>
  <si>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</si>
  <si>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</si>
  <si>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</si>
  <si>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</si>
  <si>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</si>
  <si>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</si>
  <si>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</si>
  <si>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</si>
  <si>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</si>
  <si>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</si>
  <si>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</si>
  <si>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</si>
  <si>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</si>
  <si>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</si>
  <si>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</si>
  <si>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</si>
  <si>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</si>
  <si>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</si>
  <si>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</si>
  <si>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</si>
  <si>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</si>
  <si>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</si>
  <si>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</si>
  <si>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</si>
  <si>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</si>
  <si>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</si>
  <si>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</si>
  <si>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</si>
  <si>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</si>
  <si>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</si>
  <si>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</si>
  <si>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</si>
  <si>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</si>
  <si>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</si>
  <si>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</si>
  <si>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</si>
  <si>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</si>
  <si>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</si>
  <si>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</si>
  <si>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</si>
  <si>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</si>
  <si>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</si>
  <si>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</si>
  <si>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</si>
  <si>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</si>
  <si>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</si>
  <si>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</si>
  <si>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</si>
  <si>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</si>
  <si>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</si>
  <si>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</si>
  <si>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</si>
  <si>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</si>
  <si>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</si>
  <si>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</si>
  <si>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</si>
  <si>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</si>
  <si>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</si>
  <si>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</si>
  <si>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</si>
  <si>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</si>
  <si>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</si>
  <si>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</si>
  <si>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</si>
  <si>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</si>
  <si>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</si>
  <si>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</si>
  <si>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</si>
  <si>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</si>
  <si>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</si>
  <si>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</si>
  <si>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</si>
  <si>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</si>
  <si>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</si>
  <si>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</si>
  <si>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</si>
  <si>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</si>
  <si>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</si>
  <si>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</si>
  <si>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</si>
  <si>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</si>
  <si>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</si>
  <si>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</si>
  <si>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</si>
  <si>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</si>
  <si>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</si>
  <si>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</si>
  <si>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</si>
  <si>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</si>
  <si>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</si>
  <si>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</si>
  <si>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</si>
  <si>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</si>
  <si>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</si>
  <si>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</si>
  <si>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</si>
  <si>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</si>
  <si>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</si>
  <si>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</si>
  <si>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</si>
  <si>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</si>
  <si>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</si>
  <si>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</si>
  <si>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</si>
  <si>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</si>
  <si>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</si>
  <si>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</si>
  <si>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</si>
  <si>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</si>
  <si>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</si>
  <si>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</si>
  <si>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</si>
  <si>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</si>
  <si>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</si>
  <si>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</si>
  <si>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</si>
  <si>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</si>
  <si>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</si>
  <si>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</si>
  <si>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</si>
  <si>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</si>
  <si>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</si>
  <si>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</si>
  <si>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</si>
  <si>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</si>
  <si>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</si>
  <si>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</si>
  <si>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</si>
  <si>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</si>
  <si>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</si>
  <si>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</si>
  <si>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</si>
  <si>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</si>
  <si>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</si>
  <si>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</si>
  <si>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</si>
  <si>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</si>
  <si>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</si>
  <si>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</si>
  <si>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</si>
  <si>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</si>
  <si>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</si>
  <si>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</si>
  <si>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</si>
  <si>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</si>
  <si>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</si>
  <si>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</si>
  <si>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</si>
  <si>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</si>
  <si>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</si>
  <si>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</si>
  <si>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</si>
  <si>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</si>
  <si>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</si>
  <si>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</si>
  <si>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</si>
  <si>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</si>
  <si>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</si>
  <si>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</si>
  <si>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</si>
  <si>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</si>
  <si>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</si>
  <si>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</si>
  <si>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</si>
  <si>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</si>
  <si>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</si>
  <si>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</si>
  <si>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</si>
  <si>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</si>
  <si>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</si>
  <si>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</si>
  <si>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</si>
  <si>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</si>
  <si>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</si>
  <si>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</si>
  <si>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</si>
  <si>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</si>
  <si>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</si>
  <si>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</si>
  <si>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</si>
  <si>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</si>
  <si>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</si>
  <si>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</si>
  <si>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</si>
  <si>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</si>
  <si>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</si>
  <si>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</si>
  <si>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</si>
  <si>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</si>
  <si>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</si>
  <si>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</si>
  <si>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</si>
  <si>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</si>
  <si>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</si>
  <si>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</si>
  <si>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</si>
  <si>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</si>
  <si>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</si>
  <si>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</si>
  <si>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</si>
  <si>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</si>
  <si>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</si>
  <si>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</si>
  <si>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</si>
  <si>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</si>
  <si>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</si>
  <si>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</si>
  <si>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</si>
  <si>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</si>
  <si>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</si>
  <si>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</si>
  <si>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</si>
  <si>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</si>
  <si>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</si>
  <si>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</si>
  <si>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</si>
  <si>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</si>
  <si>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</si>
  <si>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</si>
  <si>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</si>
  <si>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</si>
  <si>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</si>
  <si>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</si>
  <si>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</si>
  <si>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</si>
  <si>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</si>
  <si>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</si>
  <si>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</si>
  <si>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</si>
  <si>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</si>
  <si>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</si>
  <si>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</si>
  <si>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</si>
  <si>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</si>
  <si>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</si>
  <si>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</si>
  <si>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</si>
  <si>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</si>
  <si>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</si>
  <si>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</si>
  <si>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</si>
  <si>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</si>
  <si>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</si>
  <si>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</si>
  <si>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</si>
  <si>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</si>
  <si>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</si>
  <si>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</si>
  <si>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</si>
  <si>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</si>
  <si>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</si>
  <si>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</si>
  <si>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</si>
  <si>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</si>
  <si>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</si>
  <si>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</si>
  <si>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</si>
  <si>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</si>
  <si>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</si>
  <si>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</si>
  <si>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</si>
  <si>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</si>
  <si>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</si>
  <si>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</si>
  <si>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</si>
  <si>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</si>
  <si>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</si>
  <si>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</si>
  <si>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</si>
  <si>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</si>
  <si>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</si>
  <si>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</si>
  <si>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</si>
  <si>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</si>
  <si>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</si>
  <si>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</si>
  <si>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</si>
  <si>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</si>
  <si>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</si>
  <si>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</si>
  <si>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</si>
  <si>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</si>
  <si>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</si>
  <si>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</si>
  <si>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</si>
  <si>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</si>
  <si>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</si>
  <si>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</si>
  <si>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</si>
  <si>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</si>
  <si>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</si>
  <si>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</si>
  <si>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</si>
  <si>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</si>
  <si>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</si>
  <si>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</si>
  <si>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</si>
  <si>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</si>
  <si>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</si>
  <si>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</si>
  <si>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</si>
  <si>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</si>
  <si>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</si>
  <si>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</si>
  <si>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</si>
  <si>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</si>
  <si>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</si>
  <si>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</si>
  <si>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</si>
  <si>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</si>
  <si>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</si>
  <si>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</si>
  <si>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</si>
  <si>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</si>
  <si>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</si>
  <si>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</si>
  <si>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</si>
  <si>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</si>
  <si>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</si>
  <si>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</si>
  <si>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</si>
  <si>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</si>
  <si>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</si>
  <si>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</si>
  <si>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</si>
  <si>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</si>
  <si>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</si>
  <si>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</si>
  <si>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</si>
  <si>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</si>
  <si>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</si>
  <si>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</si>
  <si>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</si>
  <si>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</si>
  <si>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</si>
  <si>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</si>
  <si>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</si>
  <si>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</si>
  <si>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</si>
  <si>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</si>
  <si>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</si>
  <si>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</si>
  <si>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</si>
  <si>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</si>
  <si>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</si>
  <si>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</si>
  <si>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</si>
  <si>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</si>
  <si>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</si>
  <si>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</si>
  <si>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</si>
  <si>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</si>
  <si>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</si>
  <si>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</si>
  <si>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</si>
  <si>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</si>
  <si>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</si>
  <si>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</si>
  <si>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</si>
  <si>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</si>
  <si>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</si>
  <si>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</si>
  <si>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</si>
  <si>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</si>
  <si>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</si>
  <si>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</si>
  <si>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</si>
  <si>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</si>
  <si>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</si>
  <si>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</si>
  <si>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</si>
  <si>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</si>
  <si>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</si>
  <si>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</si>
  <si>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</si>
  <si>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</si>
  <si>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</si>
  <si>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</si>
  <si>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</si>
  <si>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</si>
  <si>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</si>
  <si>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</si>
  <si>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</si>
  <si>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</si>
  <si>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</si>
  <si>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</si>
  <si>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</si>
  <si>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</si>
  <si>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</si>
  <si>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</si>
  <si>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</si>
  <si>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</si>
  <si>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</si>
  <si>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</si>
  <si>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</si>
  <si>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</si>
  <si>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</si>
  <si>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</si>
  <si>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</si>
  <si>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</si>
  <si>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</si>
  <si>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</si>
  <si>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</si>
  <si>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</si>
  <si>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</si>
  <si>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</si>
  <si>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</si>
  <si>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</si>
  <si>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</si>
  <si>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</si>
  <si>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</si>
  <si>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</si>
  <si>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</si>
  <si>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</si>
  <si>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</si>
  <si>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</si>
  <si>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</si>
  <si>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</si>
  <si>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</si>
  <si>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</si>
  <si>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</si>
  <si>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</si>
  <si>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</si>
  <si>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</si>
  <si>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</si>
  <si>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</si>
  <si>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</si>
  <si>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</si>
  <si>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</si>
  <si>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</si>
  <si>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</si>
  <si>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</si>
  <si>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</si>
  <si>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</si>
  <si>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</si>
  <si>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</si>
  <si>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</si>
  <si>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</si>
  <si>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</si>
  <si>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</si>
  <si>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</si>
  <si>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</si>
  <si>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</si>
  <si>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</si>
  <si>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</si>
  <si>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</si>
  <si>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</si>
  <si>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</si>
  <si>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</si>
  <si>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</si>
  <si>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</si>
  <si>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</si>
  <si>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</si>
  <si>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</si>
  <si>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</si>
  <si>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</si>
  <si>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</si>
  <si>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</si>
  <si>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</si>
  <si>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</si>
  <si>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</si>
  <si>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</si>
  <si>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</si>
  <si>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</si>
  <si>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</si>
  <si>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</si>
  <si>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</si>
  <si>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</si>
  <si>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</si>
  <si>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</si>
  <si>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</si>
  <si>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</si>
  <si>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</si>
  <si>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</si>
  <si>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</si>
  <si>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</si>
  <si>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</si>
  <si>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</si>
  <si>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</si>
  <si>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</si>
  <si>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</si>
  <si>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</si>
  <si>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</si>
  <si>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</si>
  <si>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</si>
  <si>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</si>
  <si>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</si>
  <si>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</si>
  <si>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</si>
  <si>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</si>
  <si>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</si>
  <si>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</si>
  <si>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</si>
  <si>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</si>
  <si>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</si>
  <si>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</si>
  <si>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</si>
  <si>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</si>
  <si>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</si>
  <si>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</si>
  <si>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</si>
  <si>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</si>
  <si>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</si>
  <si>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</si>
  <si>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</si>
  <si>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</si>
  <si>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</si>
  <si>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</si>
  <si>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</si>
  <si>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</si>
  <si>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</si>
  <si>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</si>
  <si>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</si>
  <si>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</si>
  <si>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</si>
  <si>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</si>
  <si>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</si>
  <si>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</si>
  <si>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</si>
  <si>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</si>
  <si>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</si>
  <si>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</si>
  <si>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</si>
  <si>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</si>
  <si>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</si>
  <si>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</si>
  <si>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</si>
  <si>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</si>
  <si>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</si>
  <si>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</si>
  <si>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</si>
  <si>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</si>
  <si>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</si>
  <si>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</si>
  <si>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</si>
  <si>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</si>
  <si>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</si>
  <si>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</si>
  <si>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</si>
  <si>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</si>
  <si>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</si>
  <si>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</si>
  <si>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</si>
  <si>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</si>
  <si>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</si>
  <si>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</si>
  <si>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</si>
  <si>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</si>
  <si>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</si>
  <si>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</si>
  <si>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</si>
  <si>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</si>
  <si>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</si>
  <si>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</si>
  <si>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</si>
  <si>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</si>
  <si>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</si>
  <si>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</si>
  <si>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</si>
  <si>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</si>
  <si>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</si>
  <si>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</si>
  <si>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</si>
  <si>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</si>
  <si>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</si>
  <si>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</si>
  <si>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</si>
  <si>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</si>
  <si>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</si>
  <si>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</si>
  <si>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</si>
  <si>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</si>
  <si>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</si>
  <si>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</si>
  <si>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</si>
  <si>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</si>
  <si>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</si>
  <si>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</si>
  <si>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</si>
  <si>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</si>
  <si>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</si>
  <si>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</si>
  <si>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</si>
  <si>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</si>
  <si>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</si>
  <si>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</si>
  <si>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</si>
  <si>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</si>
  <si>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</si>
  <si>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</si>
  <si>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</si>
  <si>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</si>
  <si>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</si>
  <si>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</si>
  <si>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</si>
  <si>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</si>
  <si>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</si>
  <si>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</si>
  <si>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</si>
  <si>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</si>
  <si>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</si>
  <si>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</si>
  <si>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</si>
  <si>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</si>
  <si>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</si>
  <si>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</si>
  <si>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</si>
  <si>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</si>
  <si>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</si>
  <si>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</si>
  <si>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</si>
  <si>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</si>
  <si>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</si>
  <si>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</si>
  <si>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</si>
  <si>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</si>
  <si>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</si>
  <si>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</si>
  <si>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</si>
  <si>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</si>
  <si>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</si>
  <si>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</si>
  <si>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</si>
  <si>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</si>
  <si>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</si>
  <si>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</si>
  <si>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</si>
  <si>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</si>
  <si>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</si>
  <si>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</si>
  <si>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</si>
  <si>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</si>
  <si>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</si>
  <si>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</si>
  <si>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</si>
  <si>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</si>
  <si>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</si>
  <si>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</si>
  <si>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</si>
  <si>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</si>
  <si>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</si>
  <si>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</si>
  <si>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</si>
  <si>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</si>
  <si>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</si>
  <si>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</si>
  <si>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</si>
  <si>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</si>
  <si>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</si>
  <si>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</si>
  <si>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</si>
  <si>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</si>
  <si>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</si>
  <si>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</si>
  <si>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</si>
  <si>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</si>
  <si>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</si>
  <si>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</si>
  <si>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</si>
  <si>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</si>
  <si>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</si>
  <si>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</si>
  <si>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</si>
  <si>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</si>
  <si>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</si>
  <si>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</si>
  <si>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</si>
  <si>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</si>
  <si>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</si>
  <si>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</si>
  <si>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</si>
  <si>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</si>
  <si>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</si>
  <si>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</si>
  <si>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</si>
  <si>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</si>
  <si>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</si>
  <si>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</si>
  <si>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</si>
  <si>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</si>
  <si>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</si>
  <si>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</si>
  <si>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</si>
  <si>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</si>
  <si>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</si>
  <si>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</si>
  <si>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</si>
  <si>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</si>
  <si>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</si>
  <si>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</si>
  <si>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</si>
  <si>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</si>
  <si>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</si>
  <si>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</si>
  <si>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</si>
  <si>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</si>
  <si>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</si>
  <si>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</si>
  <si>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</si>
  <si>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</si>
  <si>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</si>
  <si>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</si>
  <si>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</si>
  <si>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</si>
  <si>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</si>
  <si>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</si>
  <si>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</si>
  <si>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</si>
  <si>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</si>
  <si>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</si>
  <si>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</si>
  <si>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</si>
  <si>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</si>
  <si>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</si>
  <si>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</si>
  <si>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</si>
  <si>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</si>
  <si>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</si>
  <si>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</si>
  <si>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</si>
  <si>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</si>
  <si>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</si>
  <si>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</si>
  <si>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</si>
  <si>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</si>
  <si>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</si>
  <si>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</si>
  <si>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</si>
  <si>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</si>
  <si>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</si>
  <si>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</si>
  <si>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</si>
  <si>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</si>
  <si>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</si>
  <si>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</si>
  <si>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</si>
  <si>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</si>
  <si>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</si>
  <si>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</si>
  <si>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</si>
  <si>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</si>
  <si>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</si>
  <si>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</si>
  <si>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</si>
  <si>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</si>
  <si>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</si>
  <si>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</si>
  <si>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</si>
  <si>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</si>
  <si>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</si>
  <si>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</si>
  <si>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</si>
  <si>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</si>
  <si>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</si>
  <si>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</si>
  <si>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</si>
  <si>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</si>
  <si>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</si>
  <si>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</si>
  <si>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</si>
  <si>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</si>
  <si>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</si>
  <si>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</si>
  <si>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</si>
  <si>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</si>
  <si>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</si>
  <si>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</si>
  <si>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</si>
  <si>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</si>
  <si>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</si>
  <si>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</si>
  <si>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</si>
  <si>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</si>
  <si>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</si>
  <si>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</si>
  <si>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</si>
  <si>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</si>
  <si>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</si>
  <si>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</si>
  <si>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</si>
  <si>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</si>
  <si>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</si>
  <si>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</si>
  <si>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</si>
  <si>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</si>
  <si>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</si>
  <si>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</si>
  <si>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</si>
  <si>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</si>
  <si>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</si>
  <si>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</si>
  <si>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</si>
  <si>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</si>
  <si>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</si>
  <si>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</si>
  <si>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</si>
  <si>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</si>
  <si>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</si>
  <si>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</si>
  <si>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</si>
  <si>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</si>
  <si>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</si>
  <si>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</si>
  <si>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</si>
  <si>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</si>
  <si>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</si>
  <si>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</si>
  <si>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</si>
  <si>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</si>
  <si>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</si>
  <si>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</si>
  <si>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</si>
  <si>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</si>
  <si>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</si>
  <si>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</si>
  <si>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</si>
  <si>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</si>
  <si>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</si>
  <si>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</si>
  <si>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</si>
  <si>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</si>
  <si>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</si>
  <si>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</si>
  <si>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</si>
  <si>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</si>
  <si>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</si>
  <si>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</si>
  <si>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</si>
  <si>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</si>
  <si>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</si>
  <si>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</si>
  <si>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</si>
  <si>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</si>
  <si>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</si>
  <si>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</si>
  <si>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</si>
  <si>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</si>
  <si>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</si>
  <si>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</si>
  <si>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</si>
  <si>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</si>
  <si>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</si>
  <si>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</si>
  <si>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</si>
  <si>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</si>
  <si>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</si>
  <si>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</si>
  <si>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</si>
  <si>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</si>
  <si>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</si>
  <si>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</si>
  <si>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</si>
  <si>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</si>
  <si>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</si>
  <si>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</si>
  <si>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</si>
  <si>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</si>
  <si>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</si>
  <si>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</si>
  <si>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</si>
  <si>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</si>
  <si>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</si>
  <si>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</si>
  <si>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</si>
  <si>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</si>
  <si>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</si>
  <si>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</si>
  <si>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</si>
  <si>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</si>
  <si>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</si>
  <si>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</si>
  <si>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</si>
  <si>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</si>
  <si>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</si>
  <si>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</si>
  <si>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</si>
  <si>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</si>
  <si>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</si>
  <si>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</si>
  <si>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</si>
  <si>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</si>
  <si>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</si>
  <si>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</si>
  <si>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</si>
  <si>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</si>
  <si>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</si>
  <si>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</si>
  <si>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</si>
  <si>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</si>
  <si>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</si>
  <si>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</si>
  <si>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</si>
  <si>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</si>
  <si>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</si>
  <si>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</si>
  <si>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</si>
  <si>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</si>
  <si>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</si>
  <si>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</si>
  <si>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</si>
  <si>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</si>
  <si>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</si>
  <si>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</si>
  <si>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</si>
  <si>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</si>
  <si>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</si>
  <si>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</si>
  <si>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</si>
  <si>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</si>
  <si>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</si>
  <si>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</si>
  <si>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</si>
  <si>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</si>
  <si>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</si>
  <si>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</si>
  <si>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</si>
  <si>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</si>
  <si>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</si>
  <si>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</si>
  <si>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</si>
  <si>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</si>
  <si>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</si>
  <si>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</si>
  <si>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</si>
  <si>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</si>
  <si>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</si>
  <si>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</si>
  <si>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</si>
  <si>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</si>
  <si>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</si>
  <si>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</si>
  <si>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</si>
  <si>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</si>
  <si>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</si>
  <si>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</si>
  <si>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</si>
  <si>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</si>
  <si>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</si>
  <si>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</si>
  <si>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</si>
  <si>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</si>
  <si>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</si>
  <si>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</si>
  <si>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</si>
  <si>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</si>
  <si>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</si>
  <si>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</si>
  <si>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</si>
  <si>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</si>
  <si>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</si>
  <si>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</si>
  <si>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</si>
  <si>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</si>
  <si>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</si>
  <si>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</si>
  <si>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</si>
  <si>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</si>
  <si>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</si>
  <si>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</si>
  <si>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</si>
  <si>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</si>
  <si>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</si>
  <si>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</si>
  <si>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</si>
  <si>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</si>
  <si>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</si>
  <si>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</si>
  <si>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</si>
  <si>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</si>
  <si>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</si>
  <si>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</si>
  <si>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</si>
  <si>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</si>
  <si>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</si>
  <si>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</si>
  <si>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</si>
  <si>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</si>
  <si>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</si>
  <si>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</si>
  <si>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</si>
  <si>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</si>
  <si>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</si>
  <si>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</si>
  <si>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</si>
  <si>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</si>
  <si>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</si>
  <si>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</si>
  <si>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</si>
  <si>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</si>
  <si>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</si>
  <si>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</si>
  <si>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</si>
  <si>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</si>
  <si>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</si>
  <si>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</si>
  <si>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</si>
  <si>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</si>
  <si>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</si>
  <si>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</si>
  <si>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</si>
  <si>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</si>
  <si>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</si>
  <si>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</si>
  <si>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</si>
  <si>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</si>
  <si>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</si>
  <si>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</si>
  <si>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</si>
  <si>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</si>
  <si>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</si>
  <si>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</si>
  <si>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</si>
  <si>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</si>
  <si>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</si>
  <si>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</si>
  <si>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</si>
  <si>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</si>
  <si>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</si>
  <si>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</si>
  <si>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</si>
  <si>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</si>
  <si>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</si>
  <si>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</si>
  <si>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</si>
  <si>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</si>
  <si>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</si>
  <si>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</si>
  <si>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</si>
  <si>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</si>
  <si>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</si>
  <si>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</si>
  <si>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</si>
  <si>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</si>
  <si>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</si>
  <si>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</si>
  <si>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</si>
  <si>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</si>
  <si>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</si>
  <si>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</si>
  <si>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</si>
  <si>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</si>
  <si>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</si>
  <si>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</si>
  <si>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</si>
  <si>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</si>
  <si>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</si>
  <si>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</si>
  <si>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</si>
  <si>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</si>
  <si>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</si>
  <si>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</si>
  <si>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</si>
  <si>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</si>
  <si>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</si>
  <si>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</si>
  <si>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</si>
  <si>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</si>
  <si>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</si>
  <si>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</si>
  <si>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</si>
  <si>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</si>
  <si>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</si>
  <si>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</si>
  <si>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</si>
  <si>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</si>
  <si>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</si>
  <si>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</si>
  <si>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</si>
  <si>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</si>
  <si>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</si>
  <si>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</si>
  <si>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</si>
  <si>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</si>
  <si>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</si>
  <si>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</si>
  <si>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</si>
  <si>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</si>
  <si>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</si>
  <si>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</si>
  <si>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</si>
  <si>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</si>
  <si>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</si>
  <si>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</si>
  <si>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</si>
  <si>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</si>
  <si>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</si>
  <si>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</si>
  <si>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</si>
  <si>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</si>
  <si>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</si>
  <si>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</si>
  <si>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</si>
  <si>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</si>
  <si>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</si>
  <si>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</si>
  <si>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</si>
  <si>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</si>
  <si>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</si>
  <si>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</si>
  <si>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</si>
  <si>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</si>
  <si>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</si>
  <si>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</si>
  <si>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</si>
  <si>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</si>
  <si>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</si>
  <si>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</si>
  <si>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</si>
  <si>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</si>
  <si>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</si>
  <si>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</si>
  <si>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</si>
  <si>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</si>
  <si>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</si>
  <si>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</si>
  <si>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</si>
  <si>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</si>
  <si>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</si>
  <si>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</si>
  <si>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</si>
  <si>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</si>
  <si>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</si>
  <si>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</si>
  <si>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</si>
  <si>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</si>
  <si>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</si>
  <si>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</si>
  <si>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</si>
  <si>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</si>
  <si>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</si>
  <si>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</si>
  <si>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</si>
  <si>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</si>
  <si>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</si>
  <si>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</si>
  <si>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</si>
  <si>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</si>
  <si>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</si>
  <si>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</si>
  <si>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</si>
  <si>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</si>
  <si>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</si>
  <si>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</si>
  <si>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</si>
  <si>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</si>
  <si>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</si>
  <si>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</si>
  <si>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</si>
  <si>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</si>
  <si>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</si>
  <si>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</si>
  <si>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</si>
  <si>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</si>
  <si>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</si>
  <si>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</si>
  <si>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</si>
  <si>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</si>
  <si>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</si>
  <si>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</si>
  <si>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</si>
  <si>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</si>
  <si>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</si>
  <si>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</si>
  <si>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</si>
  <si>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</si>
  <si>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</si>
  <si>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</si>
  <si>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</si>
  <si>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</si>
  <si>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</si>
  <si>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</si>
  <si>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</si>
  <si>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</si>
  <si>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</si>
  <si>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</si>
  <si>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</si>
  <si>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</si>
  <si>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</si>
  <si>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</si>
  <si>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</si>
  <si>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</si>
  <si>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</si>
  <si>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</si>
  <si>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</si>
  <si>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</si>
  <si>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</si>
  <si>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</si>
  <si>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</si>
  <si>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</si>
  <si>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</si>
  <si>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</si>
  <si>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</si>
  <si>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</si>
  <si>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</si>
  <si>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</si>
  <si>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</si>
  <si>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</si>
  <si>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</si>
  <si>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</si>
  <si>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</si>
  <si>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</si>
  <si>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</si>
  <si>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</si>
  <si>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</si>
  <si>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</si>
  <si>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</si>
  <si>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</si>
  <si>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</si>
  <si>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</si>
  <si>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</si>
  <si>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</si>
  <si>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</si>
  <si>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</si>
  <si>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</si>
  <si>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</si>
  <si>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</si>
  <si>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</si>
  <si>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</si>
  <si>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</si>
  <si>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</si>
  <si>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</si>
  <si>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</si>
  <si>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</si>
  <si>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</si>
  <si>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</si>
  <si>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</si>
  <si>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</si>
  <si>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</si>
  <si>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</si>
  <si>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</si>
  <si>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</si>
  <si>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</si>
  <si>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</si>
  <si>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</si>
  <si>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</si>
  <si>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</si>
  <si>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</si>
  <si>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</si>
  <si>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</si>
  <si>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</si>
  <si>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</si>
  <si>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</si>
  <si>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</si>
  <si>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</si>
  <si>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</si>
  <si>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</si>
  <si>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</si>
  <si>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</si>
  <si>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</si>
  <si>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</si>
  <si>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</si>
  <si>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</si>
  <si>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</si>
  <si>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</si>
  <si>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</si>
  <si>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</si>
  <si>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</si>
  <si>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</si>
  <si>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</si>
  <si>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</si>
  <si>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</si>
  <si>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</si>
  <si>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</si>
  <si>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</si>
  <si>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</si>
  <si>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</si>
  <si>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</si>
  <si>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</si>
  <si>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</si>
  <si>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</si>
  <si>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</si>
  <si>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</si>
  <si>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</si>
  <si>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</si>
  <si>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</si>
  <si>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</si>
  <si>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</si>
  <si>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</si>
  <si>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</si>
  <si>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</si>
  <si>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</si>
  <si>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</si>
  <si>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</si>
  <si>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</si>
  <si>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</si>
  <si>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</si>
  <si>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</si>
  <si>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</si>
  <si>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</si>
  <si>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</si>
  <si>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</si>
  <si>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</si>
  <si>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</si>
  <si>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</si>
  <si>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</si>
  <si>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</si>
  <si>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</si>
  <si>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</si>
  <si>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</si>
  <si>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</si>
  <si>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</si>
  <si>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</si>
  <si>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</si>
  <si>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</si>
  <si>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</si>
  <si>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</si>
  <si>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</si>
  <si>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</si>
  <si>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</si>
  <si>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</si>
  <si>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</si>
  <si>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</si>
  <si>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</si>
  <si>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</si>
  <si>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</si>
  <si>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</si>
  <si>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</si>
  <si>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</si>
  <si>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</si>
  <si>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</si>
  <si>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</si>
  <si>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</si>
  <si>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</si>
  <si>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</si>
  <si>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</si>
  <si>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</si>
  <si>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</si>
  <si>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</si>
  <si>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</si>
  <si>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</si>
  <si>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</si>
  <si>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</si>
  <si>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</si>
  <si>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</si>
  <si>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</si>
  <si>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</si>
  <si>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</si>
  <si>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</si>
  <si>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</si>
  <si>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</si>
  <si>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</si>
  <si>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</si>
  <si>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</si>
  <si>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</si>
  <si>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</si>
  <si>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</si>
  <si>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</si>
  <si>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</si>
  <si>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</si>
  <si>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</si>
  <si>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</si>
  <si>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</si>
  <si>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</si>
  <si>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</si>
  <si>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</si>
  <si>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</si>
  <si>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</si>
  <si>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</si>
  <si>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</si>
  <si>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</si>
  <si>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</si>
  <si>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</si>
  <si>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</si>
  <si>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</si>
  <si>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</si>
  <si>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</si>
  <si>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</si>
  <si>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</si>
  <si>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</si>
  <si>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</si>
  <si>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</si>
  <si>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</si>
  <si>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</si>
  <si>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</si>
  <si>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</si>
  <si>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</si>
  <si>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</si>
  <si>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</si>
  <si>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</si>
  <si>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</si>
  <si>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</si>
  <si>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</si>
  <si>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</si>
  <si>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</si>
  <si>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</si>
  <si>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</si>
  <si>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</si>
  <si>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</si>
  <si>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</si>
  <si>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</si>
  <si>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</si>
  <si>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</si>
  <si>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</si>
  <si>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</si>
  <si>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</si>
  <si>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</si>
  <si>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</si>
  <si>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</si>
  <si>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</si>
  <si>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</si>
  <si>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</si>
  <si>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</si>
  <si>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</si>
  <si>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</si>
  <si>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</si>
  <si>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</si>
  <si>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</si>
  <si>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</si>
  <si>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</si>
  <si>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</si>
  <si>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</si>
  <si>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</si>
  <si>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</si>
  <si>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</si>
  <si>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</si>
  <si>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</si>
  <si>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</si>
  <si>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</si>
  <si>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</si>
  <si>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</si>
  <si>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</si>
  <si>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</si>
  <si>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</si>
  <si>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</si>
  <si>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</si>
  <si>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</si>
  <si>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</si>
  <si>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</si>
  <si>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</si>
  <si>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</si>
  <si>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</si>
  <si>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</si>
  <si>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</si>
  <si>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</si>
  <si>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</si>
  <si>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</si>
  <si>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</si>
  <si>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</si>
  <si>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</si>
  <si>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</si>
  <si>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</si>
  <si>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</si>
  <si>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</si>
  <si>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</si>
  <si>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</si>
  <si>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</si>
  <si>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</si>
  <si>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</si>
  <si>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</si>
  <si>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</si>
  <si>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</si>
  <si>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</si>
  <si>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</si>
  <si>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</si>
  <si>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</si>
  <si>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</si>
  <si>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</si>
  <si>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</si>
  <si>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</si>
  <si>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</si>
  <si>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</si>
  <si>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</si>
  <si>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</si>
  <si>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</si>
  <si>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</si>
  <si>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</si>
  <si>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</si>
  <si>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</si>
  <si>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</si>
  <si>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</si>
  <si>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</si>
  <si>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</si>
  <si>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</si>
  <si>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</si>
  <si>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</si>
  <si>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</si>
  <si>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</si>
  <si>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</si>
  <si>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</si>
  <si>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</si>
  <si>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</si>
  <si>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</si>
  <si>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</si>
  <si>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</si>
  <si>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</si>
  <si>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</si>
  <si>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</si>
  <si>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</si>
  <si>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</si>
  <si>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</si>
  <si>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</si>
  <si>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</si>
  <si>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</si>
  <si>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</si>
  <si>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</si>
  <si>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</si>
  <si>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</si>
  <si>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</si>
  <si>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</si>
  <si>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</si>
  <si>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</si>
  <si>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</si>
  <si>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</si>
  <si>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</si>
  <si>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</si>
  <si>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</si>
  <si>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</si>
  <si>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</si>
  <si>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</si>
  <si>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</si>
  <si>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</si>
  <si>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</si>
  <si>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</si>
  <si>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</si>
  <si>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</si>
  <si>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</si>
  <si>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</si>
  <si>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</si>
  <si>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</si>
  <si>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</si>
  <si>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</si>
  <si>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</si>
  <si>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</si>
  <si>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</si>
  <si>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</si>
  <si>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</si>
  <si>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</si>
  <si>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</si>
  <si>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</si>
  <si>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</si>
  <si>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</si>
  <si>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</si>
  <si>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</si>
  <si>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</si>
  <si>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</si>
  <si>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</si>
  <si>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</si>
  <si>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</si>
  <si>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</si>
  <si>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</si>
  <si>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</si>
  <si>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</si>
  <si>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</si>
  <si>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</si>
  <si>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</si>
  <si>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</si>
  <si>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</si>
  <si>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</si>
  <si>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</si>
  <si>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</si>
  <si>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</si>
  <si>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</si>
  <si>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</si>
  <si>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</si>
  <si>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</si>
  <si>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</si>
  <si>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</si>
  <si>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</si>
  <si>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</si>
  <si>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</si>
  <si>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</si>
  <si>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</si>
  <si>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</si>
  <si>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</si>
  <si>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</si>
  <si>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</si>
  <si>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</si>
  <si>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</si>
  <si>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</si>
  <si>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</si>
  <si>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</si>
  <si>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</si>
  <si>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</si>
  <si>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</si>
  <si>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</si>
  <si>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</si>
  <si>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</si>
  <si>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</si>
  <si>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</si>
  <si>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</si>
  <si>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</si>
  <si>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</si>
  <si>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</si>
  <si>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</si>
  <si>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</si>
  <si>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</si>
  <si>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</si>
  <si>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</si>
  <si>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</si>
  <si>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</si>
  <si>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</si>
  <si>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</si>
  <si>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</si>
  <si>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</si>
  <si>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</si>
  <si>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</si>
  <si>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</si>
  <si>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</si>
  <si>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</si>
  <si>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</si>
  <si>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</si>
  <si>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</si>
  <si>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</si>
  <si>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</si>
  <si>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</si>
  <si>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</si>
  <si>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</si>
  <si>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</si>
  <si>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</si>
  <si>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</si>
  <si>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</si>
  <si>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</si>
  <si>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</si>
  <si>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</si>
  <si>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</si>
  <si>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</si>
  <si>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</si>
  <si>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</si>
  <si>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</si>
  <si>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</si>
  <si>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</si>
  <si>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</si>
  <si>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</si>
  <si>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</si>
  <si>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</si>
  <si>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</si>
  <si>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</si>
  <si>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</si>
  <si>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</si>
  <si>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</si>
  <si>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</si>
  <si>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</si>
  <si>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</si>
  <si>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</si>
  <si>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</si>
  <si>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</si>
  <si>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</si>
  <si>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</si>
  <si>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</si>
  <si>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</si>
  <si>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</si>
  <si>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</si>
  <si>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</si>
  <si>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</si>
  <si>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</si>
  <si>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</si>
  <si>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</si>
  <si>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</si>
  <si>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</si>
  <si>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</si>
  <si>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</si>
  <si>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</si>
  <si>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</si>
  <si>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</si>
  <si>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</si>
  <si>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</si>
  <si>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</si>
  <si>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</si>
  <si>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</si>
  <si>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</si>
  <si>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</si>
  <si>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</si>
  <si>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</si>
  <si>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</si>
  <si>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</si>
  <si>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</si>
  <si>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</si>
  <si>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</si>
  <si>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</si>
  <si>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</si>
  <si>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</si>
  <si>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</si>
  <si>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</si>
  <si>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</si>
  <si>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</si>
  <si>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</si>
  <si>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</si>
  <si>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</si>
  <si>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</si>
  <si>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</si>
  <si>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</si>
  <si>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</si>
  <si>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</si>
  <si>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</si>
  <si>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</si>
  <si>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</si>
  <si>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</si>
  <si>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</si>
  <si>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</si>
  <si>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</si>
  <si>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</si>
  <si>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</si>
  <si>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</si>
  <si>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</si>
  <si>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</si>
  <si>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</si>
  <si>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</si>
  <si>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</si>
  <si>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</si>
  <si>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</si>
  <si>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</si>
  <si>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</si>
  <si>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</si>
  <si>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</si>
  <si>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</si>
  <si>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</si>
  <si>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</si>
  <si>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</si>
  <si>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</si>
  <si>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</si>
  <si>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</si>
  <si>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</si>
  <si>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</si>
  <si>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</si>
  <si>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</si>
  <si>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</si>
  <si>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</si>
  <si>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</si>
  <si>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</si>
  <si>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</si>
  <si>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</si>
  <si>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</si>
  <si>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</si>
  <si>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</si>
  <si>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</si>
  <si>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</si>
  <si>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</si>
  <si>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</si>
  <si>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</si>
  <si>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</si>
  <si>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</si>
  <si>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</si>
  <si>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</si>
  <si>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</si>
  <si>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</si>
  <si>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</si>
  <si>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</si>
  <si>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</si>
  <si>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</si>
  <si>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</si>
  <si>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</si>
  <si>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</si>
  <si>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</si>
  <si>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</si>
  <si>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</si>
  <si>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</si>
  <si>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</si>
  <si>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</si>
  <si>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</si>
  <si>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</si>
  <si>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</si>
  <si>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</si>
  <si>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</si>
  <si>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</si>
  <si>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</si>
  <si>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</si>
  <si>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</si>
  <si>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</si>
  <si>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</si>
  <si>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</si>
  <si>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</si>
  <si>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</si>
  <si>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</si>
  <si>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</si>
  <si>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</si>
  <si>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</si>
  <si>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</si>
  <si>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</si>
  <si>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</si>
  <si>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</si>
  <si>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</si>
  <si>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</si>
  <si>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</si>
  <si>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</si>
  <si>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</si>
  <si>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</si>
  <si>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</si>
  <si>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</si>
  <si>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</si>
  <si>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</si>
  <si>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</si>
  <si>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</si>
  <si>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</si>
  <si>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</si>
  <si>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</si>
  <si>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</si>
  <si>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</si>
  <si>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</si>
  <si>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</si>
  <si>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</si>
  <si>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</si>
  <si>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</si>
  <si>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</si>
  <si>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</si>
  <si>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</si>
  <si>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</si>
  <si>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</si>
  <si>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</si>
  <si>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</si>
  <si>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</si>
  <si>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</si>
  <si>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</si>
  <si>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</si>
  <si>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</si>
  <si>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</si>
  <si>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</si>
  <si>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</si>
  <si>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</si>
  <si>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</si>
  <si>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</si>
  <si>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</si>
  <si>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</si>
  <si>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</si>
  <si>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</si>
  <si>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</si>
  <si>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</si>
  <si>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</si>
  <si>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</si>
  <si>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</si>
  <si>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</si>
  <si>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</si>
  <si>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</si>
  <si>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</si>
  <si>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</si>
  <si>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</si>
  <si>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</si>
  <si>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</si>
  <si>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</si>
  <si>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</si>
  <si>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</si>
  <si>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</si>
  <si>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</si>
  <si>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</si>
  <si>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</si>
  <si>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</si>
  <si>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</si>
  <si>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</si>
  <si>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</si>
  <si>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</si>
  <si>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</si>
  <si>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</si>
  <si>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</si>
  <si>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</si>
  <si>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</si>
  <si>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</si>
  <si>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</si>
  <si>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</si>
  <si>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</si>
  <si>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</si>
  <si>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</si>
  <si>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</si>
  <si>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</si>
  <si>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</si>
  <si>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</si>
  <si>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</si>
  <si>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</si>
  <si>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</si>
  <si>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</si>
  <si>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</si>
  <si>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</si>
  <si>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</si>
  <si>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</si>
  <si>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</si>
  <si>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</si>
  <si>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</si>
  <si>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</si>
  <si>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</si>
  <si>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</si>
  <si>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</si>
  <si>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</si>
  <si>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</si>
  <si>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</si>
  <si>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</si>
  <si>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</si>
  <si>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</si>
  <si>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</si>
  <si>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</si>
  <si>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</si>
  <si>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</si>
  <si>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</si>
  <si>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</si>
  <si>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</si>
  <si>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</si>
  <si>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</si>
  <si>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</si>
  <si>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</si>
  <si>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</si>
  <si>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</si>
  <si>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</si>
  <si>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</si>
  <si>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</si>
  <si>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</si>
  <si>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</si>
  <si>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</si>
  <si>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</si>
  <si>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</si>
  <si>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</si>
  <si>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</si>
  <si>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</si>
  <si>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</si>
  <si>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</si>
  <si>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</si>
  <si>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</si>
  <si>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</si>
  <si>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</si>
  <si>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</si>
  <si>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</si>
  <si>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</si>
  <si>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</si>
  <si>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</si>
  <si>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</si>
  <si>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</si>
  <si>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</si>
  <si>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</si>
  <si>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</si>
  <si>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</si>
  <si>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</si>
  <si>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</si>
  <si>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</si>
  <si>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</si>
  <si>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</si>
  <si>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</si>
  <si>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</si>
  <si>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</si>
  <si>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</si>
  <si>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</si>
  <si>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</si>
  <si>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</si>
  <si>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</si>
  <si>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</si>
  <si>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</si>
  <si>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</si>
  <si>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</si>
  <si>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</si>
  <si>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</si>
  <si>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</si>
  <si>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</si>
  <si>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</si>
  <si>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</si>
  <si>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</si>
  <si>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</si>
  <si>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</si>
  <si>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</si>
  <si>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</si>
  <si>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</si>
  <si>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</si>
  <si>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</si>
  <si>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</si>
  <si>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</si>
  <si>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</si>
  <si>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</si>
  <si>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</si>
  <si>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</si>
  <si>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</si>
  <si>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</si>
  <si>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</si>
  <si>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</si>
  <si>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</si>
  <si>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</si>
  <si>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</si>
  <si>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</si>
  <si>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</si>
  <si>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</si>
  <si>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</si>
  <si>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</si>
  <si>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</si>
  <si>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</si>
  <si>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</si>
  <si>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</si>
  <si>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</si>
  <si>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</si>
  <si>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</si>
  <si>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</si>
  <si>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</si>
  <si>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</si>
  <si>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</si>
  <si>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</si>
  <si>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</si>
  <si>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</si>
  <si>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</si>
  <si>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</si>
  <si>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</si>
  <si>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</si>
  <si>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</si>
  <si>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</si>
  <si>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</si>
  <si>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</si>
  <si>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</si>
  <si>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</si>
  <si>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</si>
  <si>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</si>
  <si>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</si>
  <si>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</si>
  <si>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</si>
  <si>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</si>
  <si>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</si>
  <si>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</si>
  <si>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</si>
  <si>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</si>
  <si>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</si>
  <si>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</si>
  <si>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</si>
  <si>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</si>
  <si>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</si>
  <si>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</si>
  <si>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</si>
  <si>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</si>
  <si>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</si>
  <si>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</si>
  <si>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</si>
  <si>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</si>
  <si>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</si>
  <si>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</si>
  <si>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</si>
  <si>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</si>
  <si>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</si>
  <si>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</si>
  <si>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</si>
  <si>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</si>
  <si>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</si>
  <si>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</si>
  <si>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</si>
  <si>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</si>
  <si>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</si>
  <si>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</si>
  <si>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</si>
  <si>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</si>
  <si>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</si>
  <si>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</si>
  <si>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</si>
  <si>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</si>
  <si>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</si>
  <si>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</si>
  <si>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</si>
  <si>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</si>
  <si>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</si>
  <si>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</si>
  <si>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</si>
  <si>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</si>
  <si>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</si>
  <si>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</si>
  <si>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</si>
  <si>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</si>
  <si>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</si>
  <si>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</si>
  <si>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</si>
  <si>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</si>
  <si>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</si>
  <si>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</si>
  <si>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</si>
  <si>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</si>
  <si>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</si>
  <si>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</si>
  <si>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</si>
  <si>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</si>
  <si>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</si>
  <si>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</si>
  <si>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</si>
  <si>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</si>
  <si>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</si>
  <si>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</si>
  <si>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</si>
  <si>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</si>
  <si>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</si>
  <si>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</si>
  <si>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</si>
  <si>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</si>
  <si>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</si>
  <si>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</si>
  <si>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</si>
  <si>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</si>
  <si>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</si>
  <si>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</si>
  <si>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</si>
  <si>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</si>
  <si>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</si>
  <si>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</si>
  <si>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</si>
  <si>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</si>
  <si>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</si>
  <si>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</si>
  <si>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</si>
  <si>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</si>
  <si>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</si>
  <si>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</si>
  <si>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</si>
  <si>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</si>
  <si>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</si>
  <si>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</si>
  <si>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</si>
  <si>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</si>
  <si>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</si>
  <si>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</si>
  <si>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</si>
  <si>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</si>
  <si>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</si>
  <si>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</si>
  <si>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</si>
  <si>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</si>
  <si>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</si>
  <si>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</si>
  <si>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</si>
  <si>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</si>
  <si>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</si>
  <si>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</si>
  <si>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</si>
  <si>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</si>
  <si>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</si>
  <si>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</si>
  <si>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</si>
  <si>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</si>
  <si>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</si>
  <si>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</si>
  <si>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</si>
  <si>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</si>
  <si>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</si>
  <si>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</si>
  <si>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</si>
  <si>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</si>
  <si>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</si>
  <si>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</si>
  <si>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</si>
  <si>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</si>
  <si>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</si>
  <si>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</si>
  <si>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</si>
  <si>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</si>
  <si>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</si>
  <si>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</si>
  <si>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</si>
  <si>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</si>
  <si>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</si>
  <si>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</si>
  <si>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</si>
  <si>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</si>
  <si>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</si>
  <si>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</si>
  <si>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</si>
  <si>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</si>
  <si>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</si>
  <si>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</si>
  <si>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</si>
  <si>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</si>
  <si>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</si>
  <si>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</si>
  <si>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</si>
  <si>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</si>
  <si>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</si>
  <si>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</si>
  <si>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</si>
  <si>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</si>
  <si>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</si>
  <si>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</si>
  <si>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</si>
  <si>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</si>
  <si>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</si>
  <si>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</si>
  <si>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</si>
  <si>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</si>
  <si>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</si>
  <si>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</si>
  <si>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</si>
  <si>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</si>
  <si>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</si>
  <si>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</si>
  <si>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</si>
  <si>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</si>
  <si>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</si>
  <si>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</si>
  <si>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</si>
  <si>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</si>
  <si>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</si>
  <si>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</si>
  <si>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</si>
  <si>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</si>
  <si>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</si>
  <si>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</si>
  <si>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</si>
  <si>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</si>
  <si>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</si>
  <si>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</si>
  <si>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</si>
  <si>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</si>
  <si>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</si>
  <si>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</si>
  <si>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</si>
  <si>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</si>
  <si>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</si>
  <si>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</si>
  <si>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</si>
  <si>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</si>
  <si>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</si>
  <si>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</si>
  <si>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</si>
  <si>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</si>
  <si>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</si>
  <si>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</si>
  <si>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</si>
  <si>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</si>
  <si>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</si>
  <si>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</si>
  <si>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</si>
  <si>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</si>
  <si>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</si>
  <si>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</si>
  <si>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</si>
  <si>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</si>
  <si>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</si>
  <si>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</si>
  <si>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</si>
  <si>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</si>
  <si>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</si>
  <si>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</si>
  <si>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</si>
  <si>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</si>
  <si>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</si>
  <si>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</si>
  <si>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</si>
  <si>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</si>
  <si>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</si>
  <si>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</si>
  <si>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</si>
  <si>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</si>
  <si>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</si>
  <si>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</si>
  <si>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</si>
  <si>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</si>
  <si>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</si>
  <si>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</si>
  <si>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</si>
  <si>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</si>
  <si>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</si>
  <si>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</si>
  <si>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</si>
  <si>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</si>
  <si>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</si>
  <si>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</si>
  <si>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</si>
  <si>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</si>
  <si>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</si>
  <si>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</si>
  <si>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</si>
  <si>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</si>
  <si>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</si>
  <si>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</si>
  <si>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</si>
  <si>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</si>
  <si>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</si>
  <si>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</si>
  <si>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</si>
  <si>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</si>
  <si>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</si>
  <si>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</si>
  <si>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</si>
  <si>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</si>
  <si>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</si>
  <si>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</si>
  <si>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</si>
  <si>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</si>
  <si>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</si>
  <si>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</si>
  <si>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</si>
  <si>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</si>
  <si>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</si>
  <si>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</si>
  <si>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</si>
  <si>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</si>
  <si>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</si>
  <si>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</si>
  <si>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</si>
  <si>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</si>
  <si>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</si>
  <si>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</si>
  <si>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</si>
  <si>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</si>
  <si>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</si>
  <si>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</si>
  <si>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</si>
  <si>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</si>
  <si>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</si>
  <si>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</si>
  <si>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</si>
  <si>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</si>
  <si>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</si>
  <si>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</si>
  <si>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</si>
  <si>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</si>
  <si>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</si>
  <si>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</si>
  <si>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</si>
  <si>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</si>
  <si>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</si>
  <si>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</si>
  <si>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</si>
  <si>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</si>
  <si>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</si>
  <si>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</si>
  <si>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</si>
  <si>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</si>
  <si>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</si>
  <si>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</si>
  <si>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</si>
  <si>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</si>
  <si>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</si>
  <si>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</si>
  <si>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</si>
  <si>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</si>
  <si>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</si>
  <si>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</si>
  <si>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</si>
  <si>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</si>
  <si>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</si>
  <si>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</si>
  <si>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</si>
  <si>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</si>
  <si>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</si>
  <si>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</si>
  <si>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</si>
  <si>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</si>
  <si>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</si>
  <si>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</si>
  <si>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</si>
  <si>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</si>
  <si>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</si>
  <si>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</si>
  <si>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</si>
  <si>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</si>
  <si>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</si>
  <si>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</si>
  <si>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</si>
  <si>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</si>
  <si>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</si>
  <si>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</si>
  <si>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</si>
  <si>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</si>
  <si>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</si>
  <si>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</si>
  <si>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</si>
  <si>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</si>
  <si>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</si>
  <si>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</si>
  <si>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</si>
  <si>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</si>
  <si>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</si>
  <si>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</si>
  <si>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</si>
  <si>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</si>
  <si>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</si>
  <si>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</si>
  <si>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</si>
  <si>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</si>
  <si>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</si>
  <si>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</si>
  <si>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</si>
  <si>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</si>
  <si>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</si>
  <si>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</si>
  <si>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</si>
  <si>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</si>
  <si>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</si>
  <si>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</si>
  <si>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</si>
  <si>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</si>
  <si>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</si>
  <si>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</si>
  <si>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</si>
  <si>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</si>
  <si>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</si>
  <si>
    <t>19-4-2026</t>
  </si>
  <si>
    <t>Circular-Décor-vase</t>
  </si>
  <si>
    <t>Décor-Vase</t>
  </si>
  <si>
    <t>Gold</t>
  </si>
  <si>
    <t>Used for flowers</t>
  </si>
  <si>
    <t>Light-Vase</t>
  </si>
  <si>
    <t>Cup-1</t>
  </si>
  <si>
    <t>Gold Cup</t>
  </si>
  <si>
    <t>Cup-2</t>
  </si>
  <si>
    <t>Cup-3</t>
  </si>
  <si>
    <t>Cup-4</t>
  </si>
  <si>
    <t>Cup-5</t>
  </si>
  <si>
    <t>Wood-Square</t>
  </si>
  <si>
    <t>Wood</t>
  </si>
  <si>
    <t>Tealights only</t>
  </si>
  <si>
    <t>Flowers ONLY</t>
  </si>
  <si>
    <t>Head-vase</t>
  </si>
  <si>
    <t>Wide-Vase</t>
  </si>
  <si>
    <t>Boukal-Vase</t>
  </si>
  <si>
    <t>Boukal-Vase 2</t>
  </si>
  <si>
    <t>Tall-Vase</t>
  </si>
  <si>
    <t>m7ajar-Vase</t>
  </si>
  <si>
    <t>Boukal</t>
  </si>
  <si>
    <t>Tight-Head</t>
  </si>
  <si>
    <t>Grey</t>
  </si>
  <si>
    <t>Boukal2</t>
  </si>
  <si>
    <t>Purple-Vase</t>
  </si>
  <si>
    <t>purple</t>
  </si>
  <si>
    <t>Blue-Vases</t>
  </si>
  <si>
    <t>Blue</t>
  </si>
  <si>
    <t>Not glass - Plastic</t>
  </si>
  <si>
    <t>Sandou2-Wood</t>
  </si>
  <si>
    <t>Light</t>
  </si>
  <si>
    <t>Vase-1</t>
  </si>
  <si>
    <t>Ceramic vases</t>
  </si>
  <si>
    <t>White</t>
  </si>
  <si>
    <t>Vase-2</t>
  </si>
  <si>
    <t>Vase-3</t>
  </si>
  <si>
    <t>Vase-4</t>
  </si>
  <si>
    <t>Black</t>
  </si>
  <si>
    <t xml:space="preserve">Large  </t>
  </si>
  <si>
    <t>Large</t>
  </si>
  <si>
    <t>Purple-Vase2</t>
  </si>
  <si>
    <t xml:space="preserve">Small  </t>
  </si>
  <si>
    <t>Box-Wood</t>
  </si>
  <si>
    <t>Small</t>
  </si>
  <si>
    <t>Slim-Large</t>
  </si>
  <si>
    <t>Vase-5</t>
  </si>
  <si>
    <t>Vase-6</t>
  </si>
  <si>
    <t>Depot-2</t>
  </si>
  <si>
    <t>Vase-10</t>
  </si>
  <si>
    <t>Vase-11</t>
  </si>
  <si>
    <t xml:space="preserve">Medium  </t>
  </si>
  <si>
    <t>Vase-12</t>
  </si>
  <si>
    <t>Vase-13</t>
  </si>
  <si>
    <t>Plastic-Vase</t>
  </si>
  <si>
    <t>Vase-14</t>
  </si>
  <si>
    <t>Vase-15</t>
  </si>
  <si>
    <t>Stand-1</t>
  </si>
  <si>
    <t>Stands</t>
  </si>
  <si>
    <t>house-candle</t>
  </si>
  <si>
    <t>Vase</t>
  </si>
  <si>
    <t>pink</t>
  </si>
  <si>
    <t>holder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</si>
</sst>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printerSettings" Target="../printerSettings/printerSettings1.bin"/><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tabSelected="1" zoomScale="25" zoomScaleNormal="25" workbookViewId="0">
      <pane ySplit="1" topLeftCell="A121" activePane="bottomLeft" state="frozen"/>
      <selection pane="bottomLeft" activeCell="H123" sqref="H123"/>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6" width="33" style="57"/>
    <col min="18" max="16384" width="33" style="57"/>
  </cols>
  <sheetData>
    <row r="1" spans="1:28"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1012</v>
      </c>
      <c r="N1" s="55" t="s">
        <v>2971</v>
      </c>
      <c r="O1" s="55" t="s">
        <v>2972</v>
      </c>
      <c r="P1" s="55" t="s">
        <v>2973</v>
      </c>
    </row>
    <row r="2" spans="1:28" ht="207.6" customHeight="1">
      <c r="A2" s="56" t="s">
        <v>12</v>
      </c>
      <c r="B2" s="71" t="s">
        <v>2035</v>
      </c>
      <c r="C2" s="72" t="s">
        <v>2031</v>
      </c>
      <c r="D2" s="71" t="s">
        <v>2032</v>
      </c>
      <c r="E2" s="82">
        <f>SUM('[1]Total(Fp)'!G3)</f>
        <v>14</v>
      </c>
      <c r="F2" s="72" t="s">
        <v>2126</v>
      </c>
      <c r="G2" s="74">
        <v>2</v>
      </c>
      <c r="H2" s="72" t="s">
        <v>2127</v>
      </c>
      <c r="K2" s="72" t="s">
        <v>2128</v>
      </c>
      <c r="L2" s="70" t="s">
        <v>1013</v>
      </c>
      <c r="N2" s="57">
        <f>SUM('[1]Total(Fp)'!P3)</f>
        <v>2</v>
      </c>
      <c r="O2" s="57">
        <f>SUM('[1]Total(Fp)'!Q3)</f>
        <v>0</v>
      </c>
      <c r="P2" s="57">
        <f>SUM('[1]Total(Fp)'!O3)</f>
        <v>12</v>
      </c>
    </row>
    <row r="3" spans="1:28" ht="207.6" customHeight="1">
      <c r="A3" s="56" t="s">
        <v>13</v>
      </c>
      <c r="B3" s="71" t="s">
        <v>2036</v>
      </c>
      <c r="C3" s="72" t="s">
        <v>2031</v>
      </c>
      <c r="D3" s="71" t="s">
        <v>2033</v>
      </c>
      <c r="E3" s="82">
        <f>SUM('[1]Total(Fp)'!G4)</f>
        <v>126</v>
      </c>
      <c r="F3" s="72" t="s">
        <v>2126</v>
      </c>
      <c r="G3" s="74">
        <v>2</v>
      </c>
      <c r="H3" s="72" t="s">
        <v>2127</v>
      </c>
      <c r="K3" s="72" t="s">
        <v>2129</v>
      </c>
      <c r="L3" s="58" t="s">
        <v>1014</v>
      </c>
      <c r="N3" s="57">
        <f>SUM('[1]Total(Fp)'!P4)</f>
        <v>33</v>
      </c>
      <c r="O3" s="57">
        <f>SUM('[1]Total(Fp)'!Q4)</f>
        <v>0</v>
      </c>
      <c r="P3" s="57">
        <f>SUM('[1]Total(Fp)'!O4)</f>
        <v>93</v>
      </c>
    </row>
    <row r="4" spans="1:28" ht="207.6" customHeight="1">
      <c r="A4" s="56" t="s">
        <v>14</v>
      </c>
      <c r="B4" s="71" t="s">
        <v>2037</v>
      </c>
      <c r="C4" s="72" t="s">
        <v>2031</v>
      </c>
      <c r="D4" s="71" t="s">
        <v>2034</v>
      </c>
      <c r="E4" s="82">
        <f>SUM('[1]Total(Fp)'!G5)</f>
        <v>156</v>
      </c>
      <c r="F4" s="72" t="s">
        <v>2126</v>
      </c>
      <c r="G4" s="74">
        <v>2</v>
      </c>
      <c r="H4" s="72" t="s">
        <v>2127</v>
      </c>
      <c r="K4" s="72" t="s">
        <v>2130</v>
      </c>
      <c r="L4" s="58" t="s">
        <v>1015</v>
      </c>
      <c r="N4" s="57">
        <f>SUM('[1]Total(Fp)'!P5)</f>
        <v>38</v>
      </c>
      <c r="O4" s="57">
        <f>SUM('[1]Total(Fp)'!Q5)</f>
        <v>0</v>
      </c>
      <c r="P4" s="57">
        <f>SUM('[1]Total(Fp)'!O5)</f>
        <v>118</v>
      </c>
      <c r="AA4" s="85"/>
      <c r="AB4" s="85"/>
    </row>
    <row r="5" spans="1:28" ht="207.6" customHeight="1">
      <c r="A5" s="56" t="s">
        <v>15</v>
      </c>
      <c r="B5" s="71" t="s">
        <v>2038</v>
      </c>
      <c r="C5" s="72" t="s">
        <v>2031</v>
      </c>
      <c r="D5" s="71" t="s">
        <v>2084</v>
      </c>
      <c r="E5" s="82">
        <f>SUM('[1]Total(Fp)'!G6)</f>
        <v>56</v>
      </c>
      <c r="F5" s="72" t="s">
        <v>2126</v>
      </c>
      <c r="G5" s="74">
        <v>2</v>
      </c>
      <c r="H5" s="72" t="s">
        <v>2127</v>
      </c>
      <c r="K5" s="72" t="s">
        <v>2131</v>
      </c>
      <c r="L5" s="58" t="s">
        <v>1016</v>
      </c>
      <c r="N5" s="57">
        <f>SUM('[1]Total(Fp)'!P6)</f>
        <v>10</v>
      </c>
      <c r="O5" s="57">
        <f>SUM('[1]Total(Fp)'!Q6)</f>
        <v>0</v>
      </c>
      <c r="P5" s="57">
        <f>SUM('[1]Total(Fp)'!O6)</f>
        <v>46</v>
      </c>
    </row>
    <row r="6" spans="1:28" ht="207.6" customHeight="1">
      <c r="A6" s="56" t="s">
        <v>16</v>
      </c>
      <c r="B6" s="71" t="s">
        <v>2039</v>
      </c>
      <c r="C6" s="72" t="s">
        <v>2031</v>
      </c>
      <c r="D6" s="71" t="s">
        <v>2085</v>
      </c>
      <c r="E6" s="82">
        <f>SUM('[1]Total(Fp)'!G7)</f>
        <v>40</v>
      </c>
      <c r="F6" s="72" t="s">
        <v>2126</v>
      </c>
      <c r="G6" s="74">
        <v>2</v>
      </c>
      <c r="H6" s="72" t="s">
        <v>2127</v>
      </c>
      <c r="K6" s="72" t="s">
        <v>2132</v>
      </c>
      <c r="L6" s="57" t="s">
        <v>1017</v>
      </c>
      <c r="N6" s="57">
        <f>SUM('[1]Total(Fp)'!P7)</f>
        <v>12</v>
      </c>
      <c r="O6" s="57">
        <f>SUM('[1]Total(Fp)'!Q7)</f>
        <v>0</v>
      </c>
      <c r="P6" s="57">
        <f>SUM('[1]Total(Fp)'!O7)</f>
        <v>28</v>
      </c>
    </row>
    <row r="7" spans="1:28" ht="207.6" customHeight="1">
      <c r="A7" s="56" t="s">
        <v>17</v>
      </c>
      <c r="B7" s="71" t="s">
        <v>2040</v>
      </c>
      <c r="C7" s="72" t="s">
        <v>2031</v>
      </c>
      <c r="D7" s="71" t="s">
        <v>2033</v>
      </c>
      <c r="E7" s="82">
        <f>SUM('[1]Total(Fp)'!G8)</f>
        <v>54</v>
      </c>
      <c r="F7" s="72" t="s">
        <v>2126</v>
      </c>
      <c r="G7" s="74">
        <v>2</v>
      </c>
      <c r="H7" s="72" t="s">
        <v>2127</v>
      </c>
      <c r="K7" s="72" t="s">
        <v>2133</v>
      </c>
      <c r="L7" s="57" t="s">
        <v>1018</v>
      </c>
      <c r="N7" s="57">
        <f>SUM('[1]Total(Fp)'!P8)</f>
        <v>11</v>
      </c>
      <c r="O7" s="57">
        <f>SUM('[1]Total(Fp)'!Q8)</f>
        <v>0</v>
      </c>
      <c r="P7" s="57">
        <f>SUM('[1]Total(Fp)'!O8)</f>
        <v>43</v>
      </c>
    </row>
    <row r="8" spans="1:28" ht="207.6" customHeight="1">
      <c r="A8" s="56" t="s">
        <v>18</v>
      </c>
      <c r="B8" s="71" t="s">
        <v>2041</v>
      </c>
      <c r="C8" s="72" t="s">
        <v>2031</v>
      </c>
      <c r="D8" s="71" t="s">
        <v>2086</v>
      </c>
      <c r="E8" s="82">
        <f>SUM('[1]Total(Fp)'!G9)</f>
        <v>56</v>
      </c>
      <c r="F8" s="72" t="s">
        <v>2126</v>
      </c>
      <c r="G8" s="74">
        <v>2</v>
      </c>
      <c r="H8" s="72" t="s">
        <v>2127</v>
      </c>
      <c r="K8" s="72" t="s">
        <v>2134</v>
      </c>
      <c r="L8" s="57" t="s">
        <v>1019</v>
      </c>
      <c r="N8" s="57">
        <f>SUM('[1]Total(Fp)'!P9)</f>
        <v>13</v>
      </c>
      <c r="O8" s="57">
        <f>SUM('[1]Total(Fp)'!Q9)</f>
        <v>0</v>
      </c>
      <c r="P8" s="57">
        <f>SUM('[1]Total(Fp)'!O9)</f>
        <v>43</v>
      </c>
    </row>
    <row r="9" spans="1:28" ht="207.6" customHeight="1">
      <c r="A9" s="56" t="s">
        <v>19</v>
      </c>
      <c r="B9" s="71" t="s">
        <v>2042</v>
      </c>
      <c r="C9" s="72" t="s">
        <v>2031</v>
      </c>
      <c r="D9" s="71" t="s">
        <v>2087</v>
      </c>
      <c r="E9" s="82">
        <f>SUM('[1]Total(Fp)'!G10)</f>
        <v>47</v>
      </c>
      <c r="F9" s="72" t="s">
        <v>2126</v>
      </c>
      <c r="G9" s="74">
        <v>4</v>
      </c>
      <c r="H9" s="72" t="s">
        <v>2127</v>
      </c>
      <c r="K9" s="72" t="s">
        <v>2135</v>
      </c>
      <c r="L9" s="57" t="s">
        <v>1020</v>
      </c>
      <c r="N9" s="57">
        <f>SUM('[1]Total(Fp)'!P10)</f>
        <v>14</v>
      </c>
      <c r="O9" s="57">
        <f>SUM('[1]Total(Fp)'!Q10)</f>
        <v>3</v>
      </c>
      <c r="P9" s="57">
        <f>SUM('[1]Total(Fp)'!O10)</f>
        <v>30</v>
      </c>
      <c r="W9" s="75" t="s">
        <v>2974</v>
      </c>
    </row>
    <row r="10" spans="1:28" ht="207.6" customHeight="1">
      <c r="A10" s="56" t="s">
        <v>20</v>
      </c>
      <c r="B10" s="71" t="s">
        <v>2043</v>
      </c>
      <c r="C10" s="72" t="s">
        <v>2031</v>
      </c>
      <c r="D10" s="71" t="s">
        <v>2088</v>
      </c>
      <c r="E10" s="82">
        <f>SUM('[1]Total(Fp)'!G11)</f>
        <v>20</v>
      </c>
      <c r="F10" s="72" t="s">
        <v>2126</v>
      </c>
      <c r="G10" s="74">
        <v>3</v>
      </c>
      <c r="H10" s="72" t="s">
        <v>2127</v>
      </c>
      <c r="K10" s="72" t="s">
        <v>2136</v>
      </c>
      <c r="L10" s="70" t="s">
        <v>1021</v>
      </c>
      <c r="N10" s="57">
        <f>SUM('[1]Total(Fp)'!P11)</f>
        <v>4</v>
      </c>
      <c r="O10" s="57">
        <f>SUM('[1]Total(Fp)'!Q11)</f>
        <v>0</v>
      </c>
      <c r="P10" s="57">
        <f>SUM('[1]Total(Fp)'!O11)</f>
        <v>16</v>
      </c>
    </row>
    <row r="11" spans="1:28" ht="207.6" customHeight="1">
      <c r="A11" s="56" t="s">
        <v>21</v>
      </c>
      <c r="B11" s="71" t="s">
        <v>2044</v>
      </c>
      <c r="C11" s="72" t="s">
        <v>2031</v>
      </c>
      <c r="D11" s="71" t="s">
        <v>2088</v>
      </c>
      <c r="E11" s="82">
        <f>SUM('[1]Total(Fp)'!G12)</f>
        <v>76</v>
      </c>
      <c r="F11" s="72" t="s">
        <v>2126</v>
      </c>
      <c r="G11" s="74">
        <v>2</v>
      </c>
      <c r="H11" s="72" t="s">
        <v>2127</v>
      </c>
      <c r="K11" s="72" t="s">
        <v>2137</v>
      </c>
      <c r="L11" s="70" t="s">
        <v>1022</v>
      </c>
      <c r="N11" s="57">
        <f>SUM('[1]Total(Fp)'!P12)</f>
        <v>16</v>
      </c>
      <c r="O11" s="57">
        <f>SUM('[1]Total(Fp)'!Q12)</f>
        <v>19</v>
      </c>
      <c r="P11" s="57">
        <f>SUM('[1]Total(Fp)'!O12)</f>
        <v>41</v>
      </c>
    </row>
    <row r="12" spans="1:28" ht="207.6" customHeight="1">
      <c r="A12" s="56" t="s">
        <v>22</v>
      </c>
      <c r="B12" s="71" t="s">
        <v>2045</v>
      </c>
      <c r="C12" s="72" t="s">
        <v>2031</v>
      </c>
      <c r="D12" s="71" t="s">
        <v>2089</v>
      </c>
      <c r="E12" s="82">
        <f>SUM('[1]Total(Fp)'!G13)</f>
        <v>6</v>
      </c>
      <c r="F12" s="72" t="s">
        <v>2126</v>
      </c>
      <c r="G12" s="74">
        <v>3</v>
      </c>
      <c r="H12" s="72" t="s">
        <v>2127</v>
      </c>
      <c r="K12" s="72" t="s">
        <v>2138</v>
      </c>
      <c r="L12" s="57" t="s">
        <v>1023</v>
      </c>
      <c r="N12" s="57">
        <f>SUM('[1]Total(Fp)'!P13)</f>
        <v>0</v>
      </c>
      <c r="O12" s="57">
        <f>SUM('[1]Total(Fp)'!Q13)</f>
        <v>0</v>
      </c>
      <c r="P12" s="57">
        <f>SUM('[1]Total(Fp)'!O13)</f>
        <v>6</v>
      </c>
    </row>
    <row r="13" spans="1:28" ht="207.6" customHeight="1">
      <c r="A13" s="56" t="s">
        <v>23</v>
      </c>
      <c r="B13" s="71" t="s">
        <v>2046</v>
      </c>
      <c r="C13" s="72" t="s">
        <v>2031</v>
      </c>
      <c r="D13" s="71" t="s">
        <v>2090</v>
      </c>
      <c r="E13" s="82">
        <f>SUM('[1]Total(Fp)'!G14)</f>
        <v>39</v>
      </c>
      <c r="F13" s="72" t="s">
        <v>2126</v>
      </c>
      <c r="G13" s="74">
        <v>4</v>
      </c>
      <c r="H13" s="72" t="s">
        <v>2127</v>
      </c>
      <c r="K13" s="72" t="s">
        <v>2139</v>
      </c>
      <c r="L13" s="57" t="s">
        <v>1024</v>
      </c>
      <c r="N13" s="57">
        <f>SUM('[1]Total(Fp)'!P14)</f>
        <v>7</v>
      </c>
      <c r="O13" s="57">
        <f>SUM('[1]Total(Fp)'!Q14)</f>
        <v>0</v>
      </c>
      <c r="P13" s="57">
        <f>SUM('[1]Total(Fp)'!O14)</f>
        <v>32</v>
      </c>
    </row>
    <row r="14" spans="1:28" ht="207.6" customHeight="1">
      <c r="A14" s="56" t="s">
        <v>24</v>
      </c>
      <c r="B14" s="71" t="s">
        <v>2047</v>
      </c>
      <c r="C14" s="72" t="s">
        <v>2031</v>
      </c>
      <c r="D14" s="71" t="s">
        <v>2091</v>
      </c>
      <c r="E14" s="82">
        <f>SUM('[1]Total(Fp)'!G15)</f>
        <v>43</v>
      </c>
      <c r="F14" s="72" t="s">
        <v>2126</v>
      </c>
      <c r="G14" s="74">
        <v>5</v>
      </c>
      <c r="H14" s="72" t="s">
        <v>2127</v>
      </c>
      <c r="K14" s="72" t="s">
        <v>2140</v>
      </c>
      <c r="L14" s="57" t="s">
        <v>1025</v>
      </c>
      <c r="N14" s="57">
        <f>SUM('[1]Total(Fp)'!P15)</f>
        <v>4</v>
      </c>
      <c r="O14" s="57">
        <f>SUM('[1]Total(Fp)'!Q15)</f>
        <v>0</v>
      </c>
      <c r="P14" s="57">
        <f>SUM('[1]Total(Fp)'!O15)</f>
        <v>39</v>
      </c>
    </row>
    <row r="15" spans="1:28" ht="207.6" customHeight="1">
      <c r="A15" s="56" t="s">
        <v>25</v>
      </c>
      <c r="B15" s="71" t="s">
        <v>2048</v>
      </c>
      <c r="C15" s="72" t="s">
        <v>2031</v>
      </c>
      <c r="D15" s="71" t="s">
        <v>2092</v>
      </c>
      <c r="E15" s="82">
        <f>SUM('[1]Total(Fp)'!G16)</f>
        <v>14</v>
      </c>
      <c r="F15" s="72" t="s">
        <v>2126</v>
      </c>
      <c r="G15" s="74">
        <v>4</v>
      </c>
      <c r="H15" s="72" t="s">
        <v>2127</v>
      </c>
      <c r="K15" s="72" t="s">
        <v>2141</v>
      </c>
      <c r="L15" s="57" t="s">
        <v>1026</v>
      </c>
      <c r="N15" s="57">
        <f>SUM('[1]Total(Fp)'!P16)</f>
        <v>4</v>
      </c>
      <c r="O15" s="57">
        <f>SUM('[1]Total(Fp)'!Q16)</f>
        <v>0</v>
      </c>
      <c r="P15" s="57">
        <f>SUM('[1]Total(Fp)'!O16)</f>
        <v>10</v>
      </c>
    </row>
    <row r="16" spans="1:28" ht="207.6" customHeight="1">
      <c r="A16" s="56" t="s">
        <v>26</v>
      </c>
      <c r="B16" s="71" t="s">
        <v>2049</v>
      </c>
      <c r="C16" s="72" t="s">
        <v>2031</v>
      </c>
      <c r="D16" s="71" t="s">
        <v>2093</v>
      </c>
      <c r="E16" s="82">
        <f>SUM('[1]Total(Fp)'!G17)</f>
        <v>68</v>
      </c>
      <c r="F16" s="72" t="s">
        <v>2126</v>
      </c>
      <c r="G16" s="74">
        <v>5</v>
      </c>
      <c r="H16" s="72" t="s">
        <v>2127</v>
      </c>
      <c r="K16" s="72" t="s">
        <v>2142</v>
      </c>
      <c r="L16" s="57" t="s">
        <v>1027</v>
      </c>
      <c r="N16" s="57">
        <f>SUM('[1]Total(Fp)'!P17)</f>
        <v>8</v>
      </c>
      <c r="O16" s="57">
        <f>SUM('[1]Total(Fp)'!Q17)</f>
        <v>0</v>
      </c>
      <c r="P16" s="57">
        <f>SUM('[1]Total(Fp)'!O17)</f>
        <v>60</v>
      </c>
    </row>
    <row r="17" spans="1:16" ht="207.6" customHeight="1">
      <c r="A17" s="56" t="s">
        <v>27</v>
      </c>
      <c r="B17" s="71" t="s">
        <v>2050</v>
      </c>
      <c r="C17" s="72" t="s">
        <v>2031</v>
      </c>
      <c r="D17" s="71" t="s">
        <v>2094</v>
      </c>
      <c r="E17" s="82">
        <f>SUM('[1]Total(Fp)'!G18)</f>
        <v>103</v>
      </c>
      <c r="F17" s="72" t="s">
        <v>2126</v>
      </c>
      <c r="G17" s="74">
        <v>6</v>
      </c>
      <c r="H17" s="72" t="s">
        <v>2127</v>
      </c>
      <c r="K17" s="72" t="s">
        <v>2143</v>
      </c>
      <c r="L17" s="57" t="s">
        <v>1028</v>
      </c>
      <c r="N17" s="57">
        <f>SUM('[1]Total(Fp)'!P18)</f>
        <v>27</v>
      </c>
      <c r="O17" s="57">
        <f>SUM('[1]Total(Fp)'!Q18)</f>
        <v>0</v>
      </c>
      <c r="P17" s="57">
        <f>SUM('[1]Total(Fp)'!O18)</f>
        <v>76</v>
      </c>
    </row>
    <row r="18" spans="1:16" ht="207.6" customHeight="1">
      <c r="A18" s="56" t="s">
        <v>28</v>
      </c>
      <c r="B18" s="71" t="s">
        <v>2051</v>
      </c>
      <c r="C18" s="72" t="s">
        <v>2031</v>
      </c>
      <c r="D18" s="71" t="s">
        <v>2095</v>
      </c>
      <c r="E18" s="82">
        <f>SUM('[1]Total(Fp)'!G19)</f>
        <v>0</v>
      </c>
      <c r="F18" s="72" t="s">
        <v>2126</v>
      </c>
      <c r="G18" s="74">
        <v>10</v>
      </c>
      <c r="H18" s="72" t="s">
        <v>2127</v>
      </c>
      <c r="K18" s="72" t="s">
        <v>2144</v>
      </c>
      <c r="L18" s="57" t="s">
        <v>1029</v>
      </c>
      <c r="N18" s="57">
        <f>SUM('[1]Total(Fp)'!P19)</f>
        <v>0</v>
      </c>
      <c r="O18" s="57">
        <f>SUM('[1]Total(Fp)'!Q19)</f>
        <v>0</v>
      </c>
      <c r="P18" s="57">
        <f>SUM('[1]Total(Fp)'!O19)</f>
        <v>0</v>
      </c>
    </row>
    <row r="19" spans="1:16" ht="207.6" customHeight="1">
      <c r="A19" s="56" t="s">
        <v>29</v>
      </c>
      <c r="B19" s="71" t="s">
        <v>2052</v>
      </c>
      <c r="C19" s="72" t="s">
        <v>2031</v>
      </c>
      <c r="D19" s="71" t="s">
        <v>2096</v>
      </c>
      <c r="E19" s="82">
        <f>SUM('[1]Total(Fp)'!G20)</f>
        <v>0</v>
      </c>
      <c r="F19" s="72" t="s">
        <v>2126</v>
      </c>
      <c r="G19" s="74">
        <v>6</v>
      </c>
      <c r="H19" s="72" t="s">
        <v>2127</v>
      </c>
      <c r="K19" s="72" t="s">
        <v>2145</v>
      </c>
      <c r="L19" s="57" t="s">
        <v>1030</v>
      </c>
      <c r="N19" s="57">
        <f>SUM('[1]Total(Fp)'!P20)</f>
        <v>0</v>
      </c>
      <c r="O19" s="57">
        <f>SUM('[1]Total(Fp)'!Q20)</f>
        <v>0</v>
      </c>
      <c r="P19" s="57">
        <f>SUM('[1]Total(Fp)'!O20)</f>
        <v>0</v>
      </c>
    </row>
    <row r="20" spans="1:16" ht="207.6" customHeight="1">
      <c r="A20" s="56" t="s">
        <v>30</v>
      </c>
      <c r="B20" s="71" t="s">
        <v>2053</v>
      </c>
      <c r="C20" s="72" t="s">
        <v>2031</v>
      </c>
      <c r="D20" s="71" t="s">
        <v>2097</v>
      </c>
      <c r="E20" s="82">
        <f>SUM('[1]Total(Fp)'!G21)</f>
        <v>40</v>
      </c>
      <c r="F20" s="72" t="s">
        <v>2126</v>
      </c>
      <c r="G20" s="74">
        <v>7</v>
      </c>
      <c r="H20" s="72" t="s">
        <v>2127</v>
      </c>
      <c r="K20" s="72" t="s">
        <v>2146</v>
      </c>
      <c r="L20" s="57" t="s">
        <v>1031</v>
      </c>
      <c r="N20" s="57">
        <f>SUM('[1]Total(Fp)'!P21)</f>
        <v>8</v>
      </c>
      <c r="O20" s="57">
        <f>SUM('[1]Total(Fp)'!Q21)</f>
        <v>0</v>
      </c>
      <c r="P20" s="57">
        <f>SUM('[1]Total(Fp)'!O21)</f>
        <v>32</v>
      </c>
    </row>
    <row r="21" spans="1:16" ht="207.6" customHeight="1">
      <c r="A21" s="56" t="s">
        <v>31</v>
      </c>
      <c r="B21" s="71" t="s">
        <v>2054</v>
      </c>
      <c r="C21" s="72" t="s">
        <v>2031</v>
      </c>
      <c r="D21" s="71" t="s">
        <v>2098</v>
      </c>
      <c r="E21" s="82">
        <f>SUM('[1]Total(Fp)'!G22)</f>
        <v>22</v>
      </c>
      <c r="F21" s="72" t="s">
        <v>2126</v>
      </c>
      <c r="G21" s="74">
        <v>7</v>
      </c>
      <c r="H21" s="72" t="s">
        <v>2127</v>
      </c>
      <c r="K21" s="72" t="s">
        <v>2147</v>
      </c>
      <c r="L21" s="57" t="s">
        <v>1032</v>
      </c>
      <c r="N21" s="57">
        <f>SUM('[1]Total(Fp)'!P22)</f>
        <v>2</v>
      </c>
      <c r="O21" s="57">
        <f>SUM('[1]Total(Fp)'!Q22)</f>
        <v>0</v>
      </c>
      <c r="P21" s="57">
        <f>SUM('[1]Total(Fp)'!O22)</f>
        <v>20</v>
      </c>
    </row>
    <row r="22" spans="1:16" ht="207.6" customHeight="1">
      <c r="A22" s="56" t="s">
        <v>32</v>
      </c>
      <c r="B22" s="71" t="s">
        <v>2055</v>
      </c>
      <c r="C22" s="72" t="s">
        <v>2031</v>
      </c>
      <c r="D22" s="71" t="s">
        <v>2099</v>
      </c>
      <c r="E22" s="82">
        <f>SUM('[1]Total(Fp)'!G23)</f>
        <v>0</v>
      </c>
      <c r="F22" s="72" t="s">
        <v>2126</v>
      </c>
      <c r="G22" s="74">
        <v>5</v>
      </c>
      <c r="H22" s="72" t="s">
        <v>2127</v>
      </c>
      <c r="K22" s="72" t="s">
        <v>2148</v>
      </c>
      <c r="L22" s="57" t="s">
        <v>1033</v>
      </c>
      <c r="N22" s="57">
        <f>SUM('[1]Total(Fp)'!P23)</f>
        <v>0</v>
      </c>
      <c r="O22" s="57">
        <f>SUM('[1]Total(Fp)'!Q23)</f>
        <v>0</v>
      </c>
      <c r="P22" s="57">
        <f>SUM('[1]Total(Fp)'!O23)</f>
        <v>0</v>
      </c>
    </row>
    <row r="23" spans="1:16" ht="207.6" customHeight="1">
      <c r="A23" s="56" t="s">
        <v>33</v>
      </c>
      <c r="B23" s="71" t="s">
        <v>2056</v>
      </c>
      <c r="C23" s="72" t="s">
        <v>2031</v>
      </c>
      <c r="D23" s="71" t="s">
        <v>2100</v>
      </c>
      <c r="E23" s="82">
        <f>SUM('[1]Total(Fp)'!G24)</f>
        <v>39</v>
      </c>
      <c r="F23" s="72" t="s">
        <v>2126</v>
      </c>
      <c r="G23" s="74">
        <v>7</v>
      </c>
      <c r="H23" s="72" t="s">
        <v>2127</v>
      </c>
      <c r="K23" s="72" t="s">
        <v>2149</v>
      </c>
      <c r="L23" s="57" t="s">
        <v>1034</v>
      </c>
      <c r="N23" s="57">
        <f>SUM('[1]Total(Fp)'!P24)</f>
        <v>8</v>
      </c>
      <c r="O23" s="57">
        <f>SUM('[1]Total(Fp)'!Q24)</f>
        <v>0</v>
      </c>
      <c r="P23" s="57">
        <f>SUM('[1]Total(Fp)'!O24)</f>
        <v>31</v>
      </c>
    </row>
    <row r="24" spans="1:16" ht="207.6" customHeight="1">
      <c r="A24" s="56" t="s">
        <v>34</v>
      </c>
      <c r="B24" s="71" t="s">
        <v>2057</v>
      </c>
      <c r="C24" s="72" t="s">
        <v>2031</v>
      </c>
      <c r="D24" s="71" t="s">
        <v>2101</v>
      </c>
      <c r="E24" s="82">
        <f>SUM('[1]Total(Fp)'!G25)</f>
        <v>7</v>
      </c>
      <c r="F24" s="72" t="s">
        <v>2126</v>
      </c>
      <c r="G24" s="74">
        <v>11</v>
      </c>
      <c r="H24" s="72" t="s">
        <v>2127</v>
      </c>
      <c r="K24" s="72" t="s">
        <v>2150</v>
      </c>
      <c r="L24" s="57" t="s">
        <v>1035</v>
      </c>
      <c r="N24" s="57">
        <f>SUM('[1]Total(Fp)'!P25)</f>
        <v>6</v>
      </c>
      <c r="O24" s="57">
        <f>SUM('[1]Total(Fp)'!Q25)</f>
        <v>0</v>
      </c>
      <c r="P24" s="57">
        <f>SUM('[1]Total(Fp)'!O25)</f>
        <v>1</v>
      </c>
    </row>
    <row r="25" spans="1:16" ht="207.6" customHeight="1">
      <c r="A25" s="56" t="s">
        <v>35</v>
      </c>
      <c r="B25" s="71" t="s">
        <v>2058</v>
      </c>
      <c r="C25" s="72" t="s">
        <v>2031</v>
      </c>
      <c r="D25" s="71" t="s">
        <v>2102</v>
      </c>
      <c r="E25" s="82">
        <f>SUM('[1]Total(Fp)'!G26)</f>
        <v>36</v>
      </c>
      <c r="F25" s="72" t="s">
        <v>2126</v>
      </c>
      <c r="G25" s="74">
        <v>14</v>
      </c>
      <c r="H25" s="72" t="s">
        <v>2127</v>
      </c>
      <c r="K25" s="72" t="s">
        <v>2151</v>
      </c>
      <c r="L25" s="57" t="s">
        <v>1036</v>
      </c>
      <c r="N25" s="57">
        <f>SUM('[1]Total(Fp)'!P26)</f>
        <v>12</v>
      </c>
      <c r="O25" s="57">
        <f>SUM('[1]Total(Fp)'!Q26)</f>
        <v>0</v>
      </c>
      <c r="P25" s="57">
        <f>SUM('[1]Total(Fp)'!O26)</f>
        <v>24</v>
      </c>
    </row>
    <row r="26" spans="1:16" ht="207.6" customHeight="1">
      <c r="A26" s="56" t="s">
        <v>36</v>
      </c>
      <c r="B26" s="71" t="s">
        <v>2059</v>
      </c>
      <c r="C26" s="72" t="s">
        <v>2031</v>
      </c>
      <c r="D26" s="71" t="s">
        <v>2103</v>
      </c>
      <c r="E26" s="82">
        <f>SUM('[1]Total(Fp)'!G27)</f>
        <v>1</v>
      </c>
      <c r="F26" s="72" t="s">
        <v>2126</v>
      </c>
      <c r="G26" s="74">
        <v>15</v>
      </c>
      <c r="H26" s="72" t="s">
        <v>2127</v>
      </c>
      <c r="K26" s="72" t="s">
        <v>2152</v>
      </c>
      <c r="L26" s="57" t="s">
        <v>1037</v>
      </c>
      <c r="N26" s="57">
        <f>SUM('[1]Total(Fp)'!P27)</f>
        <v>0</v>
      </c>
      <c r="O26" s="57">
        <f>SUM('[1]Total(Fp)'!Q27)</f>
        <v>0</v>
      </c>
      <c r="P26" s="57">
        <f>SUM('[1]Total(Fp)'!O27)</f>
        <v>1</v>
      </c>
    </row>
    <row r="27" spans="1:16" ht="207.6" customHeight="1">
      <c r="A27" s="56" t="s">
        <v>37</v>
      </c>
      <c r="B27" s="71" t="s">
        <v>2060</v>
      </c>
      <c r="C27" s="72" t="s">
        <v>2031</v>
      </c>
      <c r="D27" s="71" t="s">
        <v>2104</v>
      </c>
      <c r="E27" s="82">
        <f>SUM('[1]Total(Fp)'!G28)</f>
        <v>15</v>
      </c>
      <c r="F27" s="72" t="s">
        <v>2126</v>
      </c>
      <c r="G27" s="74">
        <v>12</v>
      </c>
      <c r="H27" s="72" t="s">
        <v>2127</v>
      </c>
      <c r="K27" s="72" t="s">
        <v>2153</v>
      </c>
      <c r="L27" s="57" t="s">
        <v>1038</v>
      </c>
      <c r="N27" s="57">
        <f>SUM('[1]Total(Fp)'!P28)</f>
        <v>0</v>
      </c>
      <c r="O27" s="57">
        <f>SUM('[1]Total(Fp)'!Q28)</f>
        <v>0</v>
      </c>
      <c r="P27" s="57">
        <f>SUM('[1]Total(Fp)'!O28)</f>
        <v>15</v>
      </c>
    </row>
    <row r="28" spans="1:16" ht="207.6" customHeight="1">
      <c r="A28" s="56" t="s">
        <v>38</v>
      </c>
      <c r="B28" s="71" t="s">
        <v>2061</v>
      </c>
      <c r="C28" s="72" t="s">
        <v>2031</v>
      </c>
      <c r="D28" s="71" t="s">
        <v>2105</v>
      </c>
      <c r="E28" s="82">
        <f>SUM('[1]Total(Fp)'!G29)</f>
        <v>0</v>
      </c>
      <c r="F28" s="72" t="s">
        <v>2126</v>
      </c>
      <c r="G28" s="74">
        <v>17</v>
      </c>
      <c r="H28" s="72" t="s">
        <v>2127</v>
      </c>
      <c r="K28" s="72" t="s">
        <v>2154</v>
      </c>
      <c r="L28" s="57" t="s">
        <v>1039</v>
      </c>
      <c r="N28" s="57">
        <f>SUM('[1]Total(Fp)'!P29)</f>
        <v>0</v>
      </c>
      <c r="O28" s="57">
        <f>SUM('[1]Total(Fp)'!Q29)</f>
        <v>0</v>
      </c>
      <c r="P28" s="57">
        <f>SUM('[1]Total(Fp)'!O29)</f>
        <v>0</v>
      </c>
    </row>
    <row r="29" spans="1:16" ht="207.6" customHeight="1">
      <c r="A29" s="56" t="s">
        <v>39</v>
      </c>
      <c r="B29" s="71" t="s">
        <v>2062</v>
      </c>
      <c r="C29" s="72" t="s">
        <v>2031</v>
      </c>
      <c r="D29" s="71" t="s">
        <v>2106</v>
      </c>
      <c r="E29" s="82">
        <f>SUM('[1]Total(Fp)'!G30)</f>
        <v>0</v>
      </c>
      <c r="F29" s="72" t="s">
        <v>2126</v>
      </c>
      <c r="G29" s="74">
        <v>25</v>
      </c>
      <c r="H29" s="72" t="s">
        <v>2127</v>
      </c>
      <c r="K29" s="72" t="s">
        <v>2155</v>
      </c>
      <c r="L29" s="57" t="s">
        <v>1040</v>
      </c>
      <c r="N29" s="57">
        <f>SUM('[1]Total(Fp)'!P30)</f>
        <v>0</v>
      </c>
      <c r="O29" s="57">
        <f>SUM('[1]Total(Fp)'!Q30)</f>
        <v>0</v>
      </c>
      <c r="P29" s="57">
        <f>SUM('[1]Total(Fp)'!O30)</f>
        <v>0</v>
      </c>
    </row>
    <row r="30" spans="1:16" ht="207.6" customHeight="1">
      <c r="A30" s="56" t="s">
        <v>40</v>
      </c>
      <c r="B30" s="71" t="s">
        <v>2063</v>
      </c>
      <c r="C30" s="72" t="s">
        <v>2031</v>
      </c>
      <c r="D30" s="71" t="s">
        <v>2107</v>
      </c>
      <c r="E30" s="82">
        <f>SUM('[1]Total(Fp)'!G31)</f>
        <v>-15</v>
      </c>
      <c r="F30" s="72" t="s">
        <v>2126</v>
      </c>
      <c r="G30" s="74">
        <v>30</v>
      </c>
      <c r="H30" s="72" t="s">
        <v>2127</v>
      </c>
      <c r="K30" s="72" t="s">
        <v>2156</v>
      </c>
      <c r="L30" s="57" t="s">
        <v>1041</v>
      </c>
      <c r="N30" s="57">
        <f>SUM('[1]Total(Fp)'!P31)</f>
        <v>-9</v>
      </c>
      <c r="O30" s="57">
        <f>SUM('[1]Total(Fp)'!Q31)</f>
        <v>0</v>
      </c>
      <c r="P30" s="57">
        <f>SUM('[1]Total(Fp)'!O31)</f>
        <v>-6</v>
      </c>
    </row>
    <row r="31" spans="1:16" ht="207.6" customHeight="1">
      <c r="A31" s="56" t="s">
        <v>41</v>
      </c>
      <c r="B31" s="71" t="s">
        <v>2063</v>
      </c>
      <c r="C31" s="72" t="s">
        <v>2031</v>
      </c>
      <c r="D31" s="71" t="s">
        <v>2103</v>
      </c>
      <c r="E31" s="82">
        <f>SUM('[1]Total(Fp)'!G32)</f>
        <v>38</v>
      </c>
      <c r="F31" s="72" t="s">
        <v>2126</v>
      </c>
      <c r="G31" s="74">
        <v>12</v>
      </c>
      <c r="H31" s="72" t="s">
        <v>2127</v>
      </c>
      <c r="K31" s="72" t="s">
        <v>2157</v>
      </c>
      <c r="L31" s="57" t="s">
        <v>1042</v>
      </c>
      <c r="N31" s="57">
        <f>SUM('[1]Total(Fp)'!P32)</f>
        <v>15</v>
      </c>
      <c r="O31" s="57">
        <f>SUM('[1]Total(Fp)'!Q32)</f>
        <v>0</v>
      </c>
      <c r="P31" s="57">
        <f>SUM('[1]Total(Fp)'!O32)</f>
        <v>23</v>
      </c>
    </row>
    <row r="32" spans="1:16" ht="207.6" customHeight="1">
      <c r="A32" s="56" t="s">
        <v>42</v>
      </c>
      <c r="B32" s="71" t="s">
        <v>2064</v>
      </c>
      <c r="C32" s="72" t="s">
        <v>2031</v>
      </c>
      <c r="D32" s="71" t="s">
        <v>2108</v>
      </c>
      <c r="E32" s="82">
        <f>SUM('[1]Total(Fp)'!G33)</f>
        <v>35</v>
      </c>
      <c r="F32" s="72" t="s">
        <v>2126</v>
      </c>
      <c r="G32" s="74">
        <v>2</v>
      </c>
      <c r="H32" s="72" t="s">
        <v>2127</v>
      </c>
      <c r="K32" s="72" t="s">
        <v>2158</v>
      </c>
      <c r="L32" s="70" t="s">
        <v>1043</v>
      </c>
      <c r="N32" s="57">
        <f>SUM('[1]Total(Fp)'!P33)</f>
        <v>4</v>
      </c>
      <c r="O32" s="57">
        <f>SUM('[1]Total(Fp)'!Q33)</f>
        <v>0</v>
      </c>
      <c r="P32" s="57">
        <f>SUM('[1]Total(Fp)'!O33)</f>
        <v>31</v>
      </c>
    </row>
    <row r="33" spans="1:16" ht="207.6" customHeight="1">
      <c r="A33" s="56" t="s">
        <v>43</v>
      </c>
      <c r="B33" s="71" t="s">
        <v>2065</v>
      </c>
      <c r="C33" s="72" t="s">
        <v>2031</v>
      </c>
      <c r="D33" s="71" t="s">
        <v>2100</v>
      </c>
      <c r="E33" s="82">
        <f>SUM('[1]Total(Fp)'!G34)</f>
        <v>1</v>
      </c>
      <c r="F33" s="72" t="s">
        <v>2126</v>
      </c>
      <c r="G33" s="74">
        <v>6</v>
      </c>
      <c r="H33" s="72" t="s">
        <v>2127</v>
      </c>
      <c r="K33" s="72" t="s">
        <v>2159</v>
      </c>
      <c r="L33" s="70" t="s">
        <v>1044</v>
      </c>
      <c r="N33" s="57">
        <f>SUM('[1]Total(Fp)'!P34)</f>
        <v>0</v>
      </c>
      <c r="O33" s="57">
        <f>SUM('[1]Total(Fp)'!Q34)</f>
        <v>0</v>
      </c>
      <c r="P33" s="57">
        <f>SUM('[1]Total(Fp)'!O34)</f>
        <v>1</v>
      </c>
    </row>
    <row r="34" spans="1:16" ht="207.6" customHeight="1">
      <c r="A34" s="56" t="s">
        <v>44</v>
      </c>
      <c r="B34" s="71" t="s">
        <v>2066</v>
      </c>
      <c r="C34" s="72" t="s">
        <v>2031</v>
      </c>
      <c r="D34" s="71" t="s">
        <v>2109</v>
      </c>
      <c r="E34" s="82">
        <f>SUM('[1]Total(Fp)'!G35)</f>
        <v>82</v>
      </c>
      <c r="F34" s="72" t="s">
        <v>2126</v>
      </c>
      <c r="G34" s="74">
        <v>7</v>
      </c>
      <c r="H34" s="72" t="s">
        <v>2127</v>
      </c>
      <c r="K34" s="72" t="s">
        <v>2160</v>
      </c>
      <c r="L34" s="57" t="s">
        <v>1045</v>
      </c>
      <c r="N34" s="57">
        <f>SUM('[1]Total(Fp)'!P35)</f>
        <v>15</v>
      </c>
      <c r="O34" s="57">
        <f>SUM('[1]Total(Fp)'!Q35)</f>
        <v>5</v>
      </c>
      <c r="P34" s="57">
        <f>SUM('[1]Total(Fp)'!O35)</f>
        <v>62</v>
      </c>
    </row>
    <row r="35" spans="1:16" ht="207.6" customHeight="1">
      <c r="A35" s="56" t="s">
        <v>45</v>
      </c>
      <c r="B35" s="71" t="s">
        <v>2067</v>
      </c>
      <c r="C35" s="72" t="s">
        <v>2031</v>
      </c>
      <c r="D35" s="71" t="s">
        <v>2110</v>
      </c>
      <c r="E35" s="82">
        <f>SUM('[1]Total(Fp)'!G36)</f>
        <v>30</v>
      </c>
      <c r="F35" s="72" t="s">
        <v>2126</v>
      </c>
      <c r="G35" s="74">
        <v>2</v>
      </c>
      <c r="H35" s="72" t="s">
        <v>2127</v>
      </c>
      <c r="K35" s="72" t="s">
        <v>2161</v>
      </c>
      <c r="L35" s="57" t="s">
        <v>1046</v>
      </c>
      <c r="N35" s="57">
        <f>SUM('[1]Total(Fp)'!P36)</f>
        <v>8</v>
      </c>
      <c r="O35" s="57">
        <f>SUM('[1]Total(Fp)'!Q36)</f>
        <v>0</v>
      </c>
      <c r="P35" s="57">
        <f>SUM('[1]Total(Fp)'!O36)</f>
        <v>22</v>
      </c>
    </row>
    <row r="36" spans="1:16" ht="207.6" customHeight="1">
      <c r="A36" s="56" t="s">
        <v>46</v>
      </c>
      <c r="B36" s="71" t="s">
        <v>2068</v>
      </c>
      <c r="C36" s="72" t="s">
        <v>2031</v>
      </c>
      <c r="D36" s="71" t="s">
        <v>2111</v>
      </c>
      <c r="E36" s="82">
        <f>SUM('[1]Total(Fp)'!G37)</f>
        <v>104</v>
      </c>
      <c r="F36" s="72" t="s">
        <v>2126</v>
      </c>
      <c r="G36" s="74">
        <v>2</v>
      </c>
      <c r="H36" s="72" t="s">
        <v>2127</v>
      </c>
      <c r="K36" s="72" t="s">
        <v>2162</v>
      </c>
      <c r="L36" s="57" t="s">
        <v>1047</v>
      </c>
      <c r="N36" s="57">
        <f>SUM('[1]Total(Fp)'!P37)</f>
        <v>38</v>
      </c>
      <c r="O36" s="57">
        <f>SUM('[1]Total(Fp)'!Q37)</f>
        <v>0</v>
      </c>
      <c r="P36" s="57">
        <f>SUM('[1]Total(Fp)'!O37)</f>
        <v>66</v>
      </c>
    </row>
    <row r="37" spans="1:16" ht="207.6" customHeight="1">
      <c r="A37" s="56" t="s">
        <v>47</v>
      </c>
      <c r="B37" s="71" t="s">
        <v>2069</v>
      </c>
      <c r="C37" s="72" t="s">
        <v>2031</v>
      </c>
      <c r="D37" s="71" t="s">
        <v>2112</v>
      </c>
      <c r="E37" s="82">
        <f>SUM('[1]Total(Fp)'!G38)</f>
        <v>49</v>
      </c>
      <c r="F37" s="72" t="s">
        <v>2126</v>
      </c>
      <c r="G37" s="74">
        <v>3</v>
      </c>
      <c r="H37" s="72" t="s">
        <v>2127</v>
      </c>
      <c r="K37" s="72" t="s">
        <v>2163</v>
      </c>
      <c r="L37" s="57" t="s">
        <v>1048</v>
      </c>
      <c r="N37" s="57">
        <f>SUM('[1]Total(Fp)'!P38)</f>
        <v>23</v>
      </c>
      <c r="O37" s="57">
        <f>SUM('[1]Total(Fp)'!Q38)</f>
        <v>0</v>
      </c>
      <c r="P37" s="57">
        <f>SUM('[1]Total(Fp)'!O38)</f>
        <v>26</v>
      </c>
    </row>
    <row r="38" spans="1:16" ht="207.6" customHeight="1">
      <c r="A38" s="56" t="s">
        <v>48</v>
      </c>
      <c r="B38" s="71" t="s">
        <v>2070</v>
      </c>
      <c r="C38" s="72" t="s">
        <v>2031</v>
      </c>
      <c r="D38" s="71" t="s">
        <v>2113</v>
      </c>
      <c r="E38" s="82">
        <f>SUM('[1]Total(Fp)'!G39)</f>
        <v>53</v>
      </c>
      <c r="F38" s="72" t="s">
        <v>2126</v>
      </c>
      <c r="G38" s="74">
        <v>3</v>
      </c>
      <c r="H38" s="72" t="s">
        <v>2127</v>
      </c>
      <c r="K38" s="72" t="s">
        <v>2164</v>
      </c>
      <c r="L38" s="57" t="s">
        <v>1049</v>
      </c>
      <c r="N38" s="57">
        <f>SUM('[1]Total(Fp)'!P39)</f>
        <v>28</v>
      </c>
      <c r="O38" s="57">
        <f>SUM('[1]Total(Fp)'!Q39)</f>
        <v>0</v>
      </c>
      <c r="P38" s="57">
        <f>SUM('[1]Total(Fp)'!O39)</f>
        <v>25</v>
      </c>
    </row>
    <row r="39" spans="1:16" ht="207.6" customHeight="1">
      <c r="A39" s="56" t="s">
        <v>49</v>
      </c>
      <c r="B39" s="71" t="s">
        <v>2071</v>
      </c>
      <c r="C39" s="72" t="s">
        <v>2031</v>
      </c>
      <c r="D39" s="71" t="s">
        <v>2114</v>
      </c>
      <c r="E39" s="82">
        <f>SUM('[1]Total(Fp)'!G40)</f>
        <v>73</v>
      </c>
      <c r="F39" s="72" t="s">
        <v>2126</v>
      </c>
      <c r="G39" s="74">
        <v>1</v>
      </c>
      <c r="H39" s="72" t="s">
        <v>2127</v>
      </c>
      <c r="K39" s="72" t="s">
        <v>2165</v>
      </c>
      <c r="L39" s="57" t="s">
        <v>1050</v>
      </c>
      <c r="N39" s="57">
        <f>SUM('[1]Total(Fp)'!P40)</f>
        <v>0</v>
      </c>
      <c r="O39" s="57">
        <f>SUM('[1]Total(Fp)'!Q40)</f>
        <v>0</v>
      </c>
      <c r="P39" s="57">
        <f>SUM('[1]Total(Fp)'!O40)</f>
        <v>73</v>
      </c>
    </row>
    <row r="40" spans="1:16" ht="207.6" customHeight="1">
      <c r="A40" s="56" t="s">
        <v>50</v>
      </c>
      <c r="B40" s="71" t="s">
        <v>2072</v>
      </c>
      <c r="C40" s="72" t="s">
        <v>2031</v>
      </c>
      <c r="D40" s="71" t="s">
        <v>2115</v>
      </c>
      <c r="E40" s="82">
        <f>SUM('[1]Total(Fp)'!G41)</f>
        <v>98</v>
      </c>
      <c r="F40" s="72" t="s">
        <v>2126</v>
      </c>
      <c r="G40" s="74">
        <v>1.5</v>
      </c>
      <c r="H40" s="72" t="s">
        <v>2127</v>
      </c>
      <c r="K40" s="72" t="s">
        <v>2166</v>
      </c>
      <c r="L40" s="57" t="s">
        <v>1051</v>
      </c>
      <c r="N40" s="57">
        <f>SUM('[1]Total(Fp)'!P41)</f>
        <v>46</v>
      </c>
      <c r="O40" s="57">
        <f>SUM('[1]Total(Fp)'!Q41)</f>
        <v>17</v>
      </c>
      <c r="P40" s="57">
        <f>SUM('[1]Total(Fp)'!O41)</f>
        <v>35</v>
      </c>
    </row>
    <row r="41" spans="1:16" ht="207.6" customHeight="1">
      <c r="A41" s="56" t="s">
        <v>51</v>
      </c>
      <c r="B41" s="71" t="s">
        <v>2073</v>
      </c>
      <c r="C41" s="72" t="s">
        <v>2031</v>
      </c>
      <c r="D41" s="71" t="s">
        <v>2116</v>
      </c>
      <c r="E41" s="82">
        <f>SUM('[1]Total(Fp)'!G42)</f>
        <v>89</v>
      </c>
      <c r="F41" s="72" t="s">
        <v>2126</v>
      </c>
      <c r="G41" s="74">
        <v>2</v>
      </c>
      <c r="H41" s="72" t="s">
        <v>2127</v>
      </c>
      <c r="K41" s="72" t="s">
        <v>2167</v>
      </c>
      <c r="L41" s="57" t="s">
        <v>1052</v>
      </c>
      <c r="N41" s="57">
        <f>SUM('[1]Total(Fp)'!P42)</f>
        <v>45</v>
      </c>
      <c r="O41" s="57">
        <f>SUM('[1]Total(Fp)'!Q42)</f>
        <v>13</v>
      </c>
      <c r="P41" s="57">
        <f>SUM('[1]Total(Fp)'!O42)</f>
        <v>31</v>
      </c>
    </row>
    <row r="42" spans="1:16" ht="207.6" customHeight="1">
      <c r="A42" s="56" t="s">
        <v>52</v>
      </c>
      <c r="B42" s="71" t="s">
        <v>2074</v>
      </c>
      <c r="C42" s="72" t="s">
        <v>2031</v>
      </c>
      <c r="D42" s="71" t="s">
        <v>2114</v>
      </c>
      <c r="E42" s="82">
        <f>SUM('[1]Total(Fp)'!G43)</f>
        <v>74</v>
      </c>
      <c r="F42" s="72" t="s">
        <v>2126</v>
      </c>
      <c r="G42" s="74">
        <v>1</v>
      </c>
      <c r="H42" s="72" t="s">
        <v>2127</v>
      </c>
      <c r="K42" s="72" t="s">
        <v>2168</v>
      </c>
      <c r="L42" s="57" t="s">
        <v>1053</v>
      </c>
      <c r="N42" s="57">
        <f>SUM('[1]Total(Fp)'!P43)</f>
        <v>0</v>
      </c>
      <c r="O42" s="57">
        <f>SUM('[1]Total(Fp)'!Q43)</f>
        <v>0</v>
      </c>
      <c r="P42" s="57">
        <f>SUM('[1]Total(Fp)'!O43)</f>
        <v>74</v>
      </c>
    </row>
    <row r="43" spans="1:16" ht="207.6" customHeight="1">
      <c r="A43" s="56" t="s">
        <v>53</v>
      </c>
      <c r="B43" s="71" t="s">
        <v>2075</v>
      </c>
      <c r="C43" s="72" t="s">
        <v>2031</v>
      </c>
      <c r="D43" s="71" t="s">
        <v>2117</v>
      </c>
      <c r="E43" s="82">
        <f>SUM('[1]Total(Fp)'!G44)</f>
        <v>16</v>
      </c>
      <c r="F43" s="72" t="s">
        <v>2126</v>
      </c>
      <c r="G43" s="74">
        <v>1.5</v>
      </c>
      <c r="H43" s="72" t="s">
        <v>2127</v>
      </c>
      <c r="K43" s="72" t="s">
        <v>2169</v>
      </c>
      <c r="L43" s="57" t="s">
        <v>1054</v>
      </c>
      <c r="N43" s="57">
        <f>SUM('[1]Total(Fp)'!P44)</f>
        <v>12</v>
      </c>
      <c r="O43" s="57">
        <f>SUM('[1]Total(Fp)'!Q44)</f>
        <v>0</v>
      </c>
      <c r="P43" s="57">
        <f>SUM('[1]Total(Fp)'!O44)</f>
        <v>4</v>
      </c>
    </row>
    <row r="44" spans="1:16" ht="207.6" customHeight="1">
      <c r="A44" s="56" t="s">
        <v>54</v>
      </c>
      <c r="B44" s="71" t="s">
        <v>2076</v>
      </c>
      <c r="C44" s="72" t="s">
        <v>2031</v>
      </c>
      <c r="D44" s="71" t="s">
        <v>2118</v>
      </c>
      <c r="E44" s="82">
        <f>SUM('[1]Total(Fp)'!G45)</f>
        <v>13</v>
      </c>
      <c r="F44" s="72" t="s">
        <v>2126</v>
      </c>
      <c r="G44" s="74">
        <v>2</v>
      </c>
      <c r="H44" s="72" t="s">
        <v>2127</v>
      </c>
      <c r="K44" s="72" t="s">
        <v>2170</v>
      </c>
      <c r="L44" s="57" t="s">
        <v>1055</v>
      </c>
      <c r="N44" s="57">
        <f>SUM('[1]Total(Fp)'!P45)</f>
        <v>8</v>
      </c>
      <c r="O44" s="57">
        <f>SUM('[1]Total(Fp)'!Q45)</f>
        <v>0</v>
      </c>
      <c r="P44" s="57">
        <f>SUM('[1]Total(Fp)'!O45)</f>
        <v>5</v>
      </c>
    </row>
    <row r="45" spans="1:16" ht="207.6" customHeight="1">
      <c r="A45" s="56" t="s">
        <v>55</v>
      </c>
      <c r="B45" s="71" t="s">
        <v>2077</v>
      </c>
      <c r="C45" s="72" t="s">
        <v>2031</v>
      </c>
      <c r="D45" s="71" t="s">
        <v>2119</v>
      </c>
      <c r="E45" s="82">
        <f>SUM('[1]Total(Fp)'!G46)</f>
        <v>26</v>
      </c>
      <c r="F45" s="72" t="s">
        <v>2126</v>
      </c>
      <c r="G45" s="74">
        <v>2.5</v>
      </c>
      <c r="H45" s="72" t="s">
        <v>2127</v>
      </c>
      <c r="K45" s="72" t="s">
        <v>2171</v>
      </c>
      <c r="L45" s="57" t="s">
        <v>1056</v>
      </c>
      <c r="N45" s="57">
        <f>SUM('[1]Total(Fp)'!P46)</f>
        <v>21</v>
      </c>
      <c r="O45" s="57">
        <f>SUM('[1]Total(Fp)'!Q46)</f>
        <v>0</v>
      </c>
      <c r="P45" s="57">
        <f>SUM('[1]Total(Fp)'!O46)</f>
        <v>5</v>
      </c>
    </row>
    <row r="46" spans="1:16" ht="207.6" customHeight="1">
      <c r="A46" s="56" t="s">
        <v>56</v>
      </c>
      <c r="B46" s="71" t="s">
        <v>2078</v>
      </c>
      <c r="C46" s="72" t="s">
        <v>2031</v>
      </c>
      <c r="D46" s="71" t="s">
        <v>2120</v>
      </c>
      <c r="E46" s="82">
        <f>SUM('[1]Total(Fp)'!G47)</f>
        <v>70</v>
      </c>
      <c r="F46" s="72" t="s">
        <v>2126</v>
      </c>
      <c r="G46" s="74">
        <v>1.5</v>
      </c>
      <c r="H46" s="72" t="s">
        <v>2127</v>
      </c>
      <c r="K46" s="72" t="s">
        <v>2172</v>
      </c>
      <c r="L46" s="57" t="s">
        <v>1057</v>
      </c>
      <c r="N46" s="57">
        <f>SUM('[1]Total(Fp)'!P47)</f>
        <v>65</v>
      </c>
      <c r="O46" s="57">
        <f>SUM('[1]Total(Fp)'!Q47)</f>
        <v>0</v>
      </c>
      <c r="P46" s="57">
        <f>SUM('[1]Total(Fp)'!O47)</f>
        <v>5</v>
      </c>
    </row>
    <row r="47" spans="1:16" ht="207.6" customHeight="1">
      <c r="A47" s="56" t="s">
        <v>57</v>
      </c>
      <c r="B47" s="71" t="s">
        <v>2079</v>
      </c>
      <c r="C47" s="72" t="s">
        <v>2031</v>
      </c>
      <c r="D47" s="71" t="s">
        <v>2121</v>
      </c>
      <c r="E47" s="82">
        <f>SUM('[1]Total(Fp)'!G48)</f>
        <v>20</v>
      </c>
      <c r="F47" s="72" t="s">
        <v>2126</v>
      </c>
      <c r="G47" s="74">
        <v>1</v>
      </c>
      <c r="H47" s="72" t="s">
        <v>2127</v>
      </c>
      <c r="K47" s="72" t="s">
        <v>2173</v>
      </c>
      <c r="L47" s="57" t="s">
        <v>1058</v>
      </c>
      <c r="N47" s="57">
        <f>SUM('[1]Total(Fp)'!P48)</f>
        <v>0</v>
      </c>
      <c r="O47" s="57">
        <f>SUM('[1]Total(Fp)'!Q48)</f>
        <v>0</v>
      </c>
      <c r="P47" s="57">
        <f>SUM('[1]Total(Fp)'!O48)</f>
        <v>20</v>
      </c>
    </row>
    <row r="48" spans="1:16" ht="207.6" customHeight="1">
      <c r="A48" s="56" t="s">
        <v>58</v>
      </c>
      <c r="B48" s="71" t="s">
        <v>2080</v>
      </c>
      <c r="C48" s="72" t="s">
        <v>2031</v>
      </c>
      <c r="D48" s="71" t="s">
        <v>2125</v>
      </c>
      <c r="E48" s="82">
        <f>SUM('[1]Total(Fp)'!G49)</f>
        <v>186</v>
      </c>
      <c r="F48" s="72" t="s">
        <v>2126</v>
      </c>
      <c r="G48" s="74">
        <v>1.5</v>
      </c>
      <c r="H48" s="72" t="s">
        <v>2127</v>
      </c>
      <c r="K48" s="72" t="s">
        <v>2174</v>
      </c>
      <c r="L48" s="57" t="s">
        <v>1059</v>
      </c>
      <c r="N48" s="57">
        <f>SUM('[1]Total(Fp)'!P49)</f>
        <v>186</v>
      </c>
      <c r="O48" s="57">
        <f>SUM('[1]Total(Fp)'!Q49)</f>
        <v>0</v>
      </c>
      <c r="P48" s="57">
        <f>SUM('[1]Total(Fp)'!O49)</f>
        <v>0</v>
      </c>
    </row>
    <row r="49" spans="1:16" ht="207.6" customHeight="1">
      <c r="A49" s="56" t="s">
        <v>59</v>
      </c>
      <c r="B49" s="71" t="s">
        <v>2081</v>
      </c>
      <c r="C49" s="72" t="s">
        <v>2031</v>
      </c>
      <c r="D49" s="71" t="s">
        <v>2122</v>
      </c>
      <c r="E49" s="82">
        <f>SUM('[1]Total(Fp)'!G50)</f>
        <v>71</v>
      </c>
      <c r="F49" s="72" t="s">
        <v>2126</v>
      </c>
      <c r="G49" s="74">
        <v>1</v>
      </c>
      <c r="H49" s="72" t="s">
        <v>2127</v>
      </c>
      <c r="K49" s="72" t="s">
        <v>2175</v>
      </c>
      <c r="L49" s="57" t="s">
        <v>1060</v>
      </c>
      <c r="N49" s="57">
        <f>SUM('[1]Total(Fp)'!P50)</f>
        <v>25</v>
      </c>
      <c r="O49" s="57">
        <f>SUM('[1]Total(Fp)'!Q50)</f>
        <v>0</v>
      </c>
      <c r="P49" s="57">
        <f>SUM('[1]Total(Fp)'!O50)</f>
        <v>46</v>
      </c>
    </row>
    <row r="50" spans="1:16" ht="207.6" customHeight="1">
      <c r="A50" s="56" t="s">
        <v>60</v>
      </c>
      <c r="B50" s="71" t="s">
        <v>2082</v>
      </c>
      <c r="C50" s="72" t="s">
        <v>2031</v>
      </c>
      <c r="D50" s="71" t="s">
        <v>2123</v>
      </c>
      <c r="E50" s="82">
        <f>SUM('[1]Total(Fp)'!G51)</f>
        <v>64</v>
      </c>
      <c r="F50" s="72" t="s">
        <v>2126</v>
      </c>
      <c r="G50" s="74">
        <v>1</v>
      </c>
      <c r="H50" s="72" t="s">
        <v>2127</v>
      </c>
      <c r="K50" s="72" t="s">
        <v>2176</v>
      </c>
      <c r="L50" s="57" t="s">
        <v>1061</v>
      </c>
      <c r="N50" s="57">
        <f>SUM('[1]Total(Fp)'!P51)</f>
        <v>22</v>
      </c>
      <c r="O50" s="57">
        <f>SUM('[1]Total(Fp)'!Q51)</f>
        <v>0</v>
      </c>
      <c r="P50" s="57">
        <f>SUM('[1]Total(Fp)'!O51)</f>
        <v>42</v>
      </c>
    </row>
    <row r="51" spans="1:16" ht="207.6" customHeight="1">
      <c r="A51" s="56" t="s">
        <v>61</v>
      </c>
      <c r="B51" s="71" t="s">
        <v>2083</v>
      </c>
      <c r="C51" s="72" t="s">
        <v>2031</v>
      </c>
      <c r="D51" s="71" t="s">
        <v>2124</v>
      </c>
      <c r="E51" s="82">
        <f>SUM('[1]Total(Fp)'!G52)</f>
        <v>24</v>
      </c>
      <c r="F51" s="72" t="s">
        <v>2126</v>
      </c>
      <c r="G51" s="74">
        <v>1</v>
      </c>
      <c r="H51" s="72" t="s">
        <v>2127</v>
      </c>
      <c r="K51" s="72" t="s">
        <v>2177</v>
      </c>
      <c r="L51" s="57" t="s">
        <v>1062</v>
      </c>
      <c r="N51" s="57">
        <f>SUM('[1]Total(Fp)'!P52)</f>
        <v>4</v>
      </c>
      <c r="O51" s="57">
        <f>SUM('[1]Total(Fp)'!Q52)</f>
        <v>0</v>
      </c>
      <c r="P51" s="57">
        <f>SUM('[1]Total(Fp)'!O52)</f>
        <v>20</v>
      </c>
    </row>
    <row r="52" spans="1:16" ht="207.6" customHeight="1">
      <c r="A52" s="56" t="s">
        <v>62</v>
      </c>
      <c r="B52" s="73" t="s">
        <v>2979</v>
      </c>
      <c r="C52" s="72" t="s">
        <v>2987</v>
      </c>
      <c r="E52" s="83">
        <f>SUMIF(History1!B:B, A52, History1!C:C)</f>
        <v>85</v>
      </c>
      <c r="F52" s="72" t="s">
        <v>2980</v>
      </c>
      <c r="H52" s="72" t="s">
        <v>2981</v>
      </c>
      <c r="J52" s="72" t="s">
        <v>2982</v>
      </c>
      <c r="K52" s="72" t="s">
        <v>2983</v>
      </c>
      <c r="L52" s="70" t="s">
        <v>1063</v>
      </c>
    </row>
    <row r="53" spans="1:16" ht="207.6" customHeight="1">
      <c r="A53" s="56" t="s">
        <v>63</v>
      </c>
      <c r="B53" s="73" t="s">
        <v>2979</v>
      </c>
      <c r="C53" s="72" t="s">
        <v>2987</v>
      </c>
      <c r="E53" s="83">
        <f>SUMIF(History1!B:B, A53, History1!C:C)</f>
        <v>375</v>
      </c>
      <c r="F53" s="72" t="s">
        <v>2988</v>
      </c>
      <c r="H53" s="72" t="s">
        <v>2981</v>
      </c>
      <c r="J53" s="72" t="s">
        <v>2982</v>
      </c>
      <c r="K53" s="72" t="s">
        <v>2994</v>
      </c>
      <c r="L53" s="70" t="s">
        <v>1064</v>
      </c>
    </row>
    <row r="54" spans="1:16" ht="207.6" customHeight="1">
      <c r="A54" s="56" t="s">
        <v>64</v>
      </c>
      <c r="B54" s="73" t="s">
        <v>2989</v>
      </c>
      <c r="C54" s="72" t="s">
        <v>2987</v>
      </c>
      <c r="E54" s="83">
        <f>SUMIF(History1!B:B, A54, History1!C:C)</f>
        <v>80</v>
      </c>
      <c r="F54" s="72" t="s">
        <v>2988</v>
      </c>
      <c r="H54" s="72" t="s">
        <v>2981</v>
      </c>
      <c r="J54" s="72" t="s">
        <v>2982</v>
      </c>
      <c r="K54" s="72" t="s">
        <v>2995</v>
      </c>
      <c r="L54" s="57" t="s">
        <v>1065</v>
      </c>
    </row>
    <row r="55" spans="1:16" ht="207.6" customHeight="1">
      <c r="A55" s="56" t="s">
        <v>65</v>
      </c>
      <c r="B55" s="73" t="s">
        <v>2990</v>
      </c>
      <c r="C55" s="72" t="s">
        <v>2987</v>
      </c>
      <c r="E55" s="83">
        <f>SUMIF(History1!B:B, A55, History1!C:C)</f>
        <v>135</v>
      </c>
      <c r="F55" s="72" t="s">
        <v>2988</v>
      </c>
      <c r="H55" s="72" t="s">
        <v>2981</v>
      </c>
      <c r="J55" s="72" t="s">
        <v>2991</v>
      </c>
      <c r="K55" s="72" t="s">
        <v>2996</v>
      </c>
      <c r="L55" s="57" t="s">
        <v>1066</v>
      </c>
    </row>
    <row r="56" spans="1:16" ht="207.6" customHeight="1">
      <c r="A56" s="56" t="s">
        <v>66</v>
      </c>
      <c r="B56" s="73" t="s">
        <v>2990</v>
      </c>
      <c r="C56" s="72" t="s">
        <v>2987</v>
      </c>
      <c r="E56" s="83">
        <f>SUMIF(History1!B:B, A56, History1!C:C)</f>
        <v>20</v>
      </c>
      <c r="F56" s="72" t="s">
        <v>2988</v>
      </c>
      <c r="H56" s="72" t="s">
        <v>2981</v>
      </c>
      <c r="J56" s="72" t="s">
        <v>2992</v>
      </c>
      <c r="K56" s="72" t="s">
        <v>2997</v>
      </c>
      <c r="L56" s="70" t="s">
        <v>1067</v>
      </c>
    </row>
    <row r="57" spans="1:16" ht="207.6" customHeight="1">
      <c r="A57" s="56" t="s">
        <v>67</v>
      </c>
      <c r="B57" s="73" t="s">
        <v>2990</v>
      </c>
      <c r="C57" s="72" t="s">
        <v>2987</v>
      </c>
      <c r="E57" s="83">
        <f>SUMIF(History1!B:B, A57, History1!C:C)</f>
        <v>115</v>
      </c>
      <c r="F57" s="72" t="s">
        <v>2988</v>
      </c>
      <c r="H57" s="72" t="s">
        <v>2981</v>
      </c>
      <c r="J57" s="72" t="s">
        <v>2993</v>
      </c>
      <c r="K57" s="72" t="s">
        <v>2998</v>
      </c>
      <c r="L57" s="57" t="s">
        <v>1068</v>
      </c>
    </row>
    <row r="58" spans="1:16" ht="207.6" customHeight="1">
      <c r="A58" s="56" t="s">
        <v>68</v>
      </c>
      <c r="B58" s="73" t="s">
        <v>3000</v>
      </c>
      <c r="C58" s="72" t="s">
        <v>2987</v>
      </c>
      <c r="E58" s="83">
        <f>SUMIF(History1!B:B, A58, History1!C:C)</f>
        <v>110</v>
      </c>
      <c r="F58" s="72" t="s">
        <v>2988</v>
      </c>
      <c r="H58" s="72" t="s">
        <v>2981</v>
      </c>
      <c r="J58" s="72" t="s">
        <v>3001</v>
      </c>
      <c r="K58" s="72" t="s">
        <v>2999</v>
      </c>
      <c r="L58" s="57" t="s">
        <v>1069</v>
      </c>
    </row>
    <row r="59" spans="1:16" ht="207.6" customHeight="1">
      <c r="A59" s="56" t="s">
        <v>69</v>
      </c>
      <c r="B59" s="73" t="s">
        <v>3004</v>
      </c>
      <c r="C59" s="72" t="s">
        <v>3003</v>
      </c>
      <c r="E59" s="83">
        <f>SUMIF(History1!B:B, A59, History1!C:C)</f>
        <v>130</v>
      </c>
      <c r="F59" s="72" t="s">
        <v>2988</v>
      </c>
      <c r="H59" s="72" t="s">
        <v>2981</v>
      </c>
      <c r="J59" s="72" t="s">
        <v>3009</v>
      </c>
      <c r="K59" s="72" t="s">
        <v>3002</v>
      </c>
      <c r="L59" s="57" t="s">
        <v>1070</v>
      </c>
    </row>
    <row r="60" spans="1:16" ht="207.6" customHeight="1">
      <c r="A60" s="56" t="s">
        <v>70</v>
      </c>
      <c r="B60" s="73" t="s">
        <v>3005</v>
      </c>
      <c r="C60" s="72" t="s">
        <v>3006</v>
      </c>
      <c r="E60" s="83">
        <f>SUMIF(History1!B:B, A60, History1!C:C)</f>
        <v>105</v>
      </c>
      <c r="F60" s="72" t="s">
        <v>2988</v>
      </c>
      <c r="H60" s="72" t="s">
        <v>2981</v>
      </c>
      <c r="J60" s="72" t="s">
        <v>3007</v>
      </c>
      <c r="K60" s="72" t="s">
        <v>3010</v>
      </c>
      <c r="L60" s="57" t="s">
        <v>1071</v>
      </c>
    </row>
    <row r="61" spans="1:16" ht="207.6" customHeight="1">
      <c r="A61" s="56" t="s">
        <v>71</v>
      </c>
      <c r="B61" s="73" t="s">
        <v>3008</v>
      </c>
      <c r="C61" s="72" t="s">
        <v>3003</v>
      </c>
      <c r="E61" s="83">
        <f>SUMIF(History1!B:B, A61, History1!C:C)</f>
        <v>140</v>
      </c>
      <c r="F61" s="72" t="s">
        <v>2988</v>
      </c>
      <c r="H61" s="72" t="s">
        <v>2981</v>
      </c>
      <c r="J61" s="72" t="s">
        <v>3009</v>
      </c>
      <c r="K61" s="72" t="s">
        <v>3011</v>
      </c>
      <c r="L61" s="57" t="s">
        <v>1072</v>
      </c>
    </row>
    <row r="62" spans="1:16" ht="207.6" customHeight="1">
      <c r="A62" s="56" t="s">
        <v>72</v>
      </c>
      <c r="B62" s="73" t="s">
        <v>3012</v>
      </c>
      <c r="C62" s="72" t="s">
        <v>3006</v>
      </c>
      <c r="E62" s="83">
        <f>SUMIF(History1!B:B, A62, History1!C:C)</f>
        <v>9</v>
      </c>
      <c r="F62" s="72" t="s">
        <v>2988</v>
      </c>
      <c r="H62" s="72" t="s">
        <v>3014</v>
      </c>
      <c r="J62" s="72" t="s">
        <v>3007</v>
      </c>
      <c r="K62" s="72" t="s">
        <v>3013</v>
      </c>
      <c r="L62" s="57" t="s">
        <v>1073</v>
      </c>
    </row>
    <row r="63" spans="1:16" ht="207.6" customHeight="1">
      <c r="A63" s="56" t="s">
        <v>73</v>
      </c>
      <c r="B63" s="73" t="s">
        <v>3004</v>
      </c>
      <c r="C63" s="72" t="s">
        <v>3003</v>
      </c>
      <c r="E63" s="83">
        <f>SUMIF(History1!B:B, A63, History1!C:C)</f>
        <v>32</v>
      </c>
      <c r="F63" s="72" t="s">
        <v>2988</v>
      </c>
      <c r="H63" s="72" t="s">
        <v>2981</v>
      </c>
      <c r="J63" s="72" t="s">
        <v>3009</v>
      </c>
      <c r="K63" s="72" t="s">
        <v>3015</v>
      </c>
      <c r="L63" s="57" t="s">
        <v>1074</v>
      </c>
    </row>
    <row r="64" spans="1:16" ht="207.6" customHeight="1">
      <c r="A64" s="56" t="s">
        <v>74</v>
      </c>
      <c r="B64" s="73" t="s">
        <v>3004</v>
      </c>
      <c r="C64" s="72" t="s">
        <v>3003</v>
      </c>
      <c r="E64" s="83">
        <f>SUMIF(History1!B:B, A64, History1!C:C)</f>
        <v>14</v>
      </c>
      <c r="F64" s="72" t="s">
        <v>2988</v>
      </c>
      <c r="H64" s="72" t="s">
        <v>2981</v>
      </c>
      <c r="J64" s="72" t="s">
        <v>3009</v>
      </c>
      <c r="K64" s="72" t="s">
        <v>3016</v>
      </c>
      <c r="L64" s="57" t="s">
        <v>1075</v>
      </c>
    </row>
    <row r="65" spans="1:12" ht="207.6" customHeight="1">
      <c r="A65" s="56" t="s">
        <v>75</v>
      </c>
      <c r="B65" s="73" t="s">
        <v>2990</v>
      </c>
      <c r="C65" s="72" t="s">
        <v>3003</v>
      </c>
      <c r="E65" s="83">
        <f>SUMIF(History1!B:B, A65, History1!C:C)</f>
        <v>18</v>
      </c>
      <c r="F65" s="72" t="s">
        <v>2988</v>
      </c>
      <c r="H65" s="72" t="s">
        <v>2981</v>
      </c>
      <c r="J65" s="72" t="s">
        <v>3017</v>
      </c>
      <c r="K65" s="72" t="s">
        <v>3018</v>
      </c>
      <c r="L65" s="57" t="s">
        <v>1076</v>
      </c>
    </row>
    <row r="66" spans="1:12" ht="207.6" customHeight="1">
      <c r="A66" s="56" t="s">
        <v>76</v>
      </c>
      <c r="B66" s="73" t="s">
        <v>3020</v>
      </c>
      <c r="C66" s="72" t="s">
        <v>3023</v>
      </c>
      <c r="E66" s="83">
        <f>SUMIF(History1!B:B, A66, History1!C:C)</f>
        <v>9</v>
      </c>
      <c r="F66" s="72" t="s">
        <v>3021</v>
      </c>
      <c r="H66" s="72" t="s">
        <v>2981</v>
      </c>
      <c r="J66" s="72" t="s">
        <v>3017</v>
      </c>
      <c r="K66" s="72" t="s">
        <v>3019</v>
      </c>
      <c r="L66" s="57" t="s">
        <v>1077</v>
      </c>
    </row>
    <row r="67" spans="1:12" ht="207.6" customHeight="1">
      <c r="A67" s="56" t="s">
        <v>77</v>
      </c>
      <c r="B67" s="73" t="s">
        <v>3022</v>
      </c>
      <c r="C67" s="72" t="s">
        <v>3023</v>
      </c>
      <c r="E67" s="83">
        <f>SUMIF(History1!B:B, A67, History1!C:C)</f>
        <v>5</v>
      </c>
      <c r="F67" s="72" t="s">
        <v>3024</v>
      </c>
      <c r="H67" s="72" t="s">
        <v>2981</v>
      </c>
      <c r="J67" s="72" t="s">
        <v>3025</v>
      </c>
      <c r="K67" s="72" t="s">
        <v>3026</v>
      </c>
      <c r="L67" s="57" t="s">
        <v>1078</v>
      </c>
    </row>
    <row r="68" spans="1:12" ht="207.6" customHeight="1">
      <c r="A68" s="56" t="s">
        <v>78</v>
      </c>
      <c r="B68" s="73" t="s">
        <v>3028</v>
      </c>
      <c r="C68" s="72" t="s">
        <v>3023</v>
      </c>
      <c r="E68" s="83">
        <f>SUMIF(History1!B:B, A68, History1!C:C)</f>
        <v>12</v>
      </c>
      <c r="F68" s="72" t="s">
        <v>3029</v>
      </c>
      <c r="H68" s="72" t="s">
        <v>2981</v>
      </c>
      <c r="J68" s="72" t="s">
        <v>3030</v>
      </c>
      <c r="K68" s="72" t="s">
        <v>3027</v>
      </c>
      <c r="L68" s="57" t="s">
        <v>1079</v>
      </c>
    </row>
    <row r="69" spans="1:12" ht="207.6" customHeight="1">
      <c r="A69" s="56" t="s">
        <v>79</v>
      </c>
      <c r="B69" s="73" t="s">
        <v>3031</v>
      </c>
      <c r="C69" s="72" t="s">
        <v>3003</v>
      </c>
      <c r="E69" s="83">
        <f>SUMIF(History1!B:B, A69, History1!C:C)</f>
        <v>85</v>
      </c>
      <c r="F69" s="72" t="s">
        <v>2988</v>
      </c>
      <c r="H69" s="72" t="s">
        <v>2981</v>
      </c>
      <c r="J69" s="72" t="s">
        <v>3032</v>
      </c>
      <c r="K69" s="72" t="s">
        <v>3033</v>
      </c>
      <c r="L69" s="57" t="s">
        <v>1080</v>
      </c>
    </row>
    <row r="70" spans="1:12" ht="207.6" customHeight="1">
      <c r="A70" s="56" t="s">
        <v>80</v>
      </c>
      <c r="B70" s="73" t="s">
        <v>3035</v>
      </c>
      <c r="C70" s="72" t="s">
        <v>3003</v>
      </c>
      <c r="E70" s="83">
        <f>SUMIF(History1!B:B, A70, History1!C:C)</f>
        <v>70</v>
      </c>
      <c r="F70" s="72" t="s">
        <v>2988</v>
      </c>
      <c r="H70" s="72" t="s">
        <v>2981</v>
      </c>
      <c r="J70" s="72" t="s">
        <v>3009</v>
      </c>
      <c r="K70" s="72" t="s">
        <v>3034</v>
      </c>
      <c r="L70" s="57" t="s">
        <v>1081</v>
      </c>
    </row>
    <row r="71" spans="1:12" ht="207.6" customHeight="1">
      <c r="A71" s="56" t="s">
        <v>81</v>
      </c>
      <c r="B71" s="73" t="s">
        <v>3037</v>
      </c>
      <c r="C71" s="72" t="s">
        <v>3023</v>
      </c>
      <c r="E71" s="83">
        <f>SUMIF(History1!B:B, A71, History1!C:C)</f>
        <v>27</v>
      </c>
      <c r="F71" s="72" t="s">
        <v>3038</v>
      </c>
      <c r="H71" s="72" t="s">
        <v>2981</v>
      </c>
      <c r="J71" s="72" t="s">
        <v>3039</v>
      </c>
      <c r="K71" s="72" t="s">
        <v>3036</v>
      </c>
      <c r="L71" s="57" t="s">
        <v>1082</v>
      </c>
    </row>
    <row r="72" spans="1:12" ht="207.6" customHeight="1">
      <c r="A72" s="56" t="s">
        <v>82</v>
      </c>
      <c r="B72" s="73" t="s">
        <v>3041</v>
      </c>
      <c r="C72" s="72" t="s">
        <v>3042</v>
      </c>
      <c r="E72" s="83">
        <f>SUMIF(History1!B:B, A72, History1!C:C)</f>
        <v>7</v>
      </c>
      <c r="F72" s="72" t="s">
        <v>3043</v>
      </c>
      <c r="H72" s="72" t="s">
        <v>2981</v>
      </c>
      <c r="J72" s="72" t="s">
        <v>3039</v>
      </c>
      <c r="K72" s="72" t="s">
        <v>3040</v>
      </c>
      <c r="L72" s="57" t="s">
        <v>1083</v>
      </c>
    </row>
    <row r="73" spans="1:12" ht="207.6" customHeight="1">
      <c r="A73" s="56" t="s">
        <v>83</v>
      </c>
      <c r="B73" s="73" t="s">
        <v>3044</v>
      </c>
      <c r="C73" s="72" t="s">
        <v>3003</v>
      </c>
      <c r="E73" s="83">
        <f>SUMIF(History1!B:B, A73, History1!C:C)</f>
        <v>310</v>
      </c>
      <c r="F73" s="72" t="s">
        <v>2988</v>
      </c>
      <c r="H73" s="72" t="s">
        <v>2981</v>
      </c>
      <c r="J73" s="72" t="s">
        <v>3009</v>
      </c>
      <c r="K73" s="72" t="s">
        <v>3045</v>
      </c>
      <c r="L73" s="57" t="s">
        <v>1084</v>
      </c>
    </row>
    <row r="74" spans="1:12" ht="207.6" customHeight="1">
      <c r="A74" s="56" t="s">
        <v>84</v>
      </c>
      <c r="B74" s="73" t="s">
        <v>3046</v>
      </c>
      <c r="C74" s="72" t="s">
        <v>3023</v>
      </c>
      <c r="E74" s="83">
        <f>SUMIF(History1!B:B, A74, History1!C:C)</f>
        <v>20</v>
      </c>
      <c r="F74" s="72" t="s">
        <v>2988</v>
      </c>
      <c r="H74" s="72" t="s">
        <v>2981</v>
      </c>
      <c r="J74" s="72" t="s">
        <v>3047</v>
      </c>
      <c r="K74" s="72" t="s">
        <v>3065</v>
      </c>
      <c r="L74" s="57" t="s">
        <v>1085</v>
      </c>
    </row>
    <row r="75" spans="1:12" ht="207.6" customHeight="1">
      <c r="A75" s="56" t="s">
        <v>85</v>
      </c>
      <c r="B75" s="73" t="s">
        <v>3049</v>
      </c>
      <c r="C75" s="72" t="s">
        <v>3048</v>
      </c>
      <c r="E75" s="83">
        <f>SUMIF(History1!B:B, A75, History1!C:C)</f>
        <v>75</v>
      </c>
      <c r="F75" s="72" t="s">
        <v>2988</v>
      </c>
      <c r="H75" s="72" t="s">
        <v>2981</v>
      </c>
      <c r="J75" s="72" t="s">
        <v>3050</v>
      </c>
      <c r="K75" s="72" t="s">
        <v>3051</v>
      </c>
      <c r="L75" s="57" t="s">
        <v>1086</v>
      </c>
    </row>
    <row r="76" spans="1:12" ht="207.6" customHeight="1">
      <c r="A76" s="56" t="s">
        <v>86</v>
      </c>
      <c r="B76" s="73" t="s">
        <v>3052</v>
      </c>
      <c r="C76" s="72" t="s">
        <v>3006</v>
      </c>
      <c r="E76" s="83">
        <f>SUMIF(History1!B:B, A76, History1!C:C)</f>
        <v>24</v>
      </c>
      <c r="F76" s="72" t="s">
        <v>2988</v>
      </c>
      <c r="H76" s="72" t="s">
        <v>2981</v>
      </c>
      <c r="J76" s="72" t="s">
        <v>3053</v>
      </c>
      <c r="K76" s="72" t="s">
        <v>3054</v>
      </c>
      <c r="L76" s="57" t="s">
        <v>1087</v>
      </c>
    </row>
    <row r="77" spans="1:12" ht="207.6" customHeight="1">
      <c r="A77" s="56" t="s">
        <v>87</v>
      </c>
      <c r="B77" s="73" t="s">
        <v>3055</v>
      </c>
      <c r="C77" s="72" t="s">
        <v>3006</v>
      </c>
      <c r="E77" s="83">
        <f>SUMIF(History1!B:B, A77, History1!C:C)</f>
        <v>8</v>
      </c>
      <c r="F77" s="72" t="s">
        <v>3056</v>
      </c>
      <c r="H77" s="72" t="s">
        <v>2981</v>
      </c>
      <c r="J77" s="72" t="s">
        <v>3057</v>
      </c>
      <c r="K77" s="72" t="s">
        <v>3058</v>
      </c>
      <c r="L77" s="57" t="s">
        <v>1088</v>
      </c>
    </row>
    <row r="78" spans="1:12" ht="207.6" customHeight="1">
      <c r="A78" s="56" t="s">
        <v>88</v>
      </c>
      <c r="B78" s="73" t="s">
        <v>3060</v>
      </c>
      <c r="C78" s="72" t="s">
        <v>3048</v>
      </c>
      <c r="E78" s="83">
        <f>SUMIF(History1!B:B, A78, History1!C:C)</f>
        <v>150</v>
      </c>
      <c r="F78" s="72" t="s">
        <v>2988</v>
      </c>
      <c r="H78" s="72" t="s">
        <v>2981</v>
      </c>
      <c r="J78" s="72" t="s">
        <v>3050</v>
      </c>
      <c r="K78" s="72" t="s">
        <v>3059</v>
      </c>
      <c r="L78" s="57" t="s">
        <v>1089</v>
      </c>
    </row>
    <row r="79" spans="1:12" ht="207.6" customHeight="1">
      <c r="A79" s="56" t="s">
        <v>89</v>
      </c>
      <c r="B79" s="73" t="s">
        <v>3061</v>
      </c>
      <c r="C79" s="72" t="s">
        <v>3003</v>
      </c>
      <c r="E79" s="83">
        <f>SUMIF(History1!B:B, A79, History1!C:C)</f>
        <v>145</v>
      </c>
      <c r="F79" s="72" t="s">
        <v>3056</v>
      </c>
      <c r="H79" s="72" t="s">
        <v>2981</v>
      </c>
      <c r="J79" s="72" t="s">
        <v>3009</v>
      </c>
      <c r="K79" s="72" t="s">
        <v>3062</v>
      </c>
      <c r="L79" s="57" t="s">
        <v>1090</v>
      </c>
    </row>
    <row r="80" spans="1:12" ht="207.6" customHeight="1">
      <c r="A80" s="56" t="s">
        <v>90</v>
      </c>
      <c r="B80" s="73" t="s">
        <v>3061</v>
      </c>
      <c r="C80" s="72" t="s">
        <v>3003</v>
      </c>
      <c r="E80" s="83">
        <f>SUMIF(History1!B:B, A80, History1!C:C)</f>
        <v>125</v>
      </c>
      <c r="F80" s="72" t="s">
        <v>3064</v>
      </c>
      <c r="H80" s="72" t="s">
        <v>2981</v>
      </c>
      <c r="J80" s="72" t="s">
        <v>3009</v>
      </c>
      <c r="K80" s="72" t="s">
        <v>3063</v>
      </c>
      <c r="L80" s="57" t="s">
        <v>1091</v>
      </c>
    </row>
    <row r="81" spans="1:12" ht="207.6" customHeight="1">
      <c r="A81" s="56" t="s">
        <v>91</v>
      </c>
      <c r="B81" s="73" t="s">
        <v>3067</v>
      </c>
      <c r="C81" s="72" t="s">
        <v>3023</v>
      </c>
      <c r="E81" s="83">
        <f>SUMIF(History1!B:B, A81, History1!C:C)</f>
        <v>42</v>
      </c>
      <c r="F81" s="72" t="s">
        <v>2988</v>
      </c>
      <c r="H81" s="72" t="s">
        <v>2981</v>
      </c>
      <c r="J81" s="72" t="s">
        <v>3053</v>
      </c>
      <c r="K81" s="72" t="str">
        <f>LOWER(A81)&amp;".jpeg"</f>
        <v>fp0080.jpeg</v>
      </c>
      <c r="L81" s="57" t="s">
        <v>1092</v>
      </c>
    </row>
    <row r="82" spans="1:12" ht="207.6" customHeight="1">
      <c r="A82" s="56" t="s">
        <v>92</v>
      </c>
      <c r="B82" s="73" t="s">
        <v>3068</v>
      </c>
      <c r="C82" s="72" t="s">
        <v>3042</v>
      </c>
      <c r="E82" s="83">
        <f>SUMIF(History1!B:B, A82, History1!C:C)</f>
        <v>4</v>
      </c>
      <c r="F82" s="72" t="s">
        <v>3069</v>
      </c>
      <c r="H82" s="72" t="s">
        <v>2981</v>
      </c>
      <c r="J82" s="72" t="s">
        <v>3070</v>
      </c>
      <c r="K82" s="72" t="str">
        <f>LOWER(A82)&amp;".jpeg"</f>
        <v>fp0081.jpeg</v>
      </c>
      <c r="L82" s="57" t="s">
        <v>1093</v>
      </c>
    </row>
    <row r="83" spans="1:12" ht="207.6" customHeight="1">
      <c r="A83" s="56" t="s">
        <v>93</v>
      </c>
      <c r="B83" s="73" t="s">
        <v>3071</v>
      </c>
      <c r="C83" s="72" t="s">
        <v>3023</v>
      </c>
      <c r="E83" s="83">
        <f>SUMIF(History1!B:B, A83, History1!C:C)</f>
        <v>9</v>
      </c>
      <c r="F83" s="72" t="s">
        <v>3069</v>
      </c>
      <c r="H83" s="72" t="s">
        <v>2981</v>
      </c>
      <c r="J83" s="72" t="s">
        <v>3070</v>
      </c>
      <c r="K83" s="72" t="str">
        <f t="shared" ref="K83:K146" si="0">LOWER(A83)&amp;".jpeg"</f>
        <v>fp0082.jpeg</v>
      </c>
      <c r="L83" s="57" t="s">
        <v>1094</v>
      </c>
    </row>
    <row r="84" spans="1:12" ht="207.6" customHeight="1">
      <c r="A84" s="56" t="s">
        <v>94</v>
      </c>
      <c r="B84" s="73" t="s">
        <v>3072</v>
      </c>
      <c r="C84" s="72" t="s">
        <v>3073</v>
      </c>
      <c r="E84" s="83">
        <f>SUMIF(History1!B:B, A84, History1!C:C)</f>
        <v>18</v>
      </c>
      <c r="F84" s="72" t="s">
        <v>3069</v>
      </c>
      <c r="H84" s="72" t="s">
        <v>2981</v>
      </c>
      <c r="J84" s="72" t="s">
        <v>3053</v>
      </c>
      <c r="K84" s="72" t="str">
        <f t="shared" si="0"/>
        <v>fp0083.jpeg</v>
      </c>
      <c r="L84" s="57" t="s">
        <v>1095</v>
      </c>
    </row>
    <row r="85" spans="1:12" ht="207.6" customHeight="1">
      <c r="A85" s="56" t="s">
        <v>95</v>
      </c>
      <c r="B85" s="73" t="s">
        <v>3074</v>
      </c>
      <c r="C85" s="72" t="s">
        <v>3073</v>
      </c>
      <c r="E85" s="83">
        <f>SUMIF(History1!B:B, A85, History1!C:C)</f>
        <v>92</v>
      </c>
      <c r="F85" s="72" t="s">
        <v>3069</v>
      </c>
      <c r="H85" s="72" t="s">
        <v>2981</v>
      </c>
      <c r="J85" s="72" t="s">
        <v>3053</v>
      </c>
      <c r="K85" s="72" t="str">
        <f t="shared" si="0"/>
        <v>fp0084.jpeg</v>
      </c>
      <c r="L85" s="57" t="s">
        <v>1096</v>
      </c>
    </row>
    <row r="86" spans="1:12" ht="207.6" customHeight="1">
      <c r="A86" s="56" t="s">
        <v>96</v>
      </c>
      <c r="B86" s="73" t="s">
        <v>3075</v>
      </c>
      <c r="C86" s="72" t="s">
        <v>3073</v>
      </c>
      <c r="E86" s="83">
        <f>SUMIF(History1!B:B, A86, History1!C:C)</f>
        <v>48</v>
      </c>
      <c r="F86" s="72" t="s">
        <v>3069</v>
      </c>
      <c r="H86" s="72" t="s">
        <v>2981</v>
      </c>
      <c r="J86" s="72" t="s">
        <v>3053</v>
      </c>
      <c r="K86" s="72" t="str">
        <f t="shared" si="0"/>
        <v>fp0085.jpeg</v>
      </c>
      <c r="L86" s="57" t="s">
        <v>1097</v>
      </c>
    </row>
    <row r="87" spans="1:12" ht="207.6" customHeight="1">
      <c r="A87" s="56" t="s">
        <v>97</v>
      </c>
      <c r="B87" s="73" t="s">
        <v>3076</v>
      </c>
      <c r="C87" s="72" t="s">
        <v>3073</v>
      </c>
      <c r="E87" s="83">
        <f>SUMIF(History1!B:B, A87, History1!C:C)</f>
        <v>44</v>
      </c>
      <c r="F87" s="72" t="s">
        <v>3069</v>
      </c>
      <c r="H87" s="72" t="s">
        <v>2981</v>
      </c>
      <c r="J87" s="72" t="s">
        <v>3053</v>
      </c>
      <c r="K87" s="72" t="str">
        <f t="shared" si="0"/>
        <v>fp0086.jpeg</v>
      </c>
      <c r="L87" s="57" t="s">
        <v>1098</v>
      </c>
    </row>
    <row r="88" spans="1:12" ht="207.6" customHeight="1">
      <c r="A88" s="56" t="s">
        <v>98</v>
      </c>
      <c r="B88" s="73" t="s">
        <v>3077</v>
      </c>
      <c r="C88" s="72" t="s">
        <v>3073</v>
      </c>
      <c r="E88" s="83">
        <f>SUMIF(History1!B:B, A88, History1!C:C)</f>
        <v>10</v>
      </c>
      <c r="F88" s="72" t="s">
        <v>3069</v>
      </c>
      <c r="H88" s="72" t="s">
        <v>2981</v>
      </c>
      <c r="J88" s="72" t="s">
        <v>3053</v>
      </c>
      <c r="K88" s="72" t="str">
        <f t="shared" si="0"/>
        <v>fp0087.jpeg</v>
      </c>
      <c r="L88" s="57" t="s">
        <v>1099</v>
      </c>
    </row>
    <row r="89" spans="1:12" ht="207.6" customHeight="1">
      <c r="A89" s="56" t="s">
        <v>99</v>
      </c>
      <c r="B89" s="73" t="s">
        <v>3078</v>
      </c>
      <c r="C89" s="72" t="s">
        <v>3003</v>
      </c>
      <c r="E89" s="83">
        <f>SUMIF(History1!B:B, A89, History1!C:C)</f>
        <v>36</v>
      </c>
      <c r="F89" s="72" t="s">
        <v>3079</v>
      </c>
      <c r="H89" s="72" t="s">
        <v>2981</v>
      </c>
      <c r="J89" s="72" t="s">
        <v>3080</v>
      </c>
      <c r="K89" s="72" t="str">
        <f t="shared" si="0"/>
        <v>fp0088.jpeg</v>
      </c>
      <c r="L89" s="57" t="s">
        <v>1100</v>
      </c>
    </row>
    <row r="90" spans="1:12" ht="207.6" customHeight="1">
      <c r="A90" s="56" t="s">
        <v>100</v>
      </c>
      <c r="B90" s="73" t="s">
        <v>3082</v>
      </c>
      <c r="C90" s="72" t="s">
        <v>3023</v>
      </c>
      <c r="E90" s="83">
        <f>SUMIF(History1!B:B, A90, History1!C:C)</f>
        <v>15</v>
      </c>
      <c r="F90" s="72" t="s">
        <v>2988</v>
      </c>
      <c r="H90" s="72" t="s">
        <v>2981</v>
      </c>
      <c r="J90" s="72" t="s">
        <v>3081</v>
      </c>
      <c r="K90" s="72" t="str">
        <f t="shared" si="0"/>
        <v>fp0089.jpeg</v>
      </c>
      <c r="L90" s="57" t="s">
        <v>1101</v>
      </c>
    </row>
    <row r="91" spans="1:12" ht="207.6" customHeight="1">
      <c r="A91" s="56" t="s">
        <v>101</v>
      </c>
      <c r="B91" s="73" t="s">
        <v>3083</v>
      </c>
      <c r="C91" s="72" t="s">
        <v>3023</v>
      </c>
      <c r="E91" s="83">
        <f>SUMIF(History1!B:B, A91, History1!C:C)</f>
        <v>64</v>
      </c>
      <c r="F91" s="72" t="s">
        <v>2988</v>
      </c>
      <c r="H91" s="72" t="s">
        <v>2981</v>
      </c>
      <c r="J91" s="72" t="s">
        <v>3025</v>
      </c>
      <c r="K91" s="72" t="str">
        <f t="shared" si="0"/>
        <v>fp0090.jpeg</v>
      </c>
      <c r="L91" s="57" t="s">
        <v>1102</v>
      </c>
    </row>
    <row r="92" spans="1:12" ht="207.6" customHeight="1">
      <c r="A92" s="56" t="s">
        <v>102</v>
      </c>
      <c r="B92" s="73" t="s">
        <v>3084</v>
      </c>
      <c r="C92" s="72" t="s">
        <v>3023</v>
      </c>
      <c r="E92" s="83">
        <f>SUMIF(History1!B:B, A92, History1!C:C)</f>
        <v>7</v>
      </c>
      <c r="F92" s="72" t="s">
        <v>2988</v>
      </c>
      <c r="H92" s="72" t="s">
        <v>2981</v>
      </c>
      <c r="J92" s="72" t="s">
        <v>3025</v>
      </c>
      <c r="K92" s="72" t="str">
        <f t="shared" si="0"/>
        <v>fp0091.jpeg</v>
      </c>
      <c r="L92" s="57" t="s">
        <v>1103</v>
      </c>
    </row>
    <row r="93" spans="1:12" ht="207.6" customHeight="1">
      <c r="A93" s="56" t="s">
        <v>103</v>
      </c>
      <c r="B93" s="73" t="s">
        <v>3085</v>
      </c>
      <c r="C93" s="72" t="s">
        <v>3023</v>
      </c>
      <c r="E93" s="83">
        <f>SUMIF(History1!B:B, A93, History1!C:C)</f>
        <v>5</v>
      </c>
      <c r="F93" s="72" t="s">
        <v>2988</v>
      </c>
      <c r="H93" s="72" t="s">
        <v>2981</v>
      </c>
      <c r="J93" s="72" t="s">
        <v>3025</v>
      </c>
      <c r="K93" s="72" t="str">
        <f t="shared" si="0"/>
        <v>fp0092.jpeg</v>
      </c>
      <c r="L93" s="57" t="s">
        <v>1104</v>
      </c>
    </row>
    <row r="94" spans="1:12" ht="207.6" customHeight="1">
      <c r="A94" s="56" t="s">
        <v>104</v>
      </c>
      <c r="B94" s="73" t="s">
        <v>3086</v>
      </c>
      <c r="C94" s="72" t="s">
        <v>3023</v>
      </c>
      <c r="E94" s="83">
        <f>SUMIF(History1!B:B, A94, History1!C:C)</f>
        <v>7</v>
      </c>
      <c r="F94" s="72" t="s">
        <v>2988</v>
      </c>
      <c r="H94" s="72" t="s">
        <v>2981</v>
      </c>
      <c r="J94" s="72" t="s">
        <v>3025</v>
      </c>
      <c r="K94" s="72" t="str">
        <f t="shared" si="0"/>
        <v>fp0093.jpeg</v>
      </c>
      <c r="L94" s="57" t="s">
        <v>1105</v>
      </c>
    </row>
    <row r="95" spans="1:12" ht="207.6" customHeight="1">
      <c r="A95" s="56" t="s">
        <v>105</v>
      </c>
      <c r="B95" s="73" t="s">
        <v>3087</v>
      </c>
      <c r="C95" s="72" t="s">
        <v>3023</v>
      </c>
      <c r="E95" s="83">
        <f>SUMIF(History1!B:B, A95, History1!C:C)</f>
        <v>14</v>
      </c>
      <c r="F95" s="72" t="s">
        <v>2988</v>
      </c>
      <c r="H95" s="72" t="s">
        <v>2981</v>
      </c>
      <c r="J95" s="72" t="s">
        <v>3025</v>
      </c>
      <c r="K95" s="72" t="str">
        <f t="shared" si="0"/>
        <v>fp0094.jpeg</v>
      </c>
      <c r="L95" s="57" t="s">
        <v>1106</v>
      </c>
    </row>
    <row r="96" spans="1:12" ht="207.6" customHeight="1">
      <c r="A96" s="56" t="s">
        <v>106</v>
      </c>
      <c r="B96" s="73" t="s">
        <v>3088</v>
      </c>
      <c r="C96" s="72" t="s">
        <v>3023</v>
      </c>
      <c r="E96" s="83">
        <f>SUMIF(History1!B:B, A96, History1!C:C)</f>
        <v>7</v>
      </c>
      <c r="F96" s="72" t="s">
        <v>3090</v>
      </c>
      <c r="H96" s="72" t="s">
        <v>2981</v>
      </c>
      <c r="J96" s="72" t="s">
        <v>3089</v>
      </c>
      <c r="K96" s="72" t="str">
        <f t="shared" si="0"/>
        <v>fp0095.jpeg</v>
      </c>
      <c r="L96" s="57" t="s">
        <v>1107</v>
      </c>
    </row>
    <row r="97" spans="1:12" ht="207.6" customHeight="1">
      <c r="A97" s="56" t="s">
        <v>107</v>
      </c>
      <c r="B97" s="73" t="s">
        <v>3091</v>
      </c>
      <c r="C97" s="72" t="s">
        <v>3023</v>
      </c>
      <c r="E97" s="83">
        <f>SUMIF(History1!B:B, A97, History1!C:C)</f>
        <v>7</v>
      </c>
      <c r="F97" s="72" t="s">
        <v>3090</v>
      </c>
      <c r="H97" s="72" t="s">
        <v>2981</v>
      </c>
      <c r="J97" s="72" t="s">
        <v>3089</v>
      </c>
      <c r="K97" s="72" t="str">
        <f t="shared" si="0"/>
        <v>fp0096.jpeg</v>
      </c>
      <c r="L97" s="57" t="s">
        <v>1108</v>
      </c>
    </row>
    <row r="98" spans="1:12" ht="207.6" customHeight="1">
      <c r="A98" s="56" t="s">
        <v>108</v>
      </c>
      <c r="B98" s="73" t="s">
        <v>3092</v>
      </c>
      <c r="C98" s="72" t="s">
        <v>3023</v>
      </c>
      <c r="E98" s="83">
        <v>3</v>
      </c>
      <c r="F98" s="72" t="s">
        <v>3093</v>
      </c>
      <c r="H98" s="72" t="s">
        <v>2981</v>
      </c>
      <c r="J98" s="72" t="s">
        <v>3107</v>
      </c>
      <c r="K98" s="72" t="str">
        <f t="shared" si="0"/>
        <v>fp0097.jpeg</v>
      </c>
      <c r="L98" s="57" t="s">
        <v>1109</v>
      </c>
    </row>
    <row r="99" spans="1:12" ht="207.6" customHeight="1">
      <c r="A99" s="56" t="s">
        <v>109</v>
      </c>
      <c r="B99" s="73" t="s">
        <v>3094</v>
      </c>
      <c r="C99" s="72" t="s">
        <v>3023</v>
      </c>
      <c r="E99" s="83">
        <f>SUMIF(History1!B:B, A99, History1!C:C)</f>
        <v>85</v>
      </c>
      <c r="F99" s="72" t="s">
        <v>3095</v>
      </c>
      <c r="H99" s="72" t="s">
        <v>2981</v>
      </c>
      <c r="J99" s="72" t="s">
        <v>3096</v>
      </c>
      <c r="K99" s="72" t="str">
        <f t="shared" si="0"/>
        <v>fp0098.jpeg</v>
      </c>
      <c r="L99" s="57" t="s">
        <v>1110</v>
      </c>
    </row>
    <row r="100" spans="1:12" ht="207.6" customHeight="1">
      <c r="A100" s="56" t="s">
        <v>110</v>
      </c>
      <c r="B100" s="73" t="s">
        <v>3097</v>
      </c>
      <c r="C100" s="72" t="s">
        <v>3079</v>
      </c>
      <c r="E100" s="83">
        <f>SUMIF(History1!B:B, A100, History1!C:C)</f>
        <v>0</v>
      </c>
      <c r="F100" s="72" t="s">
        <v>3098</v>
      </c>
      <c r="H100" s="72" t="s">
        <v>2981</v>
      </c>
      <c r="J100" s="72" t="s">
        <v>3112</v>
      </c>
      <c r="K100" s="72" t="str">
        <f t="shared" si="0"/>
        <v>fp0099.jpeg</v>
      </c>
      <c r="L100" s="57" t="s">
        <v>1111</v>
      </c>
    </row>
    <row r="101" spans="1:12" ht="207.6" customHeight="1">
      <c r="A101" s="56" t="s">
        <v>111</v>
      </c>
      <c r="B101" s="73" t="s">
        <v>3099</v>
      </c>
      <c r="C101" s="72" t="s">
        <v>3100</v>
      </c>
      <c r="E101" s="83">
        <f>SUMIF(History1!B:B, A101, History1!C:C)</f>
        <v>27</v>
      </c>
      <c r="F101" s="72" t="s">
        <v>3101</v>
      </c>
      <c r="H101" s="72" t="s">
        <v>2981</v>
      </c>
      <c r="J101" s="72" t="s">
        <v>3089</v>
      </c>
      <c r="K101" s="72" t="str">
        <f t="shared" si="0"/>
        <v>fp0100.jpeg</v>
      </c>
      <c r="L101" s="57" t="s">
        <v>1112</v>
      </c>
    </row>
    <row r="102" spans="1:12" ht="207.6" customHeight="1">
      <c r="A102" s="56" t="s">
        <v>112</v>
      </c>
      <c r="B102" s="73" t="s">
        <v>3102</v>
      </c>
      <c r="C102" s="72" t="s">
        <v>3100</v>
      </c>
      <c r="E102" s="83">
        <f>SUMIF(History1!B:B, A102, History1!C:C)</f>
        <v>13</v>
      </c>
      <c r="F102" s="72" t="s">
        <v>3101</v>
      </c>
      <c r="H102" s="72" t="s">
        <v>2981</v>
      </c>
      <c r="J102" s="72" t="s">
        <v>3107</v>
      </c>
      <c r="K102" s="72" t="str">
        <f t="shared" si="0"/>
        <v>fp0101.jpeg</v>
      </c>
      <c r="L102" s="57" t="s">
        <v>1113</v>
      </c>
    </row>
    <row r="103" spans="1:12" ht="207.6" customHeight="1">
      <c r="A103" s="56" t="s">
        <v>113</v>
      </c>
      <c r="B103" s="73" t="s">
        <v>3103</v>
      </c>
      <c r="C103" s="72" t="s">
        <v>3100</v>
      </c>
      <c r="E103" s="83">
        <f>SUMIF(History1!B:B, A103, History1!C:C)</f>
        <v>11</v>
      </c>
      <c r="F103" s="72" t="s">
        <v>3101</v>
      </c>
      <c r="H103" s="72" t="s">
        <v>2981</v>
      </c>
      <c r="J103" s="72" t="s">
        <v>3089</v>
      </c>
      <c r="K103" s="72" t="str">
        <f t="shared" si="0"/>
        <v>fp0102.jpeg</v>
      </c>
      <c r="L103" s="57" t="s">
        <v>1114</v>
      </c>
    </row>
    <row r="104" spans="1:12" ht="207.6" customHeight="1">
      <c r="A104" s="56" t="s">
        <v>114</v>
      </c>
      <c r="B104" s="73" t="s">
        <v>3104</v>
      </c>
      <c r="C104" s="72" t="s">
        <v>3100</v>
      </c>
      <c r="E104" s="83">
        <f>SUMIF(History1!B:B, A104, History1!C:C)</f>
        <v>15</v>
      </c>
      <c r="F104" s="72" t="s">
        <v>3105</v>
      </c>
      <c r="H104" s="72" t="s">
        <v>2981</v>
      </c>
      <c r="J104" s="72" t="s">
        <v>3106</v>
      </c>
      <c r="K104" s="72" t="str">
        <f t="shared" si="0"/>
        <v>fp0103.jpeg</v>
      </c>
      <c r="L104" s="57" t="s">
        <v>1115</v>
      </c>
    </row>
    <row r="105" spans="1:12" ht="207.6" customHeight="1">
      <c r="A105" s="56" t="s">
        <v>115</v>
      </c>
      <c r="B105" s="73" t="s">
        <v>3087</v>
      </c>
      <c r="C105" s="72" t="s">
        <v>3023</v>
      </c>
      <c r="E105" s="83">
        <f>SUMIF(History1!B:B, A105, History1!C:C)</f>
        <v>2</v>
      </c>
      <c r="F105" s="72" t="s">
        <v>3105</v>
      </c>
      <c r="H105" s="72" t="s">
        <v>2981</v>
      </c>
      <c r="J105" s="72" t="s">
        <v>3107</v>
      </c>
      <c r="K105" s="72" t="str">
        <f t="shared" si="0"/>
        <v>fp0104.jpeg</v>
      </c>
      <c r="L105" s="57" t="s">
        <v>1116</v>
      </c>
    </row>
    <row r="106" spans="1:12" ht="207.6" customHeight="1">
      <c r="A106" s="56" t="s">
        <v>116</v>
      </c>
      <c r="B106" s="73" t="s">
        <v>3108</v>
      </c>
      <c r="C106" s="72" t="s">
        <v>3023</v>
      </c>
      <c r="E106" s="83">
        <f>SUMIF(History1!B:B, A106, History1!C:C)</f>
        <v>4</v>
      </c>
      <c r="F106" s="72" t="s">
        <v>3093</v>
      </c>
      <c r="H106" s="72" t="s">
        <v>2981</v>
      </c>
      <c r="J106" s="72" t="s">
        <v>3109</v>
      </c>
      <c r="K106" s="72" t="str">
        <f t="shared" si="0"/>
        <v>fp0105.jpeg</v>
      </c>
      <c r="L106" s="57" t="s">
        <v>1117</v>
      </c>
    </row>
    <row r="107" spans="1:12" ht="207.6" customHeight="1">
      <c r="A107" s="56" t="s">
        <v>117</v>
      </c>
      <c r="B107" s="73" t="s">
        <v>3110</v>
      </c>
      <c r="C107" s="72" t="s">
        <v>3079</v>
      </c>
      <c r="E107" s="83">
        <f>SUMIF(History1!B:B, A107, History1!C:C)</f>
        <v>0</v>
      </c>
      <c r="F107" s="72" t="s">
        <v>3098</v>
      </c>
      <c r="H107" s="72" t="s">
        <v>2981</v>
      </c>
      <c r="J107" s="72" t="s">
        <v>3111</v>
      </c>
      <c r="K107" s="72" t="str">
        <f t="shared" si="0"/>
        <v>fp0106.jpeg</v>
      </c>
      <c r="L107" s="57" t="s">
        <v>1118</v>
      </c>
    </row>
    <row r="108" spans="1:12" ht="207.6" customHeight="1">
      <c r="A108" s="56" t="s">
        <v>118</v>
      </c>
      <c r="B108" s="73" t="s">
        <v>3113</v>
      </c>
      <c r="C108" s="72" t="s">
        <v>3100</v>
      </c>
      <c r="E108" s="83">
        <f>SUMIF(History1!B:B, A108, History1!C:C)</f>
        <v>16</v>
      </c>
      <c r="F108" s="72" t="s">
        <v>3105</v>
      </c>
      <c r="H108" s="72" t="s">
        <v>2981</v>
      </c>
      <c r="J108" s="72" t="s">
        <v>3107</v>
      </c>
      <c r="K108" s="72" t="str">
        <f t="shared" si="0"/>
        <v>fp0107.jpeg</v>
      </c>
      <c r="L108" s="57" t="s">
        <v>1119</v>
      </c>
    </row>
    <row r="109" spans="1:12" ht="207.6" customHeight="1">
      <c r="A109" s="56" t="s">
        <v>119</v>
      </c>
      <c r="B109" s="73" t="s">
        <v>3114</v>
      </c>
      <c r="C109" s="72" t="s">
        <v>3100</v>
      </c>
      <c r="E109" s="83">
        <f>SUMIF(History1!B:B, A109, History1!C:C)</f>
        <v>20</v>
      </c>
      <c r="F109" s="72" t="s">
        <v>3101</v>
      </c>
      <c r="H109" s="72" t="s">
        <v>3115</v>
      </c>
      <c r="J109" s="72" t="s">
        <v>3107</v>
      </c>
      <c r="K109" s="72" t="str">
        <f t="shared" si="0"/>
        <v>fp0108.jpeg</v>
      </c>
      <c r="L109" s="57" t="s">
        <v>1120</v>
      </c>
    </row>
    <row r="110" spans="1:12" ht="207.6" customHeight="1">
      <c r="A110" s="56" t="s">
        <v>120</v>
      </c>
      <c r="B110" s="73" t="s">
        <v>3116</v>
      </c>
      <c r="C110" s="72" t="s">
        <v>3100</v>
      </c>
      <c r="E110" s="83">
        <f>SUMIF(History1!B:B, A110, History1!C:C)</f>
        <v>10</v>
      </c>
      <c r="F110" s="72" t="s">
        <v>3101</v>
      </c>
      <c r="H110" s="72" t="s">
        <v>2981</v>
      </c>
      <c r="J110" s="72" t="s">
        <v>3111</v>
      </c>
      <c r="K110" s="72" t="str">
        <f t="shared" si="0"/>
        <v>fp0109.jpeg</v>
      </c>
      <c r="L110" s="57" t="s">
        <v>1121</v>
      </c>
    </row>
    <row r="111" spans="1:12" ht="207.6" customHeight="1">
      <c r="A111" s="56" t="s">
        <v>121</v>
      </c>
      <c r="B111" s="73" t="s">
        <v>3117</v>
      </c>
      <c r="C111" s="72" t="s">
        <v>3100</v>
      </c>
      <c r="E111" s="83">
        <f>SUMIF(History1!B:B, A111, History1!C:C)</f>
        <v>15</v>
      </c>
      <c r="F111" s="72" t="s">
        <v>3101</v>
      </c>
      <c r="H111" s="72" t="s">
        <v>2981</v>
      </c>
      <c r="J111" s="72" t="s">
        <v>3107</v>
      </c>
      <c r="K111" s="72" t="str">
        <f t="shared" si="0"/>
        <v>fp0110.jpeg</v>
      </c>
      <c r="L111" s="57" t="s">
        <v>1122</v>
      </c>
    </row>
    <row r="112" spans="1:12" ht="207.6" customHeight="1">
      <c r="A112" s="56" t="s">
        <v>122</v>
      </c>
      <c r="B112" s="73" t="s">
        <v>3119</v>
      </c>
      <c r="C112" s="72" t="s">
        <v>3100</v>
      </c>
      <c r="E112" s="83">
        <f>SUMIF(History1!B:B, A112, History1!C:C)</f>
        <v>12</v>
      </c>
      <c r="F112" s="72" t="s">
        <v>3101</v>
      </c>
      <c r="H112" s="72" t="s">
        <v>2981</v>
      </c>
      <c r="J112" s="72" t="s">
        <v>3118</v>
      </c>
      <c r="K112" s="72" t="str">
        <f t="shared" si="0"/>
        <v>fp0111.jpeg</v>
      </c>
      <c r="L112" s="57" t="s">
        <v>1123</v>
      </c>
    </row>
    <row r="113" spans="1:12" ht="207.6" customHeight="1">
      <c r="A113" s="56" t="s">
        <v>123</v>
      </c>
      <c r="B113" s="73" t="s">
        <v>3120</v>
      </c>
      <c r="C113" s="72" t="s">
        <v>3100</v>
      </c>
      <c r="E113" s="83">
        <f>SUMIF(History1!B:B, A113, History1!C:C)</f>
        <v>42</v>
      </c>
      <c r="F113" s="72" t="s">
        <v>3101</v>
      </c>
      <c r="H113" s="72" t="s">
        <v>2981</v>
      </c>
      <c r="J113" s="72" t="s">
        <v>3111</v>
      </c>
      <c r="K113" s="72" t="str">
        <f t="shared" si="0"/>
        <v>fp0112.jpeg</v>
      </c>
      <c r="L113" s="57" t="s">
        <v>1124</v>
      </c>
    </row>
    <row r="114" spans="1:12" ht="207.6" customHeight="1">
      <c r="A114" s="56" t="s">
        <v>124</v>
      </c>
      <c r="B114" s="73" t="s">
        <v>3099</v>
      </c>
      <c r="C114" s="72" t="s">
        <v>3121</v>
      </c>
      <c r="E114" s="83">
        <f>SUMIF(History1!B:B, A114, History1!C:C)</f>
        <v>39</v>
      </c>
      <c r="F114" s="72" t="s">
        <v>3101</v>
      </c>
      <c r="H114" s="72" t="s">
        <v>2981</v>
      </c>
      <c r="J114" s="72" t="s">
        <v>3107</v>
      </c>
      <c r="K114" s="72" t="str">
        <f t="shared" si="0"/>
        <v>fp0113.jpeg</v>
      </c>
      <c r="L114" s="57" t="s">
        <v>1125</v>
      </c>
    </row>
    <row r="115" spans="1:12" ht="207.6" customHeight="1">
      <c r="A115" s="56" t="s">
        <v>125</v>
      </c>
      <c r="B115" s="73" t="s">
        <v>3122</v>
      </c>
      <c r="C115" s="72" t="s">
        <v>3100</v>
      </c>
      <c r="E115" s="83">
        <f>SUMIF(History1!B:B, A115, History1!C:C)</f>
        <v>19</v>
      </c>
      <c r="F115" s="72" t="s">
        <v>3090</v>
      </c>
      <c r="H115" s="72" t="s">
        <v>2981</v>
      </c>
      <c r="J115" s="72" t="s">
        <v>3107</v>
      </c>
      <c r="K115" s="72" t="str">
        <f t="shared" si="0"/>
        <v>fp0114.jpeg</v>
      </c>
      <c r="L115" s="57" t="s">
        <v>1126</v>
      </c>
    </row>
    <row r="116" spans="1:12" ht="207.6" customHeight="1">
      <c r="A116" s="56" t="s">
        <v>126</v>
      </c>
      <c r="B116" s="73" t="s">
        <v>3123</v>
      </c>
      <c r="C116" s="72" t="s">
        <v>3100</v>
      </c>
      <c r="E116" s="83">
        <f>SUMIF(History1!B:B, A116, History1!C:C)</f>
        <v>16</v>
      </c>
      <c r="F116" s="72" t="s">
        <v>3090</v>
      </c>
      <c r="H116" s="72" t="s">
        <v>2981</v>
      </c>
      <c r="J116" s="72" t="s">
        <v>3111</v>
      </c>
      <c r="K116" s="72" t="str">
        <f t="shared" si="0"/>
        <v>fp0115.jpeg</v>
      </c>
      <c r="L116" s="57" t="s">
        <v>1127</v>
      </c>
    </row>
    <row r="117" spans="1:12" ht="207.6" customHeight="1">
      <c r="A117" s="56" t="s">
        <v>127</v>
      </c>
      <c r="B117" s="73" t="s">
        <v>3124</v>
      </c>
      <c r="C117" s="72" t="s">
        <v>3125</v>
      </c>
      <c r="E117" s="83">
        <f>SUMIF(History1!B:B, A117, History1!C:C)</f>
        <v>30</v>
      </c>
      <c r="F117" s="72" t="s">
        <v>3090</v>
      </c>
      <c r="H117" s="72" t="s">
        <v>2981</v>
      </c>
      <c r="J117" s="72" t="s">
        <v>3111</v>
      </c>
      <c r="K117" s="72" t="str">
        <f t="shared" si="0"/>
        <v>fp0116.jpeg</v>
      </c>
      <c r="L117" s="57" t="s">
        <v>1128</v>
      </c>
    </row>
    <row r="118" spans="1:12" ht="207.6" customHeight="1">
      <c r="A118" s="56" t="s">
        <v>128</v>
      </c>
      <c r="B118" s="73" t="s">
        <v>3126</v>
      </c>
      <c r="C118" s="72" t="s">
        <v>3042</v>
      </c>
      <c r="E118" s="83">
        <f>SUMIF(History1!B:B, A118, History1!C:C)</f>
        <v>0</v>
      </c>
      <c r="F118" s="72" t="s">
        <v>3101</v>
      </c>
      <c r="H118" s="72" t="s">
        <v>2981</v>
      </c>
      <c r="J118" s="72" t="s">
        <v>3111</v>
      </c>
      <c r="K118" s="72" t="str">
        <f t="shared" si="0"/>
        <v>fp0117.jpeg</v>
      </c>
      <c r="L118" s="57" t="s">
        <v>1129</v>
      </c>
    </row>
    <row r="119" spans="1:12" ht="207.6" customHeight="1">
      <c r="A119" s="56" t="s">
        <v>129</v>
      </c>
      <c r="B119" s="73" t="s">
        <v>3127</v>
      </c>
      <c r="C119" s="72" t="s">
        <v>2987</v>
      </c>
      <c r="E119" s="83">
        <f>SUMIF(History1!B:B, A119, History1!C:C)</f>
        <v>0</v>
      </c>
      <c r="F119" s="72" t="s">
        <v>3090</v>
      </c>
      <c r="H119" s="72" t="s">
        <v>2981</v>
      </c>
      <c r="J119" s="72" t="s">
        <v>3111</v>
      </c>
      <c r="K119" s="72" t="str">
        <f t="shared" si="0"/>
        <v>fp0118.jpeg</v>
      </c>
      <c r="L119" s="57" t="s">
        <v>1130</v>
      </c>
    </row>
    <row r="120" spans="1:12" ht="207.6" customHeight="1">
      <c r="A120" s="56" t="s">
        <v>130</v>
      </c>
      <c r="B120" s="73" t="s">
        <v>3127</v>
      </c>
      <c r="C120" s="72" t="s">
        <v>2987</v>
      </c>
      <c r="E120" s="83">
        <f>SUMIF(History1!B:B, A120, History1!C:C)</f>
        <v>0</v>
      </c>
      <c r="F120" s="72" t="s">
        <v>3128</v>
      </c>
      <c r="H120" s="72" t="s">
        <v>2981</v>
      </c>
      <c r="J120" s="72" t="s">
        <v>3111</v>
      </c>
      <c r="K120" s="72" t="str">
        <f t="shared" si="0"/>
        <v>fp0119.jpeg</v>
      </c>
      <c r="L120" s="57" t="s">
        <v>1131</v>
      </c>
    </row>
    <row r="121" spans="1:12" ht="207.6" customHeight="1">
      <c r="A121" s="56" t="s">
        <v>131</v>
      </c>
      <c r="B121" s="73" t="s">
        <v>3129</v>
      </c>
      <c r="C121" s="72" t="s">
        <v>3048</v>
      </c>
      <c r="E121" s="83">
        <f>SUMIF(History1!B:B, A121, History1!C:C)</f>
        <v>0</v>
      </c>
      <c r="F121" s="72" t="s">
        <v>3105</v>
      </c>
      <c r="H121" s="72" t="s">
        <v>2981</v>
      </c>
      <c r="J121" s="72" t="s">
        <v>3107</v>
      </c>
      <c r="K121" s="72" t="str">
        <f t="shared" si="0"/>
        <v>fp0120.jpeg</v>
      </c>
      <c r="L121" s="57" t="s">
        <v>1132</v>
      </c>
    </row>
    <row r="122" spans="1:12" ht="207.6" customHeight="1">
      <c r="A122" s="56" t="s">
        <v>132</v>
      </c>
      <c r="B122" s="73" t="s">
        <v>3129</v>
      </c>
      <c r="C122" s="72" t="s">
        <v>3048</v>
      </c>
      <c r="E122" s="83">
        <f>SUMIF(History1!B:B, A122, History1!C:C)</f>
        <v>0</v>
      </c>
      <c r="F122" s="72" t="s">
        <v>3105</v>
      </c>
      <c r="H122" s="72" t="s">
        <v>2981</v>
      </c>
      <c r="K122" s="72" t="str">
        <f t="shared" si="0"/>
        <v>fp0121.jpeg</v>
      </c>
      <c r="L122" s="57" t="s">
        <v>1133</v>
      </c>
    </row>
    <row r="123" spans="1:12" ht="207.6" customHeight="1">
      <c r="A123" s="56" t="s">
        <v>133</v>
      </c>
      <c r="B123" s="73" t="s">
        <v>3129</v>
      </c>
      <c r="C123" s="72" t="s">
        <v>3048</v>
      </c>
      <c r="E123" s="83">
        <f>SUMIF(History1!B:B, A123, History1!C:C)</f>
        <v>0</v>
      </c>
      <c r="F123" s="72" t="s">
        <v>3105</v>
      </c>
      <c r="H123" s="72" t="s">
        <v>2981</v>
      </c>
      <c r="K123" s="72" t="str">
        <f t="shared" si="0"/>
        <v>fp0122.jpeg</v>
      </c>
      <c r="L123" s="70" t="s">
        <v>1134</v>
      </c>
    </row>
    <row r="124" spans="1:12" ht="207.6" customHeight="1">
      <c r="A124" s="56" t="s">
        <v>134</v>
      </c>
      <c r="B124" s="73" t="s">
        <v>3129</v>
      </c>
      <c r="C124" s="72" t="s">
        <v>3048</v>
      </c>
      <c r="E124" s="83">
        <f>SUMIF(History1!B:B, A124, History1!C:C)</f>
        <v>0</v>
      </c>
      <c r="F124" s="72" t="s">
        <v>3069</v>
      </c>
      <c r="H124" s="72" t="s">
        <v>2981</v>
      </c>
      <c r="K124" s="72" t="str">
        <f t="shared" si="0"/>
        <v>fp0123.jpeg</v>
      </c>
      <c r="L124" s="57" t="s">
        <v>1135</v>
      </c>
    </row>
    <row r="125" spans="1:12" ht="207.6" customHeight="1">
      <c r="A125" s="56" t="s">
        <v>135</v>
      </c>
      <c r="B125" s="73" t="s">
        <v>3129</v>
      </c>
      <c r="C125" s="72" t="s">
        <v>3048</v>
      </c>
      <c r="E125" s="83">
        <f>SUMIF(History1!B:B, A125, History1!C:C)</f>
        <v>0</v>
      </c>
      <c r="F125" s="72" t="s">
        <v>3069</v>
      </c>
      <c r="H125" s="72" t="s">
        <v>2981</v>
      </c>
      <c r="K125" s="72" t="str">
        <f t="shared" si="0"/>
        <v>fp0124.jpeg</v>
      </c>
      <c r="L125" s="57" t="s">
        <v>1136</v>
      </c>
    </row>
    <row r="126" spans="1:12" ht="207.6" customHeight="1">
      <c r="A126" s="56" t="s">
        <v>136</v>
      </c>
      <c r="B126" s="73" t="s">
        <v>3129</v>
      </c>
      <c r="C126" s="72" t="s">
        <v>3048</v>
      </c>
      <c r="E126" s="83">
        <f>SUMIF(History1!B:B, A126, History1!C:C)</f>
        <v>0</v>
      </c>
      <c r="F126" s="72" t="s">
        <v>3069</v>
      </c>
      <c r="H126" s="72" t="s">
        <v>2981</v>
      </c>
      <c r="K126" s="72" t="str">
        <f t="shared" si="0"/>
        <v>fp0125.jpeg</v>
      </c>
      <c r="L126" s="57" t="s">
        <v>1137</v>
      </c>
    </row>
    <row r="127" spans="1:12" ht="207.6" customHeight="1">
      <c r="A127" s="56" t="s">
        <v>137</v>
      </c>
      <c r="E127" s="83">
        <f>SUMIF(History1!B:B, A127, History1!C:C)</f>
        <v>0</v>
      </c>
      <c r="K127" s="72" t="str">
        <f t="shared" si="0"/>
        <v>fp0126.jpeg</v>
      </c>
      <c r="L127" s="57" t="s">
        <v>1138</v>
      </c>
    </row>
    <row r="128" spans="1:12" ht="207.6" customHeight="1">
      <c r="A128" s="56" t="s">
        <v>138</v>
      </c>
      <c r="E128" s="83">
        <f>SUMIF(History1!B:B, A128, History1!C:C)</f>
        <v>0</v>
      </c>
      <c r="K128" s="72" t="str">
        <f t="shared" si="0"/>
        <v>fp0127.jpeg</v>
      </c>
      <c r="L128" s="57" t="s">
        <v>1139</v>
      </c>
    </row>
    <row r="129" spans="1:12" ht="207.6" customHeight="1">
      <c r="A129" s="56" t="s">
        <v>139</v>
      </c>
      <c r="E129" s="83">
        <f>SUMIF(History1!B:B, A129, History1!C:C)</f>
        <v>0</v>
      </c>
      <c r="K129" s="72" t="str">
        <f t="shared" si="0"/>
        <v>fp0128.jpeg</v>
      </c>
      <c r="L129" s="57" t="s">
        <v>1140</v>
      </c>
    </row>
    <row r="130" spans="1:12" ht="207.6" customHeight="1">
      <c r="A130" s="56" t="s">
        <v>140</v>
      </c>
      <c r="E130" s="83">
        <f>SUMIF(History1!B:B, A130, History1!C:C)</f>
        <v>0</v>
      </c>
      <c r="K130" s="72" t="str">
        <f t="shared" si="0"/>
        <v>fp0129.jpeg</v>
      </c>
      <c r="L130" s="57" t="s">
        <v>1141</v>
      </c>
    </row>
    <row r="131" spans="1:12" ht="207.6" customHeight="1">
      <c r="A131" s="56" t="s">
        <v>141</v>
      </c>
      <c r="E131" s="83">
        <f>SUMIF(History1!B:B, A131, History1!C:C)</f>
        <v>0</v>
      </c>
      <c r="K131" s="72" t="str">
        <f t="shared" si="0"/>
        <v>fp0130.jpeg</v>
      </c>
      <c r="L131" s="57" t="s">
        <v>1142</v>
      </c>
    </row>
    <row r="132" spans="1:12" ht="207.6" customHeight="1">
      <c r="A132" s="56" t="s">
        <v>142</v>
      </c>
      <c r="E132" s="83">
        <f>SUMIF(History1!B:B, A132, History1!C:C)</f>
        <v>0</v>
      </c>
      <c r="K132" s="72" t="str">
        <f t="shared" si="0"/>
        <v>fp0131.jpeg</v>
      </c>
      <c r="L132" s="57" t="s">
        <v>1143</v>
      </c>
    </row>
    <row r="133" spans="1:12" ht="207.6" customHeight="1">
      <c r="A133" s="56" t="s">
        <v>143</v>
      </c>
      <c r="E133" s="83">
        <f>SUMIF(History1!B:B, A133, History1!C:C)</f>
        <v>0</v>
      </c>
      <c r="K133" s="72" t="str">
        <f t="shared" si="0"/>
        <v>fp0132.jpeg</v>
      </c>
      <c r="L133" s="57" t="s">
        <v>1144</v>
      </c>
    </row>
    <row r="134" spans="1:12" ht="207.6" customHeight="1">
      <c r="A134" s="56" t="s">
        <v>144</v>
      </c>
      <c r="E134" s="83">
        <f>SUMIF(History1!B:B, A134, History1!C:C)</f>
        <v>0</v>
      </c>
      <c r="K134" s="72" t="str">
        <f t="shared" si="0"/>
        <v>fp0133.jpeg</v>
      </c>
      <c r="L134" s="57" t="s">
        <v>1145</v>
      </c>
    </row>
    <row r="135" spans="1:12" ht="207.6" customHeight="1">
      <c r="A135" s="56" t="s">
        <v>145</v>
      </c>
      <c r="E135" s="83">
        <f>SUMIF(History1!B:B, A135, History1!C:C)</f>
        <v>0</v>
      </c>
      <c r="K135" s="72" t="str">
        <f t="shared" si="0"/>
        <v>fp0134.jpeg</v>
      </c>
      <c r="L135" s="57" t="s">
        <v>1146</v>
      </c>
    </row>
    <row r="136" spans="1:12" ht="207.6" customHeight="1">
      <c r="A136" s="56" t="s">
        <v>146</v>
      </c>
      <c r="E136" s="83">
        <f>SUMIF(History1!B:B, A136, History1!C:C)</f>
        <v>0</v>
      </c>
      <c r="K136" s="72" t="str">
        <f t="shared" si="0"/>
        <v>fp0135.jpeg</v>
      </c>
      <c r="L136" s="57" t="s">
        <v>1147</v>
      </c>
    </row>
    <row r="137" spans="1:12" ht="207.6" customHeight="1">
      <c r="A137" s="56" t="s">
        <v>147</v>
      </c>
      <c r="E137" s="83">
        <f>SUMIF(History1!B:B, A137, History1!C:C)</f>
        <v>0</v>
      </c>
      <c r="K137" s="72" t="str">
        <f t="shared" si="0"/>
        <v>fp0136.jpeg</v>
      </c>
      <c r="L137" s="57" t="s">
        <v>1148</v>
      </c>
    </row>
    <row r="138" spans="1:12" ht="207.6" customHeight="1">
      <c r="A138" s="56" t="s">
        <v>148</v>
      </c>
      <c r="E138" s="83">
        <f>SUMIF(History1!B:B, A138, History1!C:C)</f>
        <v>0</v>
      </c>
      <c r="K138" s="72" t="str">
        <f t="shared" si="0"/>
        <v>fp0137.jpeg</v>
      </c>
      <c r="L138" s="57" t="s">
        <v>1149</v>
      </c>
    </row>
    <row r="139" spans="1:12" ht="207.6" customHeight="1">
      <c r="A139" s="56" t="s">
        <v>149</v>
      </c>
      <c r="E139" s="83">
        <f>SUMIF(History1!B:B, A139, History1!C:C)</f>
        <v>0</v>
      </c>
      <c r="K139" s="72" t="str">
        <f t="shared" si="0"/>
        <v>fp0138.jpeg</v>
      </c>
      <c r="L139" s="57" t="s">
        <v>1150</v>
      </c>
    </row>
    <row r="140" spans="1:12" ht="207.6" customHeight="1">
      <c r="A140" s="56" t="s">
        <v>150</v>
      </c>
      <c r="E140" s="83">
        <f>SUMIF(History1!B:B, A140, History1!C:C)</f>
        <v>0</v>
      </c>
      <c r="K140" s="72" t="str">
        <f t="shared" si="0"/>
        <v>fp0139.jpeg</v>
      </c>
      <c r="L140" s="57" t="s">
        <v>1151</v>
      </c>
    </row>
    <row r="141" spans="1:12" ht="207.6" customHeight="1">
      <c r="A141" s="56" t="s">
        <v>151</v>
      </c>
      <c r="E141" s="83">
        <f>SUMIF(History1!B:B, A141, History1!C:C)</f>
        <v>0</v>
      </c>
      <c r="K141" s="72" t="str">
        <f t="shared" si="0"/>
        <v>fp0140.jpeg</v>
      </c>
      <c r="L141" s="57" t="s">
        <v>1152</v>
      </c>
    </row>
    <row r="142" spans="1:12" ht="207.6" customHeight="1">
      <c r="A142" s="56" t="s">
        <v>152</v>
      </c>
      <c r="E142" s="83">
        <f>SUMIF(History1!B:B, A142, History1!C:C)</f>
        <v>0</v>
      </c>
      <c r="K142" s="72" t="str">
        <f t="shared" si="0"/>
        <v>fp0141.jpeg</v>
      </c>
      <c r="L142" s="57" t="s">
        <v>1153</v>
      </c>
    </row>
    <row r="143" spans="1:12" ht="207.6" customHeight="1">
      <c r="A143" s="56" t="s">
        <v>153</v>
      </c>
      <c r="E143" s="83">
        <f>SUMIF(History1!B:B, A143, History1!C:C)</f>
        <v>0</v>
      </c>
      <c r="K143" s="72" t="str">
        <f t="shared" si="0"/>
        <v>fp0142.jpeg</v>
      </c>
      <c r="L143" s="57" t="s">
        <v>1154</v>
      </c>
    </row>
    <row r="144" spans="1:12" ht="207.6" customHeight="1">
      <c r="A144" s="56" t="s">
        <v>154</v>
      </c>
      <c r="E144" s="83">
        <f>SUMIF(History1!B:B, A144, History1!C:C)</f>
        <v>0</v>
      </c>
      <c r="K144" s="72" t="str">
        <f t="shared" si="0"/>
        <v>fp0143.jpeg</v>
      </c>
      <c r="L144" s="57" t="s">
        <v>1155</v>
      </c>
    </row>
    <row r="145" spans="1:12" ht="207.6" customHeight="1">
      <c r="A145" s="56" t="s">
        <v>155</v>
      </c>
      <c r="E145" s="83">
        <f>SUMIF(History1!B:B, A145, History1!C:C)</f>
        <v>0</v>
      </c>
      <c r="K145" s="72" t="str">
        <f t="shared" si="0"/>
        <v>fp0144.jpeg</v>
      </c>
      <c r="L145" s="57" t="s">
        <v>1156</v>
      </c>
    </row>
    <row r="146" spans="1:12" ht="207.6" customHeight="1">
      <c r="A146" s="56" t="s">
        <v>156</v>
      </c>
      <c r="E146" s="83">
        <f>SUMIF(History1!B:B, A146, History1!C:C)</f>
        <v>0</v>
      </c>
      <c r="K146" s="72" t="str">
        <f t="shared" si="0"/>
        <v>fp0145.jpeg</v>
      </c>
      <c r="L146" s="57" t="s">
        <v>1157</v>
      </c>
    </row>
    <row r="147" spans="1:12" ht="207.6" customHeight="1">
      <c r="A147" s="56" t="s">
        <v>157</v>
      </c>
      <c r="E147" s="83">
        <f>SUMIF(History1!B:B, A147, History1!C:C)</f>
        <v>0</v>
      </c>
      <c r="K147" s="72" t="str">
        <f t="shared" ref="K147:K208" si="1">LOWER(A147)&amp;".jpeg"</f>
        <v>fp0146.jpeg</v>
      </c>
      <c r="L147" s="57" t="s">
        <v>1158</v>
      </c>
    </row>
    <row r="148" spans="1:12" ht="207.6" customHeight="1">
      <c r="A148" s="56" t="s">
        <v>158</v>
      </c>
      <c r="E148" s="83">
        <f>SUMIF(History1!B:B, A148, History1!C:C)</f>
        <v>0</v>
      </c>
      <c r="K148" s="72" t="str">
        <f t="shared" si="1"/>
        <v>fp0147.jpeg</v>
      </c>
      <c r="L148" s="57" t="s">
        <v>1159</v>
      </c>
    </row>
    <row r="149" spans="1:12" ht="207.6" customHeight="1">
      <c r="A149" s="56" t="s">
        <v>159</v>
      </c>
      <c r="E149" s="83">
        <f>SUMIF(History1!B:B, A149, History1!C:C)</f>
        <v>0</v>
      </c>
      <c r="K149" s="72" t="str">
        <f t="shared" si="1"/>
        <v>fp0148.jpeg</v>
      </c>
      <c r="L149" s="57" t="s">
        <v>1160</v>
      </c>
    </row>
    <row r="150" spans="1:12" ht="207.6" customHeight="1">
      <c r="A150" s="56" t="s">
        <v>160</v>
      </c>
      <c r="E150" s="83">
        <f>SUMIF(History1!B:B, A150, History1!C:C)</f>
        <v>0</v>
      </c>
      <c r="K150" s="72" t="str">
        <f t="shared" si="1"/>
        <v>fp0149.jpeg</v>
      </c>
      <c r="L150" s="57" t="s">
        <v>1161</v>
      </c>
    </row>
    <row r="151" spans="1:12" ht="207.6" customHeight="1">
      <c r="A151" s="56" t="s">
        <v>161</v>
      </c>
      <c r="E151" s="83">
        <f>SUMIF(History1!B:B, A151, History1!C:C)</f>
        <v>0</v>
      </c>
      <c r="K151" s="72" t="str">
        <f t="shared" si="1"/>
        <v>fp0150.jpeg</v>
      </c>
      <c r="L151" s="57" t="s">
        <v>1162</v>
      </c>
    </row>
    <row r="152" spans="1:12" ht="207.6" customHeight="1">
      <c r="A152" s="56" t="s">
        <v>162</v>
      </c>
      <c r="E152" s="83">
        <f>SUMIF(History1!B:B, A152, History1!C:C)</f>
        <v>0</v>
      </c>
      <c r="K152" s="72" t="str">
        <f t="shared" si="1"/>
        <v>fp0151.jpeg</v>
      </c>
      <c r="L152" s="57" t="s">
        <v>1163</v>
      </c>
    </row>
    <row r="153" spans="1:12" ht="207.6" customHeight="1">
      <c r="A153" s="56" t="s">
        <v>163</v>
      </c>
      <c r="E153" s="83">
        <f>SUMIF(History1!B:B, A153, History1!C:C)</f>
        <v>0</v>
      </c>
      <c r="K153" s="72" t="str">
        <f t="shared" si="1"/>
        <v>fp0152.jpeg</v>
      </c>
      <c r="L153" s="57" t="s">
        <v>1164</v>
      </c>
    </row>
    <row r="154" spans="1:12" ht="207.6" customHeight="1">
      <c r="A154" s="56" t="s">
        <v>164</v>
      </c>
      <c r="E154" s="83">
        <f>SUMIF(History1!B:B, A154, History1!C:C)</f>
        <v>0</v>
      </c>
      <c r="K154" s="72" t="str">
        <f t="shared" si="1"/>
        <v>fp0153.jpeg</v>
      </c>
      <c r="L154" s="57" t="s">
        <v>1165</v>
      </c>
    </row>
    <row r="155" spans="1:12" ht="207.6" customHeight="1">
      <c r="A155" s="56" t="s">
        <v>165</v>
      </c>
      <c r="E155" s="83">
        <f>SUMIF(History1!B:B, A155, History1!C:C)</f>
        <v>0</v>
      </c>
      <c r="K155" s="72" t="str">
        <f t="shared" si="1"/>
        <v>fp0154.jpeg</v>
      </c>
      <c r="L155" s="57" t="s">
        <v>1166</v>
      </c>
    </row>
    <row r="156" spans="1:12" ht="207.6" customHeight="1">
      <c r="A156" s="56" t="s">
        <v>166</v>
      </c>
      <c r="E156" s="83">
        <f>SUMIF(History1!B:B, A156, History1!C:C)</f>
        <v>0</v>
      </c>
      <c r="K156" s="72" t="str">
        <f t="shared" si="1"/>
        <v>fp0155.jpeg</v>
      </c>
      <c r="L156" s="57" t="s">
        <v>1167</v>
      </c>
    </row>
    <row r="157" spans="1:12" ht="207.6" customHeight="1">
      <c r="A157" s="56" t="s">
        <v>167</v>
      </c>
      <c r="E157" s="83">
        <f>SUMIF(History1!B:B, A157, History1!C:C)</f>
        <v>0</v>
      </c>
      <c r="K157" s="72" t="str">
        <f t="shared" si="1"/>
        <v>fp0156.jpeg</v>
      </c>
      <c r="L157" s="57" t="s">
        <v>1168</v>
      </c>
    </row>
    <row r="158" spans="1:12" ht="207.6" customHeight="1">
      <c r="A158" s="56" t="s">
        <v>168</v>
      </c>
      <c r="E158" s="83">
        <f>SUMIF(History1!B:B, A158, History1!C:C)</f>
        <v>0</v>
      </c>
      <c r="K158" s="72" t="str">
        <f t="shared" si="1"/>
        <v>fp0157.jpeg</v>
      </c>
      <c r="L158" s="57" t="s">
        <v>1169</v>
      </c>
    </row>
    <row r="159" spans="1:12" ht="207.6" customHeight="1">
      <c r="A159" s="56" t="s">
        <v>169</v>
      </c>
      <c r="E159" s="83">
        <f>SUMIF(History1!B:B, A159, History1!C:C)</f>
        <v>0</v>
      </c>
      <c r="K159" s="72" t="str">
        <f t="shared" si="1"/>
        <v>fp0158.jpeg</v>
      </c>
      <c r="L159" s="57" t="s">
        <v>1170</v>
      </c>
    </row>
    <row r="160" spans="1:12" ht="207.6" customHeight="1">
      <c r="A160" s="56" t="s">
        <v>170</v>
      </c>
      <c r="E160" s="83">
        <f>SUMIF(History1!B:B, A160, History1!C:C)</f>
        <v>0</v>
      </c>
      <c r="K160" s="72" t="str">
        <f t="shared" si="1"/>
        <v>fp0159.jpeg</v>
      </c>
      <c r="L160" s="57" t="s">
        <v>1171</v>
      </c>
    </row>
    <row r="161" spans="1:12" ht="207.6" customHeight="1">
      <c r="A161" s="56" t="s">
        <v>171</v>
      </c>
      <c r="E161" s="83">
        <f>SUMIF(History1!B:B, A161, History1!C:C)</f>
        <v>0</v>
      </c>
      <c r="K161" s="72" t="str">
        <f t="shared" si="1"/>
        <v>fp0160.jpeg</v>
      </c>
      <c r="L161" s="57" t="s">
        <v>1172</v>
      </c>
    </row>
    <row r="162" spans="1:12" ht="207.6" customHeight="1">
      <c r="A162" s="56" t="s">
        <v>172</v>
      </c>
      <c r="E162" s="83">
        <f>SUMIF(History1!B:B, A162, History1!C:C)</f>
        <v>0</v>
      </c>
      <c r="K162" s="72" t="str">
        <f t="shared" si="1"/>
        <v>fp0161.jpeg</v>
      </c>
      <c r="L162" s="57" t="s">
        <v>1173</v>
      </c>
    </row>
    <row r="163" spans="1:12" ht="207.6" customHeight="1">
      <c r="A163" s="56" t="s">
        <v>173</v>
      </c>
      <c r="E163" s="83">
        <f>SUMIF(History1!B:B, A163, History1!C:C)</f>
        <v>0</v>
      </c>
      <c r="K163" s="72" t="str">
        <f t="shared" si="1"/>
        <v>fp0162.jpeg</v>
      </c>
      <c r="L163" s="57" t="s">
        <v>1174</v>
      </c>
    </row>
    <row r="164" spans="1:12" ht="207.6" customHeight="1">
      <c r="A164" s="56" t="s">
        <v>174</v>
      </c>
      <c r="E164" s="83">
        <f>SUMIF(History1!B:B, A164, History1!C:C)</f>
        <v>0</v>
      </c>
      <c r="K164" s="72" t="str">
        <f t="shared" si="1"/>
        <v>fp0163.jpeg</v>
      </c>
      <c r="L164" s="57" t="s">
        <v>1175</v>
      </c>
    </row>
    <row r="165" spans="1:12" ht="207.6" customHeight="1">
      <c r="A165" s="56" t="s">
        <v>175</v>
      </c>
      <c r="E165" s="83">
        <f>SUMIF(History1!B:B, A165, History1!C:C)</f>
        <v>0</v>
      </c>
      <c r="K165" s="72" t="str">
        <f t="shared" si="1"/>
        <v>fp0164.jpeg</v>
      </c>
      <c r="L165" s="57" t="s">
        <v>1176</v>
      </c>
    </row>
    <row r="166" spans="1:12" ht="207.6" customHeight="1">
      <c r="A166" s="56" t="s">
        <v>176</v>
      </c>
      <c r="E166" s="83">
        <f>SUMIF(History1!B:B, A166, History1!C:C)</f>
        <v>0</v>
      </c>
      <c r="K166" s="72" t="str">
        <f t="shared" si="1"/>
        <v>fp0165.jpeg</v>
      </c>
      <c r="L166" s="57" t="s">
        <v>1177</v>
      </c>
    </row>
    <row r="167" spans="1:12" ht="207.6" customHeight="1">
      <c r="A167" s="56" t="s">
        <v>177</v>
      </c>
      <c r="E167" s="83">
        <f>SUMIF(History1!B:B, A167, History1!C:C)</f>
        <v>0</v>
      </c>
      <c r="K167" s="72" t="str">
        <f t="shared" si="1"/>
        <v>fp0166.jpeg</v>
      </c>
      <c r="L167" s="57" t="s">
        <v>1178</v>
      </c>
    </row>
    <row r="168" spans="1:12" ht="207.6" customHeight="1">
      <c r="A168" s="56" t="s">
        <v>178</v>
      </c>
      <c r="E168" s="83">
        <f>SUMIF(History1!B:B, A168, History1!C:C)</f>
        <v>0</v>
      </c>
      <c r="K168" s="72" t="str">
        <f t="shared" si="1"/>
        <v>fp0167.jpeg</v>
      </c>
      <c r="L168" s="57" t="s">
        <v>1179</v>
      </c>
    </row>
    <row r="169" spans="1:12" ht="207.6" customHeight="1">
      <c r="A169" s="56" t="s">
        <v>179</v>
      </c>
      <c r="E169" s="83">
        <f>SUMIF(History1!B:B, A169, History1!C:C)</f>
        <v>0</v>
      </c>
      <c r="K169" s="72" t="str">
        <f t="shared" si="1"/>
        <v>fp0168.jpeg</v>
      </c>
      <c r="L169" s="57" t="s">
        <v>1180</v>
      </c>
    </row>
    <row r="170" spans="1:12" ht="207.6" customHeight="1">
      <c r="A170" s="56" t="s">
        <v>180</v>
      </c>
      <c r="E170" s="83">
        <f>SUMIF(History1!B:B, A170, History1!C:C)</f>
        <v>0</v>
      </c>
      <c r="K170" s="72" t="str">
        <f t="shared" si="1"/>
        <v>fp0169.jpeg</v>
      </c>
      <c r="L170" s="57" t="s">
        <v>1181</v>
      </c>
    </row>
    <row r="171" spans="1:12" ht="207.6" customHeight="1">
      <c r="A171" s="56" t="s">
        <v>181</v>
      </c>
      <c r="E171" s="83">
        <f>SUMIF(History1!B:B, A171, History1!C:C)</f>
        <v>0</v>
      </c>
      <c r="K171" s="72" t="str">
        <f t="shared" si="1"/>
        <v>fp0170.jpeg</v>
      </c>
      <c r="L171" s="57" t="s">
        <v>1182</v>
      </c>
    </row>
    <row r="172" spans="1:12" ht="207.6" customHeight="1">
      <c r="A172" s="56" t="s">
        <v>182</v>
      </c>
      <c r="E172" s="83">
        <f>SUMIF(History1!B:B, A172, History1!C:C)</f>
        <v>0</v>
      </c>
      <c r="K172" s="72" t="str">
        <f t="shared" si="1"/>
        <v>fp0171.jpeg</v>
      </c>
      <c r="L172" s="57" t="s">
        <v>1183</v>
      </c>
    </row>
    <row r="173" spans="1:12" ht="207.6" customHeight="1">
      <c r="A173" s="56" t="s">
        <v>183</v>
      </c>
      <c r="E173" s="83">
        <f>SUMIF(History1!B:B, A173, History1!C:C)</f>
        <v>0</v>
      </c>
      <c r="K173" s="72" t="str">
        <f t="shared" si="1"/>
        <v>fp0172.jpeg</v>
      </c>
      <c r="L173" s="57" t="s">
        <v>1184</v>
      </c>
    </row>
    <row r="174" spans="1:12" ht="207.6" customHeight="1">
      <c r="A174" s="56" t="s">
        <v>184</v>
      </c>
      <c r="E174" s="83">
        <f>SUMIF(History1!B:B, A174, History1!C:C)</f>
        <v>0</v>
      </c>
      <c r="K174" s="72" t="str">
        <f t="shared" si="1"/>
        <v>fp0173.jpeg</v>
      </c>
      <c r="L174" s="57" t="s">
        <v>1185</v>
      </c>
    </row>
    <row r="175" spans="1:12" ht="207.6" customHeight="1">
      <c r="A175" s="56" t="s">
        <v>185</v>
      </c>
      <c r="E175" s="83">
        <f>SUMIF(History1!B:B, A175, History1!C:C)</f>
        <v>0</v>
      </c>
      <c r="K175" s="72" t="str">
        <f t="shared" si="1"/>
        <v>fp0174.jpeg</v>
      </c>
      <c r="L175" s="57" t="s">
        <v>1186</v>
      </c>
    </row>
    <row r="176" spans="1:12" ht="207.6" customHeight="1">
      <c r="A176" s="56" t="s">
        <v>186</v>
      </c>
      <c r="E176" s="83">
        <f>SUMIF(History1!B:B, A176, History1!C:C)</f>
        <v>0</v>
      </c>
      <c r="K176" s="72" t="str">
        <f t="shared" si="1"/>
        <v>fp0175.jpeg</v>
      </c>
      <c r="L176" s="57" t="s">
        <v>1187</v>
      </c>
    </row>
    <row r="177" spans="1:12" ht="207.6" customHeight="1">
      <c r="A177" s="56" t="s">
        <v>187</v>
      </c>
      <c r="E177" s="83">
        <f>SUMIF(History1!B:B, A177, History1!C:C)</f>
        <v>0</v>
      </c>
      <c r="K177" s="72" t="str">
        <f t="shared" si="1"/>
        <v>fp0176.jpeg</v>
      </c>
      <c r="L177" s="57" t="s">
        <v>1188</v>
      </c>
    </row>
    <row r="178" spans="1:12" ht="207.6" customHeight="1">
      <c r="A178" s="56" t="s">
        <v>188</v>
      </c>
      <c r="E178" s="83">
        <f>SUMIF(History1!B:B, A178, History1!C:C)</f>
        <v>0</v>
      </c>
      <c r="K178" s="72" t="str">
        <f t="shared" si="1"/>
        <v>fp0177.jpeg</v>
      </c>
      <c r="L178" s="57" t="s">
        <v>1189</v>
      </c>
    </row>
    <row r="179" spans="1:12" ht="207.6" customHeight="1">
      <c r="A179" s="56" t="s">
        <v>189</v>
      </c>
      <c r="E179" s="83">
        <f>SUMIF(History1!B:B, A179, History1!C:C)</f>
        <v>0</v>
      </c>
      <c r="K179" s="72" t="str">
        <f t="shared" si="1"/>
        <v>fp0178.jpeg</v>
      </c>
      <c r="L179" s="57" t="s">
        <v>1190</v>
      </c>
    </row>
    <row r="180" spans="1:12" ht="207.6" customHeight="1">
      <c r="A180" s="56" t="s">
        <v>190</v>
      </c>
      <c r="E180" s="83">
        <f>SUMIF(History1!B:B, A180, History1!C:C)</f>
        <v>0</v>
      </c>
      <c r="K180" s="72" t="str">
        <f t="shared" si="1"/>
        <v>fp0179.jpeg</v>
      </c>
      <c r="L180" s="57" t="s">
        <v>1191</v>
      </c>
    </row>
    <row r="181" spans="1:12" ht="207.6" customHeight="1">
      <c r="A181" s="56" t="s">
        <v>191</v>
      </c>
      <c r="E181" s="83">
        <f>SUMIF(History1!B:B, A181, History1!C:C)</f>
        <v>0</v>
      </c>
      <c r="K181" s="72" t="str">
        <f t="shared" si="1"/>
        <v>fp0180.jpeg</v>
      </c>
      <c r="L181" s="57" t="s">
        <v>1192</v>
      </c>
    </row>
    <row r="182" spans="1:12" ht="207.6" customHeight="1">
      <c r="A182" s="56" t="s">
        <v>192</v>
      </c>
      <c r="E182" s="83">
        <f>SUMIF(History1!B:B, A182, History1!C:C)</f>
        <v>0</v>
      </c>
      <c r="K182" s="72" t="str">
        <f t="shared" si="1"/>
        <v>fp0181.jpeg</v>
      </c>
      <c r="L182" s="57" t="s">
        <v>1193</v>
      </c>
    </row>
    <row r="183" spans="1:12" ht="207.6" customHeight="1">
      <c r="A183" s="56" t="s">
        <v>193</v>
      </c>
      <c r="E183" s="83">
        <f>SUMIF(History1!B:B, A183, History1!C:C)</f>
        <v>0</v>
      </c>
      <c r="K183" s="72" t="str">
        <f t="shared" si="1"/>
        <v>fp0182.jpeg</v>
      </c>
      <c r="L183" s="57" t="s">
        <v>1194</v>
      </c>
    </row>
    <row r="184" spans="1:12" ht="207.6" customHeight="1">
      <c r="A184" s="56" t="s">
        <v>194</v>
      </c>
      <c r="E184" s="83">
        <f>SUMIF(History1!B:B, A184, History1!C:C)</f>
        <v>0</v>
      </c>
      <c r="K184" s="72" t="str">
        <f t="shared" si="1"/>
        <v>fp0183.jpeg</v>
      </c>
      <c r="L184" s="57" t="s">
        <v>1195</v>
      </c>
    </row>
    <row r="185" spans="1:12" ht="207.6" customHeight="1">
      <c r="A185" s="56" t="s">
        <v>195</v>
      </c>
      <c r="E185" s="83">
        <f>SUMIF(History1!B:B, A185, History1!C:C)</f>
        <v>0</v>
      </c>
      <c r="K185" s="72" t="str">
        <f t="shared" si="1"/>
        <v>fp0184.jpeg</v>
      </c>
      <c r="L185" s="57" t="s">
        <v>1196</v>
      </c>
    </row>
    <row r="186" spans="1:12" ht="207.6" customHeight="1">
      <c r="A186" s="56" t="s">
        <v>196</v>
      </c>
      <c r="E186" s="83">
        <f>SUMIF(History1!B:B, A186, History1!C:C)</f>
        <v>0</v>
      </c>
      <c r="K186" s="72" t="str">
        <f t="shared" si="1"/>
        <v>fp0185.jpeg</v>
      </c>
      <c r="L186" s="57" t="s">
        <v>1197</v>
      </c>
    </row>
    <row r="187" spans="1:12" ht="207.6" customHeight="1">
      <c r="A187" s="56" t="s">
        <v>197</v>
      </c>
      <c r="E187" s="83">
        <f>SUMIF(History1!B:B, A187, History1!C:C)</f>
        <v>0</v>
      </c>
      <c r="K187" s="72" t="str">
        <f t="shared" si="1"/>
        <v>fp0186.jpeg</v>
      </c>
      <c r="L187" s="57" t="s">
        <v>1198</v>
      </c>
    </row>
    <row r="188" spans="1:12" ht="207.6" customHeight="1">
      <c r="A188" s="56" t="s">
        <v>198</v>
      </c>
      <c r="E188" s="83">
        <f>SUMIF(History1!B:B, A188, History1!C:C)</f>
        <v>0</v>
      </c>
      <c r="K188" s="72" t="str">
        <f t="shared" si="1"/>
        <v>fp0187.jpeg</v>
      </c>
      <c r="L188" s="57" t="s">
        <v>1199</v>
      </c>
    </row>
    <row r="189" spans="1:12" ht="207.6" customHeight="1">
      <c r="A189" s="56" t="s">
        <v>199</v>
      </c>
      <c r="E189" s="83">
        <f>SUMIF(History1!B:B, A189, History1!C:C)</f>
        <v>0</v>
      </c>
      <c r="K189" s="72" t="str">
        <f t="shared" si="1"/>
        <v>fp0188.jpeg</v>
      </c>
      <c r="L189" s="57" t="s">
        <v>1200</v>
      </c>
    </row>
    <row r="190" spans="1:12" ht="207.6" customHeight="1">
      <c r="A190" s="56" t="s">
        <v>200</v>
      </c>
      <c r="E190" s="83">
        <f>SUMIF(History1!B:B, A190, History1!C:C)</f>
        <v>0</v>
      </c>
      <c r="K190" s="72" t="str">
        <f t="shared" si="1"/>
        <v>fp0189.jpeg</v>
      </c>
      <c r="L190" s="57" t="s">
        <v>1201</v>
      </c>
    </row>
    <row r="191" spans="1:12" ht="207.6" customHeight="1">
      <c r="A191" s="56" t="s">
        <v>201</v>
      </c>
      <c r="E191" s="83">
        <f>SUMIF(History1!B:B, A191, History1!C:C)</f>
        <v>0</v>
      </c>
      <c r="K191" s="72" t="str">
        <f t="shared" si="1"/>
        <v>fp0190.jpeg</v>
      </c>
      <c r="L191" s="57" t="s">
        <v>1202</v>
      </c>
    </row>
    <row r="192" spans="1:12" ht="207.6" customHeight="1">
      <c r="A192" s="56" t="s">
        <v>202</v>
      </c>
      <c r="E192" s="83">
        <f>SUMIF(History1!B:B, A192, History1!C:C)</f>
        <v>0</v>
      </c>
      <c r="K192" s="72" t="str">
        <f t="shared" si="1"/>
        <v>fp0191.jpeg</v>
      </c>
      <c r="L192" s="57" t="s">
        <v>1203</v>
      </c>
    </row>
    <row r="193" spans="1:12" ht="207.6" customHeight="1">
      <c r="A193" s="56" t="s">
        <v>203</v>
      </c>
      <c r="E193" s="83">
        <f>SUMIF(History1!B:B, A193, History1!C:C)</f>
        <v>0</v>
      </c>
      <c r="K193" s="72" t="str">
        <f t="shared" si="1"/>
        <v>fp0192.jpeg</v>
      </c>
      <c r="L193" s="57" t="s">
        <v>1204</v>
      </c>
    </row>
    <row r="194" spans="1:12" ht="207.6" customHeight="1">
      <c r="A194" s="56" t="s">
        <v>204</v>
      </c>
      <c r="E194" s="83">
        <f>SUMIF(History1!B:B, A194, History1!C:C)</f>
        <v>0</v>
      </c>
      <c r="K194" s="72" t="str">
        <f t="shared" si="1"/>
        <v>fp0193.jpeg</v>
      </c>
      <c r="L194" s="57" t="s">
        <v>1205</v>
      </c>
    </row>
    <row r="195" spans="1:12" ht="207.6" customHeight="1">
      <c r="A195" s="56" t="s">
        <v>205</v>
      </c>
      <c r="E195" s="83">
        <f>SUMIF(History1!B:B, A195, History1!C:C)</f>
        <v>0</v>
      </c>
      <c r="K195" s="72" t="str">
        <f t="shared" si="1"/>
        <v>fp0194.jpeg</v>
      </c>
      <c r="L195" s="57" t="s">
        <v>1206</v>
      </c>
    </row>
    <row r="196" spans="1:12" ht="207.6" customHeight="1">
      <c r="A196" s="56" t="s">
        <v>206</v>
      </c>
      <c r="E196" s="83">
        <f>SUMIF(History1!B:B, A196, History1!C:C)</f>
        <v>0</v>
      </c>
      <c r="K196" s="72" t="str">
        <f t="shared" si="1"/>
        <v>fp0195.jpeg</v>
      </c>
      <c r="L196" s="57" t="s">
        <v>1207</v>
      </c>
    </row>
    <row r="197" spans="1:12" ht="207.6" customHeight="1">
      <c r="A197" s="56" t="s">
        <v>207</v>
      </c>
      <c r="E197" s="83">
        <f>SUMIF(History1!B:B, A197, History1!C:C)</f>
        <v>0</v>
      </c>
      <c r="K197" s="72" t="str">
        <f t="shared" si="1"/>
        <v>fp0196.jpeg</v>
      </c>
      <c r="L197" s="57" t="s">
        <v>1208</v>
      </c>
    </row>
    <row r="198" spans="1:12" ht="207.6" customHeight="1">
      <c r="A198" s="56" t="s">
        <v>208</v>
      </c>
      <c r="E198" s="83">
        <f>SUMIF(History1!B:B, A198, History1!C:C)</f>
        <v>0</v>
      </c>
      <c r="K198" s="72" t="str">
        <f t="shared" si="1"/>
        <v>fp0197.jpeg</v>
      </c>
      <c r="L198" s="57" t="s">
        <v>1209</v>
      </c>
    </row>
    <row r="199" spans="1:12" ht="207.6" customHeight="1">
      <c r="A199" s="56" t="s">
        <v>209</v>
      </c>
      <c r="E199" s="83">
        <f>SUMIF(History1!B:B, A199, History1!C:C)</f>
        <v>0</v>
      </c>
      <c r="K199" s="72" t="str">
        <f t="shared" si="1"/>
        <v>fp0198.jpeg</v>
      </c>
      <c r="L199" s="57" t="s">
        <v>1210</v>
      </c>
    </row>
    <row r="200" spans="1:12" ht="207.6" customHeight="1">
      <c r="A200" s="56" t="s">
        <v>210</v>
      </c>
      <c r="E200" s="83">
        <f>SUMIF(History1!B:B, A200, History1!C:C)</f>
        <v>0</v>
      </c>
      <c r="K200" s="72" t="str">
        <f t="shared" si="1"/>
        <v>fp0199.jpeg</v>
      </c>
      <c r="L200" s="57" t="s">
        <v>1211</v>
      </c>
    </row>
    <row r="201" spans="1:12" ht="207.6" customHeight="1">
      <c r="A201" s="56" t="s">
        <v>211</v>
      </c>
      <c r="E201" s="83">
        <f>SUMIF(History1!B:B, A201, History1!C:C)</f>
        <v>0</v>
      </c>
      <c r="K201" s="72" t="str">
        <f t="shared" si="1"/>
        <v>fp0200.jpeg</v>
      </c>
      <c r="L201" s="57" t="s">
        <v>1212</v>
      </c>
    </row>
    <row r="202" spans="1:12" ht="207.6" customHeight="1">
      <c r="A202" s="56" t="s">
        <v>212</v>
      </c>
      <c r="E202" s="83">
        <f>SUMIF(History1!B:B, A202, History1!C:C)</f>
        <v>0</v>
      </c>
      <c r="K202" s="72" t="str">
        <f t="shared" si="1"/>
        <v>fp0201.jpeg</v>
      </c>
      <c r="L202" s="57" t="s">
        <v>1213</v>
      </c>
    </row>
    <row r="203" spans="1:12" ht="207.6" customHeight="1">
      <c r="A203" s="56" t="s">
        <v>213</v>
      </c>
      <c r="E203" s="83">
        <f>SUMIF(History1!B:B, A203, History1!C:C)</f>
        <v>0</v>
      </c>
      <c r="K203" s="72" t="str">
        <f t="shared" si="1"/>
        <v>fp0202.jpeg</v>
      </c>
      <c r="L203" s="57" t="s">
        <v>1214</v>
      </c>
    </row>
    <row r="204" spans="1:12" ht="207.6" customHeight="1">
      <c r="A204" s="56" t="s">
        <v>214</v>
      </c>
      <c r="E204" s="83">
        <f>SUMIF(History1!B:B, A204, History1!C:C)</f>
        <v>0</v>
      </c>
      <c r="K204" s="72" t="str">
        <f t="shared" si="1"/>
        <v>fp0203.jpeg</v>
      </c>
      <c r="L204" s="57" t="s">
        <v>1215</v>
      </c>
    </row>
    <row r="205" spans="1:12" ht="207.6" customHeight="1">
      <c r="A205" s="56" t="s">
        <v>215</v>
      </c>
      <c r="E205" s="83">
        <f>SUMIF(History1!B:B, A205, History1!C:C)</f>
        <v>0</v>
      </c>
      <c r="K205" s="72" t="str">
        <f t="shared" si="1"/>
        <v>fp0204.jpeg</v>
      </c>
      <c r="L205" s="57" t="s">
        <v>1216</v>
      </c>
    </row>
    <row r="206" spans="1:12" ht="207.6" customHeight="1">
      <c r="A206" s="56" t="s">
        <v>216</v>
      </c>
      <c r="E206" s="83">
        <f>SUMIF(History1!B:B, A206, History1!C:C)</f>
        <v>0</v>
      </c>
      <c r="K206" s="72" t="str">
        <f t="shared" si="1"/>
        <v>fp0205.jpeg</v>
      </c>
      <c r="L206" s="57" t="s">
        <v>1217</v>
      </c>
    </row>
    <row r="207" spans="1:12" ht="207.6" customHeight="1">
      <c r="A207" s="56" t="s">
        <v>217</v>
      </c>
      <c r="E207" s="83">
        <f>SUMIF(History1!B:B, A207, History1!C:C)</f>
        <v>0</v>
      </c>
      <c r="K207" s="72" t="str">
        <f t="shared" si="1"/>
        <v>fp0206.jpeg</v>
      </c>
      <c r="L207" s="57" t="s">
        <v>1218</v>
      </c>
    </row>
    <row r="208" spans="1:12" ht="207.6" customHeight="1">
      <c r="A208" s="56" t="s">
        <v>218</v>
      </c>
      <c r="E208" s="83">
        <f>SUMIF(History1!B:B, A208, History1!C:C)</f>
        <v>0</v>
      </c>
      <c r="K208" s="72" t="str">
        <f t="shared" si="1"/>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 ref="L123" r:id="rId12" xr:uid="{0A7F6C3F-3590-4051-81BE-9214931C55E7}"/>
  </hyperlinks>
  <pageMargins left="0.7" right="0.7" top="0.75" bottom="0.75" header="0.3" footer="0.3"/>
  <pageSetup orientation="portrait" r:id="rId1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59" zoomScale="68" workbookViewId="0">
      <selection activeCell="C69" sqref="C69"/>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2984</v>
      </c>
      <c r="B2" s="78" t="s">
        <v>62</v>
      </c>
      <c r="C2" s="78">
        <v>85</v>
      </c>
      <c r="D2" s="78" t="s">
        <v>2985</v>
      </c>
      <c r="E2" s="78" t="s">
        <v>2986</v>
      </c>
      <c r="F2" s="78" t="str">
        <f>_xlfn.XLOOKUP(TRIM(B2), Inventory!A:A, Inventory!C:C, "")</f>
        <v>Small-Vases</v>
      </c>
    </row>
    <row r="3" spans="1:7" ht="55.8" customHeight="1">
      <c r="A3" s="78" t="s">
        <v>2984</v>
      </c>
      <c r="B3" s="78" t="s">
        <v>63</v>
      </c>
      <c r="C3" s="78">
        <v>375</v>
      </c>
      <c r="D3" s="78" t="s">
        <v>2985</v>
      </c>
      <c r="E3" s="78" t="s">
        <v>2986</v>
      </c>
      <c r="F3" s="78" t="str">
        <f>_xlfn.XLOOKUP(TRIM(B3), Inventory!A:A, Inventory!C:C, "")</f>
        <v>Small-Vases</v>
      </c>
    </row>
    <row r="4" spans="1:7" ht="55.8" customHeight="1">
      <c r="A4" s="78" t="s">
        <v>2984</v>
      </c>
      <c r="B4" s="78" t="s">
        <v>64</v>
      </c>
      <c r="C4" s="78">
        <v>80</v>
      </c>
      <c r="D4" s="78" t="s">
        <v>2985</v>
      </c>
      <c r="E4" s="78" t="s">
        <v>2986</v>
      </c>
      <c r="F4" s="78" t="str">
        <f>_xlfn.XLOOKUP(TRIM(B4), Inventory!A:A, Inventory!C:C, "")</f>
        <v>Small-Vases</v>
      </c>
    </row>
    <row r="5" spans="1:7" ht="55.8" customHeight="1">
      <c r="A5" s="78" t="s">
        <v>2984</v>
      </c>
      <c r="B5" s="78" t="s">
        <v>65</v>
      </c>
      <c r="C5" s="78">
        <v>135</v>
      </c>
      <c r="D5" s="78" t="s">
        <v>2985</v>
      </c>
      <c r="E5" s="78" t="s">
        <v>2986</v>
      </c>
      <c r="F5" s="78" t="str">
        <f>_xlfn.XLOOKUP(TRIM(B5), Inventory!A:A, Inventory!C:C, "")</f>
        <v>Small-Vases</v>
      </c>
    </row>
    <row r="6" spans="1:7" ht="55.8" customHeight="1">
      <c r="A6" s="78" t="s">
        <v>2984</v>
      </c>
      <c r="B6" s="78" t="s">
        <v>66</v>
      </c>
      <c r="C6" s="78">
        <v>20</v>
      </c>
      <c r="D6" s="78" t="s">
        <v>2985</v>
      </c>
      <c r="E6" s="78" t="s">
        <v>2986</v>
      </c>
      <c r="F6" s="78" t="str">
        <f>_xlfn.XLOOKUP(TRIM(B6), Inventory!A:A, Inventory!C:C, "")</f>
        <v>Small-Vases</v>
      </c>
    </row>
    <row r="7" spans="1:7" ht="55.8" customHeight="1">
      <c r="A7" s="78" t="s">
        <v>2984</v>
      </c>
      <c r="B7" s="78" t="s">
        <v>67</v>
      </c>
      <c r="C7" s="78">
        <v>115</v>
      </c>
      <c r="D7" s="84" t="s">
        <v>2985</v>
      </c>
      <c r="E7" s="78" t="s">
        <v>2986</v>
      </c>
      <c r="F7" s="78" t="str">
        <f>_xlfn.XLOOKUP(TRIM(B7), Inventory!A:A, Inventory!C:C, "")</f>
        <v>Small-Vases</v>
      </c>
    </row>
    <row r="8" spans="1:7" ht="55.8" customHeight="1">
      <c r="A8" s="78" t="s">
        <v>2984</v>
      </c>
      <c r="B8" s="78" t="s">
        <v>68</v>
      </c>
      <c r="C8" s="78">
        <v>110</v>
      </c>
      <c r="D8" s="78" t="s">
        <v>2985</v>
      </c>
      <c r="E8" s="78" t="s">
        <v>2986</v>
      </c>
      <c r="F8" s="78" t="str">
        <f>_xlfn.XLOOKUP(TRIM(B8), Inventory!A:A, Inventory!C:C, "")</f>
        <v>Small-Vases</v>
      </c>
    </row>
    <row r="9" spans="1:7" ht="55.8" customHeight="1">
      <c r="A9" s="78" t="s">
        <v>2984</v>
      </c>
      <c r="B9" s="78" t="s">
        <v>69</v>
      </c>
      <c r="C9" s="78">
        <v>130</v>
      </c>
      <c r="D9" s="78" t="s">
        <v>2985</v>
      </c>
      <c r="E9" s="78" t="s">
        <v>2986</v>
      </c>
      <c r="F9" s="78" t="str">
        <f>_xlfn.XLOOKUP(TRIM(B9), Inventory!A:A, Inventory!C:C, "")</f>
        <v>Tealights - Vases</v>
      </c>
    </row>
    <row r="10" spans="1:7" ht="55.8" customHeight="1">
      <c r="A10" s="78" t="s">
        <v>2984</v>
      </c>
      <c r="B10" s="78" t="s">
        <v>70</v>
      </c>
      <c r="C10" s="78">
        <v>105</v>
      </c>
      <c r="D10" s="78" t="s">
        <v>2985</v>
      </c>
      <c r="E10" s="78" t="s">
        <v>2986</v>
      </c>
      <c r="F10" s="78" t="str">
        <f>_xlfn.XLOOKUP(TRIM(B10), Inventory!A:A, Inventory!C:C, "")</f>
        <v>Square Vase</v>
      </c>
    </row>
    <row r="11" spans="1:7" ht="55.8" customHeight="1">
      <c r="A11" s="78" t="s">
        <v>2984</v>
      </c>
      <c r="B11" s="78" t="s">
        <v>71</v>
      </c>
      <c r="C11" s="78">
        <v>140</v>
      </c>
      <c r="D11" s="78" t="s">
        <v>2985</v>
      </c>
      <c r="E11" s="78" t="s">
        <v>2986</v>
      </c>
      <c r="F11" s="78" t="str">
        <f>_xlfn.XLOOKUP(TRIM(B11), Inventory!A:A, Inventory!C:C, "")</f>
        <v>Tealights - Vases</v>
      </c>
    </row>
    <row r="12" spans="1:7" ht="55.8" customHeight="1">
      <c r="A12" s="78" t="s">
        <v>2984</v>
      </c>
      <c r="B12" s="78" t="s">
        <v>72</v>
      </c>
      <c r="C12" s="78">
        <v>9</v>
      </c>
      <c r="D12" s="78" t="s">
        <v>2985</v>
      </c>
      <c r="E12" s="78" t="s">
        <v>2986</v>
      </c>
      <c r="F12" s="78" t="str">
        <f>_xlfn.XLOOKUP(TRIM(B12), Inventory!A:A, Inventory!C:C, "")</f>
        <v>Square Vase</v>
      </c>
    </row>
    <row r="13" spans="1:7" ht="55.8" customHeight="1">
      <c r="A13" s="78" t="s">
        <v>2984</v>
      </c>
      <c r="B13" s="78" t="s">
        <v>73</v>
      </c>
      <c r="C13" s="78">
        <v>32</v>
      </c>
      <c r="D13" s="78" t="s">
        <v>2985</v>
      </c>
      <c r="E13" s="78" t="s">
        <v>2986</v>
      </c>
      <c r="F13" s="78" t="str">
        <f>_xlfn.XLOOKUP(TRIM(B13), Inventory!A:A, Inventory!C:C, "")</f>
        <v>Tealights - Vases</v>
      </c>
    </row>
    <row r="14" spans="1:7" ht="55.8" customHeight="1">
      <c r="A14" s="78" t="s">
        <v>2984</v>
      </c>
      <c r="B14" s="78" t="s">
        <v>74</v>
      </c>
      <c r="C14" s="78">
        <v>14</v>
      </c>
      <c r="D14" s="78" t="s">
        <v>2985</v>
      </c>
      <c r="E14" s="78" t="s">
        <v>2986</v>
      </c>
      <c r="F14" s="78" t="str">
        <f>_xlfn.XLOOKUP(TRIM(B14), Inventory!A:A, Inventory!C:C, "")</f>
        <v>Tealights - Vases</v>
      </c>
    </row>
    <row r="15" spans="1:7" ht="55.8" customHeight="1">
      <c r="A15" s="78" t="s">
        <v>2984</v>
      </c>
      <c r="B15" s="78" t="s">
        <v>75</v>
      </c>
      <c r="C15" s="78">
        <v>18</v>
      </c>
      <c r="D15" s="78" t="s">
        <v>2985</v>
      </c>
      <c r="E15" s="78" t="s">
        <v>2986</v>
      </c>
      <c r="F15" s="78" t="str">
        <f>_xlfn.XLOOKUP(TRIM(B15), Inventory!A:A, Inventory!C:C, "")</f>
        <v>Tealights - Vases</v>
      </c>
    </row>
    <row r="16" spans="1:7" ht="55.8" customHeight="1">
      <c r="A16" s="78" t="s">
        <v>2984</v>
      </c>
      <c r="B16" s="78" t="s">
        <v>76</v>
      </c>
      <c r="C16" s="78">
        <v>9</v>
      </c>
      <c r="D16" s="78" t="s">
        <v>2985</v>
      </c>
      <c r="E16" s="78" t="s">
        <v>2986</v>
      </c>
      <c r="F16" s="78" t="str">
        <f>_xlfn.XLOOKUP(TRIM(B16), Inventory!A:A, Inventory!C:C, "")</f>
        <v>Medium Vase</v>
      </c>
    </row>
    <row r="17" spans="1:6" ht="55.8" customHeight="1">
      <c r="A17" s="78" t="s">
        <v>2984</v>
      </c>
      <c r="B17" s="78" t="s">
        <v>77</v>
      </c>
      <c r="C17" s="78">
        <v>5</v>
      </c>
      <c r="D17" s="78" t="s">
        <v>2985</v>
      </c>
      <c r="E17" s="78" t="s">
        <v>2986</v>
      </c>
      <c r="F17" s="78" t="str">
        <f>_xlfn.XLOOKUP(TRIM(B17), Inventory!A:A, Inventory!C:C, "")</f>
        <v>Medium Vase</v>
      </c>
    </row>
    <row r="18" spans="1:6" ht="55.8" customHeight="1">
      <c r="A18" s="78" t="s">
        <v>2984</v>
      </c>
      <c r="B18" s="78" t="s">
        <v>78</v>
      </c>
      <c r="C18" s="78">
        <v>12</v>
      </c>
      <c r="D18" s="78" t="s">
        <v>2985</v>
      </c>
      <c r="E18" s="78" t="s">
        <v>2986</v>
      </c>
      <c r="F18" s="78" t="str">
        <f>_xlfn.XLOOKUP(TRIM(B18), Inventory!A:A, Inventory!C:C, "")</f>
        <v>Medium Vase</v>
      </c>
    </row>
    <row r="19" spans="1:6" ht="55.8" customHeight="1">
      <c r="A19" s="78" t="s">
        <v>2984</v>
      </c>
      <c r="B19" s="78" t="s">
        <v>79</v>
      </c>
      <c r="C19" s="78">
        <v>85</v>
      </c>
      <c r="D19" s="78" t="s">
        <v>2985</v>
      </c>
      <c r="E19" s="78" t="s">
        <v>2986</v>
      </c>
      <c r="F19" s="78" t="str">
        <f>_xlfn.XLOOKUP(TRIM(B19), Inventory!A:A, Inventory!C:C, "")</f>
        <v>Tealights - Vases</v>
      </c>
    </row>
    <row r="20" spans="1:6" ht="55.8" customHeight="1">
      <c r="A20" s="78" t="s">
        <v>2984</v>
      </c>
      <c r="B20" s="78" t="s">
        <v>80</v>
      </c>
      <c r="C20" s="78">
        <v>70</v>
      </c>
      <c r="D20" s="78" t="s">
        <v>2985</v>
      </c>
      <c r="E20" s="78" t="s">
        <v>2986</v>
      </c>
      <c r="F20" s="78" t="str">
        <f>_xlfn.XLOOKUP(TRIM(B20), Inventory!A:A, Inventory!C:C, "")</f>
        <v>Tealights - Vases</v>
      </c>
    </row>
    <row r="21" spans="1:6" ht="55.8" customHeight="1">
      <c r="A21" s="78" t="s">
        <v>2984</v>
      </c>
      <c r="B21" s="78" t="s">
        <v>81</v>
      </c>
      <c r="C21" s="78">
        <v>27</v>
      </c>
      <c r="D21" s="78" t="s">
        <v>2985</v>
      </c>
      <c r="E21" s="78" t="s">
        <v>2986</v>
      </c>
      <c r="F21" s="78" t="str">
        <f>_xlfn.XLOOKUP(TRIM(B21), Inventory!A:A, Inventory!C:C, "")</f>
        <v>Medium Vase</v>
      </c>
    </row>
    <row r="22" spans="1:6" ht="55.8" customHeight="1">
      <c r="A22" s="78" t="s">
        <v>2984</v>
      </c>
      <c r="B22" s="78" t="s">
        <v>82</v>
      </c>
      <c r="C22" s="78">
        <v>7</v>
      </c>
      <c r="D22" s="78" t="s">
        <v>2985</v>
      </c>
      <c r="E22" s="78" t="s">
        <v>2986</v>
      </c>
      <c r="F22" s="78" t="str">
        <f>_xlfn.XLOOKUP(TRIM(B22), Inventory!A:A, Inventory!C:C, "")</f>
        <v>Others</v>
      </c>
    </row>
    <row r="23" spans="1:6" ht="55.8" customHeight="1">
      <c r="A23" s="78" t="s">
        <v>2984</v>
      </c>
      <c r="B23" s="78" t="s">
        <v>83</v>
      </c>
      <c r="C23" s="78">
        <v>310</v>
      </c>
      <c r="D23" s="78" t="s">
        <v>2985</v>
      </c>
      <c r="E23" s="78" t="s">
        <v>2986</v>
      </c>
      <c r="F23" s="78" t="str">
        <f>_xlfn.XLOOKUP(TRIM(B23), Inventory!A:A, Inventory!C:C, "")</f>
        <v>Tealights - Vases</v>
      </c>
    </row>
    <row r="24" spans="1:6" ht="55.8" customHeight="1">
      <c r="A24" s="78" t="s">
        <v>2984</v>
      </c>
      <c r="B24" s="78" t="s">
        <v>84</v>
      </c>
      <c r="C24" s="78">
        <v>20</v>
      </c>
      <c r="D24" s="78" t="s">
        <v>2985</v>
      </c>
      <c r="E24" s="78" t="s">
        <v>2986</v>
      </c>
      <c r="F24" s="78" t="str">
        <f>_xlfn.XLOOKUP(TRIM(B24), Inventory!A:A, Inventory!C:C, "")</f>
        <v>Medium Vase</v>
      </c>
    </row>
    <row r="25" spans="1:6" ht="55.8" customHeight="1">
      <c r="A25" s="78" t="s">
        <v>2984</v>
      </c>
      <c r="B25" s="78" t="s">
        <v>85</v>
      </c>
      <c r="C25" s="78">
        <v>75</v>
      </c>
      <c r="D25" s="78" t="s">
        <v>2985</v>
      </c>
      <c r="E25" s="78" t="s">
        <v>2986</v>
      </c>
      <c r="F25" s="78" t="str">
        <f>_xlfn.XLOOKUP(TRIM(B25), Inventory!A:A, Inventory!C:C, "")</f>
        <v xml:space="preserve">Holder Finger Candle </v>
      </c>
    </row>
    <row r="26" spans="1:6" ht="55.8" customHeight="1">
      <c r="A26" s="78" t="s">
        <v>2984</v>
      </c>
      <c r="B26" s="78" t="s">
        <v>86</v>
      </c>
      <c r="C26" s="78">
        <v>24</v>
      </c>
      <c r="D26" s="78" t="s">
        <v>2985</v>
      </c>
      <c r="E26" s="78" t="s">
        <v>2986</v>
      </c>
      <c r="F26" s="78" t="str">
        <f>_xlfn.XLOOKUP(TRIM(B26), Inventory!A:A, Inventory!C:C, "")</f>
        <v>Square Vase</v>
      </c>
    </row>
    <row r="27" spans="1:6" ht="55.8" customHeight="1">
      <c r="A27" s="78" t="s">
        <v>2984</v>
      </c>
      <c r="B27" s="78" t="s">
        <v>87</v>
      </c>
      <c r="C27" s="78">
        <v>8</v>
      </c>
      <c r="D27" s="78" t="s">
        <v>2985</v>
      </c>
      <c r="E27" s="78" t="s">
        <v>2986</v>
      </c>
      <c r="F27" s="78" t="str">
        <f>_xlfn.XLOOKUP(TRIM(B27), Inventory!A:A, Inventory!C:C, "")</f>
        <v>Square Vase</v>
      </c>
    </row>
    <row r="28" spans="1:6" ht="55.8" customHeight="1">
      <c r="A28" s="78" t="s">
        <v>2984</v>
      </c>
      <c r="B28" s="78" t="s">
        <v>88</v>
      </c>
      <c r="C28" s="78">
        <v>150</v>
      </c>
      <c r="D28" s="78" t="s">
        <v>2985</v>
      </c>
      <c r="E28" s="78" t="s">
        <v>2986</v>
      </c>
      <c r="F28" s="78" t="str">
        <f>_xlfn.XLOOKUP(TRIM(B28), Inventory!A:A, Inventory!C:C, "")</f>
        <v xml:space="preserve">Holder Finger Candle </v>
      </c>
    </row>
    <row r="29" spans="1:6" ht="55.8" customHeight="1">
      <c r="A29" s="78" t="s">
        <v>2984</v>
      </c>
      <c r="B29" s="78" t="s">
        <v>89</v>
      </c>
      <c r="C29" s="78">
        <v>145</v>
      </c>
      <c r="D29" s="78" t="s">
        <v>2985</v>
      </c>
      <c r="E29" s="78" t="s">
        <v>2986</v>
      </c>
      <c r="F29" s="78" t="str">
        <f>_xlfn.XLOOKUP(TRIM(B29), Inventory!A:A, Inventory!C:C, "")</f>
        <v>Tealights - Vases</v>
      </c>
    </row>
    <row r="30" spans="1:6" ht="55.8" customHeight="1">
      <c r="A30" s="78" t="s">
        <v>2984</v>
      </c>
      <c r="B30" s="78" t="s">
        <v>90</v>
      </c>
      <c r="C30" s="78">
        <v>125</v>
      </c>
      <c r="D30" s="78" t="s">
        <v>2985</v>
      </c>
      <c r="E30" s="78" t="s">
        <v>2986</v>
      </c>
      <c r="F30" s="78" t="str">
        <f>_xlfn.XLOOKUP(TRIM(B30), Inventory!A:A, Inventory!C:C, "")</f>
        <v>Tealights - Vases</v>
      </c>
    </row>
    <row r="31" spans="1:6" ht="55.8" customHeight="1">
      <c r="A31" s="78" t="s">
        <v>3066</v>
      </c>
      <c r="B31" s="78" t="s">
        <v>91</v>
      </c>
      <c r="C31" s="78">
        <v>42</v>
      </c>
      <c r="D31" s="78" t="s">
        <v>2985</v>
      </c>
      <c r="E31" s="78" t="s">
        <v>2986</v>
      </c>
      <c r="F31" s="78" t="str">
        <f>_xlfn.XLOOKUP(TRIM(B31), Inventory!A:A, Inventory!C:C, "")</f>
        <v>Medium Vase</v>
      </c>
    </row>
    <row r="32" spans="1:6" ht="55.8" customHeight="1">
      <c r="A32" s="78" t="s">
        <v>3066</v>
      </c>
      <c r="B32" s="78" t="s">
        <v>92</v>
      </c>
      <c r="C32" s="78">
        <v>4</v>
      </c>
      <c r="D32" s="78" t="s">
        <v>2985</v>
      </c>
      <c r="E32" s="78" t="s">
        <v>2986</v>
      </c>
      <c r="F32" s="78" t="str">
        <f>_xlfn.XLOOKUP(TRIM(B32), Inventory!A:A, Inventory!C:C, "")</f>
        <v>Others</v>
      </c>
    </row>
    <row r="33" spans="1:6" ht="55.8" customHeight="1">
      <c r="A33" s="78" t="s">
        <v>3066</v>
      </c>
      <c r="B33" s="78" t="s">
        <v>93</v>
      </c>
      <c r="C33" s="78">
        <v>9</v>
      </c>
      <c r="D33" s="78" t="s">
        <v>2985</v>
      </c>
      <c r="E33" s="78" t="s">
        <v>2986</v>
      </c>
      <c r="F33" s="78" t="str">
        <f>_xlfn.XLOOKUP(TRIM(B33), Inventory!A:A, Inventory!C:C, "")</f>
        <v>Medium Vase</v>
      </c>
    </row>
    <row r="34" spans="1:6" ht="55.8" customHeight="1">
      <c r="A34" s="78" t="s">
        <v>3066</v>
      </c>
      <c r="B34" s="78" t="s">
        <v>94</v>
      </c>
      <c r="C34" s="78">
        <v>18</v>
      </c>
      <c r="D34" s="78" t="s">
        <v>2985</v>
      </c>
      <c r="E34" s="78" t="s">
        <v>2986</v>
      </c>
      <c r="F34" s="78" t="str">
        <f>_xlfn.XLOOKUP(TRIM(B34), Inventory!A:A, Inventory!C:C, "")</f>
        <v>Gold Cup</v>
      </c>
    </row>
    <row r="35" spans="1:6" ht="55.8" customHeight="1">
      <c r="A35" s="78" t="s">
        <v>3066</v>
      </c>
      <c r="B35" s="78" t="s">
        <v>95</v>
      </c>
      <c r="C35" s="78">
        <v>92</v>
      </c>
      <c r="D35" s="78" t="s">
        <v>2985</v>
      </c>
      <c r="E35" s="78" t="s">
        <v>2986</v>
      </c>
      <c r="F35" s="78" t="str">
        <f>_xlfn.XLOOKUP(TRIM(B35), Inventory!A:A, Inventory!C:C, "")</f>
        <v>Gold Cup</v>
      </c>
    </row>
    <row r="36" spans="1:6" ht="55.8" customHeight="1">
      <c r="A36" s="78" t="s">
        <v>3066</v>
      </c>
      <c r="B36" s="78" t="s">
        <v>96</v>
      </c>
      <c r="C36" s="78">
        <v>48</v>
      </c>
      <c r="D36" s="78" t="s">
        <v>2985</v>
      </c>
      <c r="E36" s="78" t="s">
        <v>2986</v>
      </c>
      <c r="F36" s="78" t="str">
        <f>_xlfn.XLOOKUP(TRIM(B36), Inventory!A:A, Inventory!C:C, "")</f>
        <v>Gold Cup</v>
      </c>
    </row>
    <row r="37" spans="1:6" ht="55.8" customHeight="1">
      <c r="A37" s="78" t="s">
        <v>3066</v>
      </c>
      <c r="B37" s="78" t="s">
        <v>97</v>
      </c>
      <c r="C37" s="78">
        <v>44</v>
      </c>
      <c r="D37" s="78" t="s">
        <v>2985</v>
      </c>
      <c r="E37" s="78" t="s">
        <v>2986</v>
      </c>
      <c r="F37" s="78" t="str">
        <f>_xlfn.XLOOKUP(TRIM(B37), Inventory!A:A, Inventory!C:C, "")</f>
        <v>Gold Cup</v>
      </c>
    </row>
    <row r="38" spans="1:6" ht="55.8" customHeight="1">
      <c r="A38" s="78" t="s">
        <v>3066</v>
      </c>
      <c r="B38" s="78" t="s">
        <v>98</v>
      </c>
      <c r="C38" s="78">
        <v>10</v>
      </c>
      <c r="D38" s="78" t="s">
        <v>2985</v>
      </c>
      <c r="E38" s="78" t="s">
        <v>2986</v>
      </c>
      <c r="F38" s="78" t="str">
        <f>_xlfn.XLOOKUP(TRIM(B38), Inventory!A:A, Inventory!C:C, "")</f>
        <v>Gold Cup</v>
      </c>
    </row>
    <row r="39" spans="1:6" ht="55.8" customHeight="1">
      <c r="A39" s="78" t="s">
        <v>3066</v>
      </c>
      <c r="B39" s="78" t="s">
        <v>99</v>
      </c>
      <c r="C39" s="78">
        <v>36</v>
      </c>
      <c r="D39" s="78" t="s">
        <v>2985</v>
      </c>
      <c r="E39" s="78" t="s">
        <v>2986</v>
      </c>
      <c r="F39" s="78" t="str">
        <f>_xlfn.XLOOKUP(TRIM(B39), Inventory!A:A, Inventory!C:C, "")</f>
        <v>Tealights - Vases</v>
      </c>
    </row>
    <row r="40" spans="1:6" ht="55.8" customHeight="1">
      <c r="A40" s="78" t="s">
        <v>3066</v>
      </c>
      <c r="B40" s="78" t="s">
        <v>100</v>
      </c>
      <c r="C40" s="78">
        <v>15</v>
      </c>
      <c r="D40" s="78" t="s">
        <v>2985</v>
      </c>
      <c r="E40" s="78" t="s">
        <v>2986</v>
      </c>
      <c r="F40" s="78" t="str">
        <f>_xlfn.XLOOKUP(TRIM(B40), Inventory!A:A, Inventory!C:C, "")</f>
        <v>Medium Vase</v>
      </c>
    </row>
    <row r="41" spans="1:6" ht="55.8" customHeight="1">
      <c r="A41" s="78" t="s">
        <v>3066</v>
      </c>
      <c r="B41" s="78" t="s">
        <v>101</v>
      </c>
      <c r="C41" s="78">
        <v>64</v>
      </c>
      <c r="D41" s="78" t="s">
        <v>2985</v>
      </c>
      <c r="E41" s="78" t="s">
        <v>2986</v>
      </c>
      <c r="F41" s="78" t="str">
        <f>_xlfn.XLOOKUP(TRIM(B41), Inventory!A:A, Inventory!C:C, "")</f>
        <v>Medium Vase</v>
      </c>
    </row>
    <row r="42" spans="1:6" ht="55.8" customHeight="1">
      <c r="A42" s="78" t="s">
        <v>3066</v>
      </c>
      <c r="B42" s="78" t="s">
        <v>102</v>
      </c>
      <c r="C42" s="78">
        <v>7</v>
      </c>
      <c r="D42" s="78" t="s">
        <v>2985</v>
      </c>
      <c r="E42" s="78" t="s">
        <v>2986</v>
      </c>
      <c r="F42" s="78" t="str">
        <f>_xlfn.XLOOKUP(TRIM(B42), Inventory!A:A, Inventory!C:C, "")</f>
        <v>Medium Vase</v>
      </c>
    </row>
    <row r="43" spans="1:6" ht="55.8" customHeight="1">
      <c r="A43" s="78" t="s">
        <v>3066</v>
      </c>
      <c r="B43" s="78" t="s">
        <v>103</v>
      </c>
      <c r="C43" s="78">
        <v>5</v>
      </c>
      <c r="D43" s="78" t="s">
        <v>2985</v>
      </c>
      <c r="E43" s="78" t="s">
        <v>2986</v>
      </c>
      <c r="F43" s="78" t="str">
        <f>_xlfn.XLOOKUP(TRIM(B43), Inventory!A:A, Inventory!C:C, "")</f>
        <v>Medium Vase</v>
      </c>
    </row>
    <row r="44" spans="1:6" ht="55.8" customHeight="1">
      <c r="A44" s="78" t="s">
        <v>3066</v>
      </c>
      <c r="B44" s="78" t="s">
        <v>104</v>
      </c>
      <c r="C44" s="78">
        <v>7</v>
      </c>
      <c r="D44" s="78" t="s">
        <v>2985</v>
      </c>
      <c r="E44" s="78" t="s">
        <v>2986</v>
      </c>
      <c r="F44" s="78" t="str">
        <f>_xlfn.XLOOKUP(TRIM(B44), Inventory!A:A, Inventory!C:C, "")</f>
        <v>Medium Vase</v>
      </c>
    </row>
    <row r="45" spans="1:6" ht="55.8" customHeight="1">
      <c r="A45" s="78" t="s">
        <v>3066</v>
      </c>
      <c r="B45" s="78" t="s">
        <v>105</v>
      </c>
      <c r="C45" s="78">
        <v>14</v>
      </c>
      <c r="D45" s="78" t="s">
        <v>2985</v>
      </c>
      <c r="E45" s="78" t="s">
        <v>2986</v>
      </c>
      <c r="F45" s="78" t="str">
        <f>_xlfn.XLOOKUP(TRIM(B45), Inventory!A:A, Inventory!C:C, "")</f>
        <v>Medium Vase</v>
      </c>
    </row>
    <row r="46" spans="1:6" ht="55.8" customHeight="1">
      <c r="A46" s="78" t="s">
        <v>3066</v>
      </c>
      <c r="B46" s="78" t="s">
        <v>106</v>
      </c>
      <c r="C46" s="78">
        <v>7</v>
      </c>
      <c r="D46" s="78" t="s">
        <v>2985</v>
      </c>
      <c r="E46" s="78" t="s">
        <v>2986</v>
      </c>
      <c r="F46" s="78" t="str">
        <f>_xlfn.XLOOKUP(TRIM(B46), Inventory!A:A, Inventory!C:C, "")</f>
        <v>Medium Vase</v>
      </c>
    </row>
    <row r="47" spans="1:6" ht="55.8" customHeight="1">
      <c r="A47" s="78" t="s">
        <v>3066</v>
      </c>
      <c r="B47" s="78" t="s">
        <v>107</v>
      </c>
      <c r="C47" s="78">
        <v>7</v>
      </c>
      <c r="D47" s="78" t="s">
        <v>2985</v>
      </c>
      <c r="E47" s="78" t="s">
        <v>2986</v>
      </c>
      <c r="F47" s="78" t="str">
        <f>_xlfn.XLOOKUP(TRIM(B47), Inventory!A:A, Inventory!C:C, "")</f>
        <v>Medium Vase</v>
      </c>
    </row>
    <row r="48" spans="1:6" ht="55.8" customHeight="1">
      <c r="A48" s="78" t="s">
        <v>3066</v>
      </c>
      <c r="B48" s="78" t="s">
        <v>108</v>
      </c>
      <c r="C48" s="78">
        <v>13</v>
      </c>
      <c r="D48" s="78" t="s">
        <v>2985</v>
      </c>
      <c r="E48" s="78" t="s">
        <v>2986</v>
      </c>
      <c r="F48" s="78" t="str">
        <f>_xlfn.XLOOKUP(TRIM(B48), Inventory!A:A, Inventory!C:C, "")</f>
        <v>Medium Vase</v>
      </c>
    </row>
    <row r="49" spans="1:6" ht="55.8" customHeight="1">
      <c r="A49" s="78" t="s">
        <v>3066</v>
      </c>
      <c r="B49" s="78" t="s">
        <v>109</v>
      </c>
      <c r="C49" s="78">
        <v>85</v>
      </c>
      <c r="D49" s="78" t="s">
        <v>2985</v>
      </c>
      <c r="E49" s="78" t="s">
        <v>2986</v>
      </c>
      <c r="F49" s="78" t="str">
        <f>_xlfn.XLOOKUP(TRIM(B49), Inventory!A:A, Inventory!C:C, "")</f>
        <v>Medium Vase</v>
      </c>
    </row>
    <row r="50" spans="1:6" ht="55.8" customHeight="1">
      <c r="A50" s="78" t="s">
        <v>3066</v>
      </c>
      <c r="B50" s="78" t="s">
        <v>110</v>
      </c>
      <c r="C50" s="78">
        <v>0</v>
      </c>
      <c r="D50" s="78" t="s">
        <v>2985</v>
      </c>
      <c r="E50" s="78" t="s">
        <v>2986</v>
      </c>
      <c r="F50" s="78" t="str">
        <f>_xlfn.XLOOKUP(TRIM(B50), Inventory!A:A, Inventory!C:C, "")</f>
        <v>Wood</v>
      </c>
    </row>
    <row r="51" spans="1:6" ht="55.8" customHeight="1">
      <c r="A51" s="78" t="s">
        <v>3066</v>
      </c>
      <c r="B51" s="78" t="s">
        <v>111</v>
      </c>
      <c r="C51" s="78">
        <v>27</v>
      </c>
      <c r="D51" s="78" t="s">
        <v>2985</v>
      </c>
      <c r="E51" s="78" t="s">
        <v>2986</v>
      </c>
      <c r="F51" s="78" t="str">
        <f>_xlfn.XLOOKUP(TRIM(B51), Inventory!A:A, Inventory!C:C, "")</f>
        <v>Ceramic vases</v>
      </c>
    </row>
    <row r="52" spans="1:6" ht="55.8" customHeight="1">
      <c r="A52" s="78" t="s">
        <v>3066</v>
      </c>
      <c r="B52" s="78" t="s">
        <v>112</v>
      </c>
      <c r="C52" s="78">
        <v>13</v>
      </c>
      <c r="D52" s="78" t="s">
        <v>2985</v>
      </c>
      <c r="E52" s="78" t="s">
        <v>2986</v>
      </c>
      <c r="F52" s="78" t="str">
        <f>_xlfn.XLOOKUP(TRIM(B52), Inventory!A:A, Inventory!C:C, "")</f>
        <v>Ceramic vases</v>
      </c>
    </row>
    <row r="53" spans="1:6" ht="55.8" customHeight="1">
      <c r="A53" s="78" t="s">
        <v>3066</v>
      </c>
      <c r="B53" s="78" t="s">
        <v>113</v>
      </c>
      <c r="C53" s="78">
        <v>11</v>
      </c>
      <c r="D53" s="78" t="s">
        <v>2985</v>
      </c>
      <c r="E53" s="78" t="s">
        <v>2986</v>
      </c>
      <c r="F53" s="78" t="str">
        <f>_xlfn.XLOOKUP(TRIM(B53), Inventory!A:A, Inventory!C:C, "")</f>
        <v>Ceramic vases</v>
      </c>
    </row>
    <row r="54" spans="1:6" ht="55.8" customHeight="1">
      <c r="A54" s="78" t="s">
        <v>3066</v>
      </c>
      <c r="B54" s="78" t="s">
        <v>114</v>
      </c>
      <c r="C54" s="78">
        <v>15</v>
      </c>
      <c r="D54" s="78" t="s">
        <v>2985</v>
      </c>
      <c r="E54" s="78" t="s">
        <v>2986</v>
      </c>
      <c r="F54" s="78" t="str">
        <f>_xlfn.XLOOKUP(TRIM(B54), Inventory!A:A, Inventory!C:C, "")</f>
        <v>Ceramic vases</v>
      </c>
    </row>
    <row r="55" spans="1:6" ht="55.8" customHeight="1">
      <c r="A55" s="78" t="s">
        <v>3066</v>
      </c>
      <c r="B55" s="78" t="s">
        <v>115</v>
      </c>
      <c r="C55" s="78">
        <v>2</v>
      </c>
      <c r="D55" s="78" t="s">
        <v>2985</v>
      </c>
      <c r="E55" s="78" t="s">
        <v>2986</v>
      </c>
      <c r="F55" s="78" t="str">
        <f>_xlfn.XLOOKUP(TRIM(B55), Inventory!A:A, Inventory!C:C, "")</f>
        <v>Medium Vase</v>
      </c>
    </row>
    <row r="56" spans="1:6" ht="55.8" customHeight="1">
      <c r="A56" s="78" t="s">
        <v>3066</v>
      </c>
      <c r="B56" s="78" t="s">
        <v>116</v>
      </c>
      <c r="C56" s="78">
        <v>4</v>
      </c>
      <c r="D56" s="78" t="s">
        <v>2985</v>
      </c>
      <c r="E56" s="78" t="s">
        <v>2986</v>
      </c>
      <c r="F56" s="78" t="str">
        <f>_xlfn.XLOOKUP(TRIM(B56), Inventory!A:A, Inventory!C:C, "")</f>
        <v>Medium Vase</v>
      </c>
    </row>
    <row r="57" spans="1:6" ht="55.8" customHeight="1">
      <c r="A57" s="78" t="s">
        <v>3066</v>
      </c>
      <c r="B57" s="78" t="s">
        <v>117</v>
      </c>
      <c r="C57" s="78">
        <v>0</v>
      </c>
      <c r="D57" s="78" t="s">
        <v>2985</v>
      </c>
      <c r="E57" s="78" t="s">
        <v>2986</v>
      </c>
      <c r="F57" s="78" t="str">
        <f>_xlfn.XLOOKUP(TRIM(B57), Inventory!A:A, Inventory!C:C, "")</f>
        <v>Wood</v>
      </c>
    </row>
    <row r="58" spans="1:6" ht="55.8" customHeight="1">
      <c r="A58" s="78" t="s">
        <v>3066</v>
      </c>
      <c r="B58" s="78" t="s">
        <v>118</v>
      </c>
      <c r="C58" s="78">
        <v>16</v>
      </c>
      <c r="D58" s="78" t="s">
        <v>2985</v>
      </c>
      <c r="E58" s="78" t="s">
        <v>2986</v>
      </c>
      <c r="F58" s="78" t="str">
        <f>_xlfn.XLOOKUP(TRIM(B58), Inventory!A:A, Inventory!C:C, "")</f>
        <v>Ceramic vases</v>
      </c>
    </row>
    <row r="59" spans="1:6" ht="55.8" customHeight="1">
      <c r="A59" s="78" t="s">
        <v>3066</v>
      </c>
      <c r="B59" s="78" t="s">
        <v>119</v>
      </c>
      <c r="C59" s="78">
        <v>20</v>
      </c>
      <c r="D59" s="78" t="s">
        <v>2985</v>
      </c>
      <c r="E59" s="78" t="s">
        <v>2986</v>
      </c>
      <c r="F59" s="78" t="str">
        <f>_xlfn.XLOOKUP(TRIM(B59), Inventory!A:A, Inventory!C:C, "")</f>
        <v>Ceramic vases</v>
      </c>
    </row>
    <row r="60" spans="1:6" ht="55.8" customHeight="1">
      <c r="A60" s="78" t="s">
        <v>3066</v>
      </c>
      <c r="B60" s="78" t="s">
        <v>120</v>
      </c>
      <c r="C60" s="78">
        <v>10</v>
      </c>
      <c r="D60" s="78" t="s">
        <v>2985</v>
      </c>
      <c r="E60" s="78" t="s">
        <v>2986</v>
      </c>
      <c r="F60" s="78" t="str">
        <f>_xlfn.XLOOKUP(TRIM(B60), Inventory!A:A, Inventory!C:C, "")</f>
        <v>Ceramic vases</v>
      </c>
    </row>
    <row r="61" spans="1:6" ht="55.8" customHeight="1">
      <c r="A61" s="78" t="s">
        <v>3066</v>
      </c>
      <c r="B61" s="78" t="s">
        <v>121</v>
      </c>
      <c r="C61" s="78">
        <v>15</v>
      </c>
      <c r="D61" s="78" t="s">
        <v>2985</v>
      </c>
      <c r="E61" s="78" t="s">
        <v>2986</v>
      </c>
      <c r="F61" s="78" t="str">
        <f>_xlfn.XLOOKUP(TRIM(B61), Inventory!A:A, Inventory!C:C, "")</f>
        <v>Ceramic vases</v>
      </c>
    </row>
    <row r="62" spans="1:6" ht="55.8" customHeight="1">
      <c r="A62" s="78" t="s">
        <v>3066</v>
      </c>
      <c r="B62" s="78" t="s">
        <v>122</v>
      </c>
      <c r="C62" s="78">
        <v>12</v>
      </c>
      <c r="D62" s="78" t="s">
        <v>2985</v>
      </c>
      <c r="E62" s="78" t="s">
        <v>2986</v>
      </c>
      <c r="F62" s="78" t="str">
        <f>_xlfn.XLOOKUP(TRIM(B62), Inventory!A:A, Inventory!C:C, "")</f>
        <v>Ceramic vases</v>
      </c>
    </row>
    <row r="63" spans="1:6" ht="55.8" customHeight="1">
      <c r="A63" s="78" t="s">
        <v>3066</v>
      </c>
      <c r="B63" s="78" t="s">
        <v>123</v>
      </c>
      <c r="C63" s="78">
        <v>42</v>
      </c>
      <c r="D63" s="78" t="s">
        <v>2985</v>
      </c>
      <c r="E63" s="78" t="s">
        <v>2986</v>
      </c>
      <c r="F63" s="78" t="str">
        <f>_xlfn.XLOOKUP(TRIM(B63), Inventory!A:A, Inventory!C:C, "")</f>
        <v>Ceramic vases</v>
      </c>
    </row>
    <row r="64" spans="1:6" ht="55.8" customHeight="1">
      <c r="A64" s="78" t="s">
        <v>3066</v>
      </c>
      <c r="B64" s="78" t="s">
        <v>124</v>
      </c>
      <c r="C64" s="78">
        <v>39</v>
      </c>
      <c r="D64" s="78" t="s">
        <v>2985</v>
      </c>
      <c r="E64" s="78" t="s">
        <v>2986</v>
      </c>
      <c r="F64" s="78" t="str">
        <f>_xlfn.XLOOKUP(TRIM(B64), Inventory!A:A, Inventory!C:C, "")</f>
        <v>Plastic-Vase</v>
      </c>
    </row>
    <row r="65" spans="1:6" ht="55.8" customHeight="1">
      <c r="A65" s="78" t="s">
        <v>3066</v>
      </c>
      <c r="B65" s="78" t="s">
        <v>125</v>
      </c>
      <c r="C65" s="78">
        <v>19</v>
      </c>
      <c r="D65" s="78" t="s">
        <v>2985</v>
      </c>
      <c r="E65" s="78" t="s">
        <v>2986</v>
      </c>
      <c r="F65" s="78" t="str">
        <f>_xlfn.XLOOKUP(TRIM(B65), Inventory!A:A, Inventory!C:C, "")</f>
        <v>Ceramic vases</v>
      </c>
    </row>
    <row r="66" spans="1:6" ht="55.8" customHeight="1">
      <c r="A66" s="78" t="s">
        <v>3066</v>
      </c>
      <c r="B66" s="78" t="s">
        <v>126</v>
      </c>
      <c r="C66" s="78">
        <v>16</v>
      </c>
      <c r="D66" s="78" t="s">
        <v>2985</v>
      </c>
      <c r="E66" s="78" t="s">
        <v>2986</v>
      </c>
      <c r="F66" s="78" t="str">
        <f>_xlfn.XLOOKUP(TRIM(B66), Inventory!A:A, Inventory!C:C, "")</f>
        <v>Ceramic vases</v>
      </c>
    </row>
    <row r="67" spans="1:6" ht="55.8" customHeight="1">
      <c r="A67" s="78" t="s">
        <v>3066</v>
      </c>
      <c r="B67" s="78" t="s">
        <v>127</v>
      </c>
      <c r="C67" s="78">
        <v>30</v>
      </c>
      <c r="D67" s="78" t="s">
        <v>2985</v>
      </c>
      <c r="E67" s="78" t="s">
        <v>2986</v>
      </c>
      <c r="F67" s="78" t="str">
        <f>_xlfn.XLOOKUP(TRIM(B67), Inventory!A:A, Inventory!C:C, "")</f>
        <v>Stands</v>
      </c>
    </row>
    <row r="68" spans="1:6" ht="55.8" customHeight="1">
      <c r="A68" s="78" t="s">
        <v>3066</v>
      </c>
      <c r="B68" s="78" t="s">
        <v>128</v>
      </c>
      <c r="C68" s="78">
        <v>0</v>
      </c>
      <c r="D68" s="78" t="s">
        <v>2985</v>
      </c>
      <c r="E68" s="78" t="s">
        <v>2986</v>
      </c>
      <c r="F68" s="78" t="str">
        <f>_xlfn.XLOOKUP(TRIM(B68), Inventory!A:A, Inventory!C:C, "")</f>
        <v>Others</v>
      </c>
    </row>
    <row r="69" spans="1:6" ht="55.8" customHeight="1">
      <c r="A69" s="78" t="s">
        <v>3066</v>
      </c>
      <c r="B69" s="78" t="s">
        <v>129</v>
      </c>
      <c r="D69" s="78" t="s">
        <v>2985</v>
      </c>
      <c r="E69" s="78" t="s">
        <v>2986</v>
      </c>
      <c r="F69" s="78" t="str">
        <f>_xlfn.XLOOKUP(TRIM(B69), Inventory!A:A, Inventory!C:C, "")</f>
        <v>Small-Vases</v>
      </c>
    </row>
    <row r="70" spans="1:6" ht="55.8" customHeight="1">
      <c r="A70" s="78" t="s">
        <v>3066</v>
      </c>
      <c r="B70" s="78" t="s">
        <v>130</v>
      </c>
      <c r="D70" s="78" t="s">
        <v>2985</v>
      </c>
      <c r="E70" s="78" t="s">
        <v>2986</v>
      </c>
      <c r="F70" s="78" t="str">
        <f>_xlfn.XLOOKUP(TRIM(B70), Inventory!A:A, Inventory!C:C, "")</f>
        <v>Small-Vases</v>
      </c>
    </row>
    <row r="71" spans="1:6" ht="55.8" customHeight="1">
      <c r="A71" s="78" t="s">
        <v>3066</v>
      </c>
      <c r="B71" s="78" t="s">
        <v>131</v>
      </c>
      <c r="D71" s="78" t="s">
        <v>2985</v>
      </c>
      <c r="E71" s="78" t="s">
        <v>2986</v>
      </c>
      <c r="F71" s="78" t="str">
        <f>_xlfn.XLOOKUP(TRIM(B71), Inventory!A:A, Inventory!C:C, "")</f>
        <v xml:space="preserve">Holder Finger Candle </v>
      </c>
    </row>
    <row r="72" spans="1:6" ht="55.8" customHeight="1">
      <c r="A72" s="78" t="s">
        <v>3066</v>
      </c>
      <c r="B72" s="78" t="s">
        <v>132</v>
      </c>
      <c r="D72" s="78" t="s">
        <v>2985</v>
      </c>
      <c r="E72" s="78" t="s">
        <v>2986</v>
      </c>
      <c r="F72" s="78" t="str">
        <f>_xlfn.XLOOKUP(TRIM(B72), Inventory!A:A, Inventory!C:C, "")</f>
        <v xml:space="preserve">Holder Finger Candle </v>
      </c>
    </row>
    <row r="73" spans="1:6" ht="55.8" customHeight="1">
      <c r="A73" s="78" t="s">
        <v>3066</v>
      </c>
      <c r="B73" s="78" t="s">
        <v>133</v>
      </c>
      <c r="D73" s="78" t="s">
        <v>2985</v>
      </c>
      <c r="E73" s="78" t="s">
        <v>2986</v>
      </c>
      <c r="F73" s="78" t="str">
        <f>_xlfn.XLOOKUP(TRIM(B73), Inventory!A:A, Inventory!C:C, "")</f>
        <v xml:space="preserve">Holder Finger Candle </v>
      </c>
    </row>
    <row r="74" spans="1:6" ht="55.8" customHeight="1">
      <c r="A74" s="78" t="s">
        <v>3066</v>
      </c>
      <c r="B74" s="78" t="s">
        <v>134</v>
      </c>
      <c r="D74" s="78" t="s">
        <v>2985</v>
      </c>
      <c r="E74" s="78" t="s">
        <v>2986</v>
      </c>
      <c r="F74" s="78" t="str">
        <f>_xlfn.XLOOKUP(TRIM(B74), Inventory!A:A, Inventory!C:C, "")</f>
        <v xml:space="preserve">Holder Finger Candle </v>
      </c>
    </row>
    <row r="75" spans="1:6" ht="55.8" customHeight="1">
      <c r="A75" s="78" t="s">
        <v>3066</v>
      </c>
      <c r="B75" s="78" t="s">
        <v>135</v>
      </c>
      <c r="D75" s="78" t="s">
        <v>2985</v>
      </c>
      <c r="E75" s="78" t="s">
        <v>2986</v>
      </c>
      <c r="F75" s="78" t="str">
        <f>_xlfn.XLOOKUP(TRIM(B75), Inventory!A:A, Inventory!C:C, "")</f>
        <v xml:space="preserve">Holder Finger Candle </v>
      </c>
    </row>
    <row r="76" spans="1:6" ht="55.8" customHeight="1">
      <c r="A76" s="78" t="s">
        <v>3066</v>
      </c>
      <c r="B76" s="78" t="s">
        <v>136</v>
      </c>
      <c r="D76" s="78" t="s">
        <v>2985</v>
      </c>
      <c r="E76" s="78" t="s">
        <v>2986</v>
      </c>
      <c r="F76" s="78" t="str">
        <f>_xlfn.XLOOKUP(TRIM(B76), Inventory!A:A, Inventory!C:C, "")</f>
        <v xml:space="preserve">Holder Finger Candle </v>
      </c>
    </row>
    <row r="77" spans="1:6" ht="55.8" customHeight="1">
      <c r="A77" s="78" t="s">
        <v>3066</v>
      </c>
      <c r="B77" s="78" t="s">
        <v>137</v>
      </c>
      <c r="D77" s="78" t="s">
        <v>2985</v>
      </c>
      <c r="F77" s="78">
        <f>_xlfn.XLOOKUP(TRIM(B77), Inventory!A:A, Inventory!C:C, "")</f>
        <v>0</v>
      </c>
    </row>
    <row r="78" spans="1:6" ht="55.8" customHeight="1">
      <c r="A78" s="78" t="s">
        <v>3066</v>
      </c>
      <c r="B78" s="78" t="s">
        <v>138</v>
      </c>
      <c r="D78" s="78" t="s">
        <v>2985</v>
      </c>
      <c r="F78" s="78">
        <f>_xlfn.XLOOKUP(TRIM(B78), Inventory!A:A, Inventory!C:C, "")</f>
        <v>0</v>
      </c>
    </row>
    <row r="79" spans="1:6" ht="55.8" customHeight="1">
      <c r="A79" s="78" t="s">
        <v>3066</v>
      </c>
      <c r="B79" s="78" t="s">
        <v>139</v>
      </c>
      <c r="D79" s="78" t="s">
        <v>2985</v>
      </c>
      <c r="F79" s="78">
        <f>_xlfn.XLOOKUP(TRIM(B79), Inventory!A:A, Inventory!C:C, "")</f>
        <v>0</v>
      </c>
    </row>
    <row r="80" spans="1:6" ht="55.8" customHeight="1">
      <c r="A80" s="78" t="s">
        <v>3066</v>
      </c>
      <c r="B80" s="78" t="s">
        <v>140</v>
      </c>
      <c r="D80" s="78" t="s">
        <v>2985</v>
      </c>
      <c r="F80" s="78">
        <f>_xlfn.XLOOKUP(TRIM(B80), Inventory!A:A, Inventory!C:C, "")</f>
        <v>0</v>
      </c>
    </row>
    <row r="81" spans="1:6" ht="55.8" customHeight="1">
      <c r="A81" s="78" t="s">
        <v>3066</v>
      </c>
      <c r="B81" s="78" t="s">
        <v>141</v>
      </c>
      <c r="D81" s="78" t="s">
        <v>2985</v>
      </c>
      <c r="F81" s="78">
        <f>_xlfn.XLOOKUP(TRIM(B81), Inventory!A:A, Inventory!C:C, "")</f>
        <v>0</v>
      </c>
    </row>
    <row r="82" spans="1:6" ht="55.8" customHeight="1">
      <c r="A82" s="78" t="s">
        <v>3066</v>
      </c>
      <c r="B82" s="78" t="s">
        <v>142</v>
      </c>
      <c r="D82" s="78" t="s">
        <v>2985</v>
      </c>
      <c r="F82" s="78">
        <f>_xlfn.XLOOKUP(TRIM(B82), Inventory!A:A, Inventory!C:C, "")</f>
        <v>0</v>
      </c>
    </row>
    <row r="83" spans="1:6" ht="55.8" customHeight="1">
      <c r="A83" s="78" t="s">
        <v>3066</v>
      </c>
      <c r="B83" s="78" t="s">
        <v>143</v>
      </c>
      <c r="D83" s="78" t="s">
        <v>2985</v>
      </c>
      <c r="F83" s="78">
        <f>_xlfn.XLOOKUP(TRIM(B83), Inventory!A:A, Inventory!C:C, "")</f>
        <v>0</v>
      </c>
    </row>
    <row r="84" spans="1:6" ht="55.8" customHeight="1">
      <c r="A84" s="78" t="s">
        <v>3066</v>
      </c>
      <c r="B84" s="78" t="s">
        <v>144</v>
      </c>
      <c r="D84" s="78" t="s">
        <v>2985</v>
      </c>
      <c r="F84" s="78">
        <f>_xlfn.XLOOKUP(TRIM(B84), Inventory!A:A, Inventory!C:C, "")</f>
        <v>0</v>
      </c>
    </row>
    <row r="85" spans="1:6" ht="55.8" customHeight="1">
      <c r="B85" s="78" t="s">
        <v>145</v>
      </c>
      <c r="D85" s="78" t="s">
        <v>2985</v>
      </c>
      <c r="F85" s="78">
        <f>_xlfn.XLOOKUP(TRIM(B85), Inventory!A:A, Inventory!C:C, "")</f>
        <v>0</v>
      </c>
    </row>
    <row r="86" spans="1:6" ht="55.8" customHeight="1">
      <c r="B86" s="78" t="s">
        <v>146</v>
      </c>
      <c r="D86" s="78" t="s">
        <v>2985</v>
      </c>
      <c r="F86" s="78">
        <f>_xlfn.XLOOKUP(TRIM(B86), Inventory!A:A, Inventory!C:C, "")</f>
        <v>0</v>
      </c>
    </row>
    <row r="87" spans="1:6" ht="55.8" customHeight="1">
      <c r="B87" s="78" t="s">
        <v>147</v>
      </c>
      <c r="D87" s="78" t="s">
        <v>2985</v>
      </c>
      <c r="F87" s="78">
        <f>_xlfn.XLOOKUP(TRIM(B87), Inventory!A:A, Inventory!C:C, "")</f>
        <v>0</v>
      </c>
    </row>
    <row r="88" spans="1:6" ht="55.8" customHeight="1">
      <c r="B88" s="78" t="s">
        <v>148</v>
      </c>
      <c r="D88" s="78" t="s">
        <v>2985</v>
      </c>
      <c r="F88" s="78">
        <f>_xlfn.XLOOKUP(TRIM(B88), Inventory!A:A, Inventory!C:C, "")</f>
        <v>0</v>
      </c>
    </row>
    <row r="89" spans="1:6" ht="55.8" customHeight="1">
      <c r="B89" s="78" t="s">
        <v>149</v>
      </c>
      <c r="D89" s="78" t="s">
        <v>2985</v>
      </c>
      <c r="F89" s="78">
        <f>_xlfn.XLOOKUP(TRIM(B89), Inventory!A:A, Inventory!C:C, "")</f>
        <v>0</v>
      </c>
    </row>
    <row r="90" spans="1:6" ht="55.8" customHeight="1">
      <c r="B90" s="78" t="s">
        <v>150</v>
      </c>
      <c r="D90" s="78" t="s">
        <v>2985</v>
      </c>
      <c r="F90" s="78">
        <f>_xlfn.XLOOKUP(TRIM(B90), Inventory!A:A, Inventory!C:C, "")</f>
        <v>0</v>
      </c>
    </row>
    <row r="91" spans="1:6" ht="55.8" customHeight="1">
      <c r="B91" s="78" t="s">
        <v>151</v>
      </c>
      <c r="D91" s="78" t="s">
        <v>2985</v>
      </c>
      <c r="F91" s="78">
        <f>_xlfn.XLOOKUP(TRIM(B91), Inventory!A:A, Inventory!C:C, "")</f>
        <v>0</v>
      </c>
    </row>
    <row r="92" spans="1:6" ht="55.8" customHeight="1">
      <c r="B92" s="78" t="s">
        <v>152</v>
      </c>
      <c r="D92" s="78" t="s">
        <v>2985</v>
      </c>
      <c r="F92" s="78">
        <f>_xlfn.XLOOKUP(TRIM(B92), Inventory!A:A, Inventory!C:C, "")</f>
        <v>0</v>
      </c>
    </row>
    <row r="93" spans="1:6" ht="55.8" customHeight="1">
      <c r="B93" s="78" t="s">
        <v>153</v>
      </c>
      <c r="D93" s="78" t="s">
        <v>2985</v>
      </c>
      <c r="F93" s="78">
        <f>_xlfn.XLOOKUP(TRIM(B93), Inventory!A:A, Inventory!C:C, "")</f>
        <v>0</v>
      </c>
    </row>
    <row r="94" spans="1:6" ht="55.8" customHeight="1">
      <c r="B94" s="78" t="s">
        <v>154</v>
      </c>
      <c r="D94" s="78" t="s">
        <v>2985</v>
      </c>
      <c r="F94" s="78">
        <f>_xlfn.XLOOKUP(TRIM(B94), Inventory!A:A, Inventory!C:C, "")</f>
        <v>0</v>
      </c>
    </row>
    <row r="95" spans="1:6" ht="55.8" customHeight="1">
      <c r="B95" s="78" t="s">
        <v>155</v>
      </c>
      <c r="D95" s="78" t="s">
        <v>2985</v>
      </c>
      <c r="F95" s="78">
        <f>_xlfn.XLOOKUP(TRIM(B95), Inventory!A:A, Inventory!C:C, "")</f>
        <v>0</v>
      </c>
    </row>
    <row r="96" spans="1:6" ht="55.8" customHeight="1">
      <c r="B96" s="78" t="s">
        <v>156</v>
      </c>
      <c r="D96" s="78" t="s">
        <v>2985</v>
      </c>
      <c r="F96" s="78">
        <f>_xlfn.XLOOKUP(TRIM(B96), Inventory!A:A, Inventory!C:C, "")</f>
        <v>0</v>
      </c>
    </row>
    <row r="97" spans="2:6" ht="55.8" customHeight="1">
      <c r="B97" s="78" t="s">
        <v>157</v>
      </c>
      <c r="D97" s="78" t="s">
        <v>2985</v>
      </c>
      <c r="F97" s="78">
        <f>_xlfn.XLOOKUP(TRIM(B97), Inventory!A:A, Inventory!C:C, "")</f>
        <v>0</v>
      </c>
    </row>
    <row r="98" spans="2:6" ht="55.8" customHeight="1">
      <c r="B98" s="78" t="s">
        <v>158</v>
      </c>
      <c r="D98" s="78" t="s">
        <v>2985</v>
      </c>
      <c r="F98" s="78">
        <f>_xlfn.XLOOKUP(TRIM(B98), Inventory!A:A, Inventory!C:C, "")</f>
        <v>0</v>
      </c>
    </row>
    <row r="99" spans="2:6" ht="55.8" customHeight="1">
      <c r="B99" s="78" t="s">
        <v>159</v>
      </c>
      <c r="D99" s="78" t="s">
        <v>2985</v>
      </c>
      <c r="F99" s="78">
        <f>_xlfn.XLOOKUP(TRIM(B99), Inventory!A:A, Inventory!C:C, "")</f>
        <v>0</v>
      </c>
    </row>
    <row r="100" spans="2:6" ht="55.8" customHeight="1">
      <c r="B100" s="78" t="s">
        <v>160</v>
      </c>
      <c r="D100" s="78" t="s">
        <v>2985</v>
      </c>
      <c r="F100" s="78">
        <f>_xlfn.XLOOKUP(TRIM(B100), Inventory!A:A, Inventory!C:C, "")</f>
        <v>0</v>
      </c>
    </row>
    <row r="101" spans="2:6" ht="55.8" customHeight="1">
      <c r="B101" s="78" t="s">
        <v>161</v>
      </c>
      <c r="D101" s="78" t="s">
        <v>2985</v>
      </c>
      <c r="F101" s="78">
        <f>_xlfn.XLOOKUP(TRIM(B101), Inventory!A:A, Inventory!C:C, "")</f>
        <v>0</v>
      </c>
    </row>
    <row r="102" spans="2:6" ht="55.8" customHeight="1">
      <c r="B102" s="78" t="s">
        <v>162</v>
      </c>
      <c r="D102" s="78" t="s">
        <v>2985</v>
      </c>
      <c r="F102" s="78">
        <f>_xlfn.XLOOKUP(TRIM(B102), Inventory!A:A, Inventory!C:C, "")</f>
        <v>0</v>
      </c>
    </row>
    <row r="103" spans="2:6" ht="55.8" customHeight="1">
      <c r="B103" s="78" t="s">
        <v>163</v>
      </c>
      <c r="D103" s="78" t="s">
        <v>2985</v>
      </c>
      <c r="F103" s="78">
        <f>_xlfn.XLOOKUP(TRIM(B103), Inventory!A:A, Inventory!C:C, "")</f>
        <v>0</v>
      </c>
    </row>
    <row r="104" spans="2:6" ht="55.8" customHeight="1">
      <c r="B104" s="78" t="s">
        <v>164</v>
      </c>
      <c r="D104" s="78" t="s">
        <v>2985</v>
      </c>
      <c r="F104" s="78">
        <f>_xlfn.XLOOKUP(TRIM(B104), Inventory!A:A, Inventory!C:C, "")</f>
        <v>0</v>
      </c>
    </row>
    <row r="105" spans="2:6" ht="55.8" customHeight="1">
      <c r="B105" s="78" t="s">
        <v>165</v>
      </c>
      <c r="D105" s="78" t="s">
        <v>2985</v>
      </c>
      <c r="F105" s="78">
        <f>_xlfn.XLOOKUP(TRIM(B105), Inventory!A:A, Inventory!C:C, "")</f>
        <v>0</v>
      </c>
    </row>
    <row r="106" spans="2:6" ht="55.8" customHeight="1">
      <c r="B106" s="78" t="s">
        <v>166</v>
      </c>
      <c r="D106" s="78" t="s">
        <v>2985</v>
      </c>
      <c r="F106" s="78">
        <f>_xlfn.XLOOKUP(TRIM(B106), Inventory!A:A, Inventory!C:C, "")</f>
        <v>0</v>
      </c>
    </row>
    <row r="107" spans="2:6" ht="55.8" customHeight="1">
      <c r="B107" s="78" t="s">
        <v>167</v>
      </c>
      <c r="D107" s="78" t="s">
        <v>2985</v>
      </c>
      <c r="F107" s="78">
        <f>_xlfn.XLOOKUP(TRIM(B107), Inventory!A:A, Inventory!C:C, "")</f>
        <v>0</v>
      </c>
    </row>
    <row r="108" spans="2:6" ht="55.8" customHeight="1">
      <c r="B108" s="78" t="s">
        <v>168</v>
      </c>
      <c r="D108" s="78" t="s">
        <v>2985</v>
      </c>
      <c r="F108" s="78">
        <f>_xlfn.XLOOKUP(TRIM(B108), Inventory!A:A, Inventory!C:C, "")</f>
        <v>0</v>
      </c>
    </row>
    <row r="109" spans="2:6" ht="55.8" customHeight="1">
      <c r="B109" s="78" t="s">
        <v>169</v>
      </c>
      <c r="D109" s="78" t="s">
        <v>2985</v>
      </c>
      <c r="F109" s="78">
        <f>_xlfn.XLOOKUP(TRIM(B109), Inventory!A:A, Inventory!C:C, "")</f>
        <v>0</v>
      </c>
    </row>
    <row r="110" spans="2:6" ht="55.8" customHeight="1">
      <c r="B110" s="78" t="s">
        <v>170</v>
      </c>
      <c r="D110" s="78" t="s">
        <v>2985</v>
      </c>
      <c r="F110" s="78">
        <f>_xlfn.XLOOKUP(TRIM(B110), Inventory!A:A, Inventory!C:C, "")</f>
        <v>0</v>
      </c>
    </row>
    <row r="111" spans="2:6" ht="55.8" customHeight="1">
      <c r="B111" s="78" t="s">
        <v>171</v>
      </c>
      <c r="D111" s="78" t="s">
        <v>2985</v>
      </c>
      <c r="F111" s="78">
        <f>_xlfn.XLOOKUP(TRIM(B111), Inventory!A:A, Inventory!C:C, "")</f>
        <v>0</v>
      </c>
    </row>
    <row r="112" spans="2:6" ht="55.8" customHeight="1">
      <c r="B112" s="78" t="s">
        <v>172</v>
      </c>
      <c r="D112" s="78" t="s">
        <v>2985</v>
      </c>
      <c r="F112" s="78">
        <f>_xlfn.XLOOKUP(TRIM(B112), Inventory!A:A, Inventory!C:C, "")</f>
        <v>0</v>
      </c>
    </row>
    <row r="113" spans="2:6" ht="55.8" customHeight="1">
      <c r="B113" s="78" t="s">
        <v>173</v>
      </c>
      <c r="D113" s="78" t="s">
        <v>2985</v>
      </c>
      <c r="F113" s="78">
        <f>_xlfn.XLOOKUP(TRIM(B113), Inventory!A:A, Inventory!C:C, "")</f>
        <v>0</v>
      </c>
    </row>
    <row r="114" spans="2:6" ht="55.8" customHeight="1">
      <c r="B114" s="78" t="s">
        <v>174</v>
      </c>
      <c r="D114" s="78" t="s">
        <v>2985</v>
      </c>
      <c r="F114" s="78">
        <f>_xlfn.XLOOKUP(TRIM(B114), Inventory!A:A, Inventory!C:C, "")</f>
        <v>0</v>
      </c>
    </row>
    <row r="115" spans="2:6" ht="55.8" customHeight="1">
      <c r="B115" s="78" t="s">
        <v>175</v>
      </c>
      <c r="D115" s="78" t="s">
        <v>2985</v>
      </c>
      <c r="F115" s="78">
        <f>_xlfn.XLOOKUP(TRIM(B115), Inventory!A:A, Inventory!C:C, "")</f>
        <v>0</v>
      </c>
    </row>
    <row r="116" spans="2:6" ht="55.8" customHeight="1">
      <c r="B116" s="78" t="s">
        <v>176</v>
      </c>
      <c r="D116" s="78" t="s">
        <v>2985</v>
      </c>
      <c r="F116" s="78">
        <f>_xlfn.XLOOKUP(TRIM(B116), Inventory!A:A, Inventory!C:C, "")</f>
        <v>0</v>
      </c>
    </row>
    <row r="117" spans="2:6" ht="55.8" customHeight="1">
      <c r="B117" s="78" t="s">
        <v>177</v>
      </c>
      <c r="D117" s="78" t="s">
        <v>2985</v>
      </c>
      <c r="F117" s="78">
        <f>_xlfn.XLOOKUP(TRIM(B117), Inventory!A:A, Inventory!C:C, "")</f>
        <v>0</v>
      </c>
    </row>
    <row r="118" spans="2:6" ht="55.8" customHeight="1">
      <c r="B118" s="78" t="s">
        <v>178</v>
      </c>
      <c r="D118" s="78" t="s">
        <v>2985</v>
      </c>
      <c r="F118" s="78">
        <f>_xlfn.XLOOKUP(TRIM(B118), Inventory!A:A, Inventory!C:C, "")</f>
        <v>0</v>
      </c>
    </row>
    <row r="119" spans="2:6" ht="55.8" customHeight="1">
      <c r="B119" s="78" t="s">
        <v>179</v>
      </c>
      <c r="D119" s="78" t="s">
        <v>2985</v>
      </c>
      <c r="F119" s="78">
        <f>_xlfn.XLOOKUP(TRIM(B119), Inventory!A:A, Inventory!C:C, "")</f>
        <v>0</v>
      </c>
    </row>
    <row r="120" spans="2:6" ht="55.8" customHeight="1">
      <c r="B120" s="78" t="s">
        <v>180</v>
      </c>
      <c r="D120" s="78" t="s">
        <v>2985</v>
      </c>
      <c r="F120" s="78">
        <f>_xlfn.XLOOKUP(TRIM(B120), Inventory!A:A, Inventory!C:C, "")</f>
        <v>0</v>
      </c>
    </row>
    <row r="121" spans="2:6" ht="55.8" customHeight="1">
      <c r="B121" s="78" t="s">
        <v>181</v>
      </c>
      <c r="D121" s="78" t="s">
        <v>2985</v>
      </c>
      <c r="F121" s="78">
        <f>_xlfn.XLOOKUP(TRIM(B121), Inventory!A:A, Inventory!C:C, "")</f>
        <v>0</v>
      </c>
    </row>
    <row r="122" spans="2:6" ht="55.8" customHeight="1">
      <c r="B122" s="78" t="s">
        <v>182</v>
      </c>
      <c r="D122" s="78" t="s">
        <v>2985</v>
      </c>
      <c r="F122" s="78">
        <f>_xlfn.XLOOKUP(TRIM(B122), Inventory!A:A, Inventory!C:C, "")</f>
        <v>0</v>
      </c>
    </row>
    <row r="123" spans="2:6" ht="55.8" customHeight="1">
      <c r="B123" s="78" t="s">
        <v>183</v>
      </c>
      <c r="D123" s="78" t="s">
        <v>2985</v>
      </c>
      <c r="F123" s="78">
        <f>_xlfn.XLOOKUP(TRIM(B123), Inventory!A:A, Inventory!C:C, "")</f>
        <v>0</v>
      </c>
    </row>
    <row r="124" spans="2:6" ht="55.8" customHeight="1">
      <c r="B124" s="78" t="s">
        <v>184</v>
      </c>
      <c r="D124" s="78" t="s">
        <v>2985</v>
      </c>
      <c r="F124" s="78">
        <f>_xlfn.XLOOKUP(TRIM(B124), Inventory!A:A, Inventory!C:C, "")</f>
        <v>0</v>
      </c>
    </row>
    <row r="125" spans="2:6" ht="55.8" customHeight="1">
      <c r="B125" s="78" t="s">
        <v>185</v>
      </c>
      <c r="D125" s="78" t="s">
        <v>2985</v>
      </c>
      <c r="F125" s="78">
        <f>_xlfn.XLOOKUP(TRIM(B125), Inventory!A:A, Inventory!C:C, "")</f>
        <v>0</v>
      </c>
    </row>
    <row r="126" spans="2:6" ht="55.8" customHeight="1">
      <c r="B126" s="78" t="s">
        <v>186</v>
      </c>
      <c r="D126" s="78" t="s">
        <v>2985</v>
      </c>
      <c r="F126" s="78">
        <f>_xlfn.XLOOKUP(TRIM(B126), Inventory!A:A, Inventory!C:C, "")</f>
        <v>0</v>
      </c>
    </row>
    <row r="127" spans="2:6" ht="55.8" customHeight="1">
      <c r="B127" s="78" t="s">
        <v>187</v>
      </c>
      <c r="D127" s="78" t="s">
        <v>2985</v>
      </c>
      <c r="F127" s="78">
        <f>_xlfn.XLOOKUP(TRIM(B127), Inventory!A:A, Inventory!C:C, "")</f>
        <v>0</v>
      </c>
    </row>
    <row r="128" spans="2:6" ht="55.8" customHeight="1">
      <c r="B128" s="78" t="s">
        <v>188</v>
      </c>
      <c r="D128" s="78" t="s">
        <v>2985</v>
      </c>
      <c r="F128" s="78">
        <f>_xlfn.XLOOKUP(TRIM(B128), Inventory!A:A, Inventory!C:C, "")</f>
        <v>0</v>
      </c>
    </row>
    <row r="129" spans="2:6" ht="55.8" customHeight="1">
      <c r="B129" s="78" t="s">
        <v>189</v>
      </c>
      <c r="D129" s="78" t="s">
        <v>2985</v>
      </c>
      <c r="F129" s="78">
        <f>_xlfn.XLOOKUP(TRIM(B129), Inventory!A:A, Inventory!C:C, "")</f>
        <v>0</v>
      </c>
    </row>
    <row r="130" spans="2:6" ht="55.8" customHeight="1">
      <c r="B130" s="78" t="s">
        <v>190</v>
      </c>
      <c r="D130" s="78" t="s">
        <v>2985</v>
      </c>
      <c r="F130" s="78">
        <f>_xlfn.XLOOKUP(TRIM(B130), Inventory!A:A, Inventory!C:C, "")</f>
        <v>0</v>
      </c>
    </row>
    <row r="131" spans="2:6" ht="55.8" customHeight="1">
      <c r="B131" s="78" t="s">
        <v>191</v>
      </c>
      <c r="D131" s="78" t="s">
        <v>2985</v>
      </c>
      <c r="F131" s="78">
        <f>_xlfn.XLOOKUP(TRIM(B131), Inventory!A:A, Inventory!C:C, "")</f>
        <v>0</v>
      </c>
    </row>
    <row r="132" spans="2:6" ht="55.8" customHeight="1">
      <c r="B132" s="78" t="s">
        <v>192</v>
      </c>
      <c r="D132" s="78" t="s">
        <v>2985</v>
      </c>
      <c r="F132" s="78">
        <f>_xlfn.XLOOKUP(TRIM(B132), Inventory!A:A, Inventory!C:C, "")</f>
        <v>0</v>
      </c>
    </row>
    <row r="133" spans="2:6" ht="55.8" customHeight="1">
      <c r="B133" s="78" t="s">
        <v>193</v>
      </c>
      <c r="D133" s="78" t="s">
        <v>2985</v>
      </c>
      <c r="F133" s="78">
        <f>_xlfn.XLOOKUP(TRIM(B133), Inventory!A:A, Inventory!C:C, "")</f>
        <v>0</v>
      </c>
    </row>
    <row r="134" spans="2:6" ht="55.8" customHeight="1">
      <c r="B134" s="78" t="s">
        <v>194</v>
      </c>
      <c r="D134" s="78" t="s">
        <v>2985</v>
      </c>
      <c r="F134" s="78">
        <f>_xlfn.XLOOKUP(TRIM(B134), Inventory!A:A, Inventory!C:C, "")</f>
        <v>0</v>
      </c>
    </row>
    <row r="135" spans="2:6" ht="55.8" customHeight="1">
      <c r="B135" s="78" t="s">
        <v>195</v>
      </c>
      <c r="D135" s="78" t="s">
        <v>2985</v>
      </c>
      <c r="F135" s="78">
        <f>_xlfn.XLOOKUP(TRIM(B135), Inventory!A:A, Inventory!C:C, "")</f>
        <v>0</v>
      </c>
    </row>
    <row r="136" spans="2:6" ht="55.8" customHeight="1">
      <c r="B136" s="78" t="s">
        <v>196</v>
      </c>
      <c r="D136" s="78" t="s">
        <v>2985</v>
      </c>
      <c r="F136" s="78">
        <f>_xlfn.XLOOKUP(TRIM(B136), Inventory!A:A, Inventory!C:C, "")</f>
        <v>0</v>
      </c>
    </row>
    <row r="137" spans="2:6" ht="55.8" customHeight="1">
      <c r="B137" s="78" t="s">
        <v>197</v>
      </c>
      <c r="D137" s="78" t="s">
        <v>2985</v>
      </c>
      <c r="F137" s="78">
        <f>_xlfn.XLOOKUP(TRIM(B137), Inventory!A:A, Inventory!C:C, "")</f>
        <v>0</v>
      </c>
    </row>
    <row r="138" spans="2:6" ht="55.8" customHeight="1">
      <c r="B138" s="78" t="s">
        <v>198</v>
      </c>
      <c r="D138" s="78" t="s">
        <v>2985</v>
      </c>
      <c r="F138" s="78">
        <f>_xlfn.XLOOKUP(TRIM(B138), Inventory!A:A, Inventory!C:C, "")</f>
        <v>0</v>
      </c>
    </row>
    <row r="139" spans="2:6" ht="55.8" customHeight="1">
      <c r="B139" s="78" t="s">
        <v>199</v>
      </c>
      <c r="D139" s="78" t="s">
        <v>2985</v>
      </c>
      <c r="F139" s="78">
        <f>_xlfn.XLOOKUP(TRIM(B139), Inventory!A:A, Inventory!C:C, "")</f>
        <v>0</v>
      </c>
    </row>
    <row r="140" spans="2:6" ht="55.8" customHeight="1">
      <c r="B140" s="78" t="s">
        <v>200</v>
      </c>
      <c r="D140" s="78" t="s">
        <v>2985</v>
      </c>
      <c r="F140" s="78">
        <f>_xlfn.XLOOKUP(TRIM(B140), Inventory!A:A, Inventory!C:C, "")</f>
        <v>0</v>
      </c>
    </row>
    <row r="141" spans="2:6" ht="55.8" customHeight="1">
      <c r="B141" s="78" t="s">
        <v>201</v>
      </c>
      <c r="D141" s="78" t="s">
        <v>2985</v>
      </c>
      <c r="F141" s="78">
        <f>_xlfn.XLOOKUP(TRIM(B141), Inventory!A:A, Inventory!C:C, "")</f>
        <v>0</v>
      </c>
    </row>
    <row r="142" spans="2:6" ht="55.8" customHeight="1">
      <c r="B142" s="78" t="s">
        <v>202</v>
      </c>
      <c r="D142" s="78" t="s">
        <v>2985</v>
      </c>
      <c r="F142" s="78">
        <f>_xlfn.XLOOKUP(TRIM(B142), Inventory!A:A, Inventory!C:C, "")</f>
        <v>0</v>
      </c>
    </row>
    <row r="143" spans="2:6" ht="55.8" customHeight="1">
      <c r="B143" s="78" t="s">
        <v>203</v>
      </c>
      <c r="D143" s="78" t="s">
        <v>2985</v>
      </c>
      <c r="F143" s="78">
        <f>_xlfn.XLOOKUP(TRIM(B143), Inventory!A:A, Inventory!C:C, "")</f>
        <v>0</v>
      </c>
    </row>
    <row r="144" spans="2:6" ht="55.8" customHeight="1">
      <c r="B144" s="78" t="s">
        <v>204</v>
      </c>
      <c r="D144" s="78" t="s">
        <v>2985</v>
      </c>
      <c r="F144" s="78">
        <f>_xlfn.XLOOKUP(TRIM(B144), Inventory!A:A, Inventory!C:C, "")</f>
        <v>0</v>
      </c>
    </row>
    <row r="145" spans="2:6" ht="55.8" customHeight="1">
      <c r="B145" s="78" t="s">
        <v>205</v>
      </c>
      <c r="D145" s="78" t="s">
        <v>2985</v>
      </c>
      <c r="F145" s="78">
        <f>_xlfn.XLOOKUP(TRIM(B145), Inventory!A:A, Inventory!C:C, "")</f>
        <v>0</v>
      </c>
    </row>
    <row r="146" spans="2:6" ht="55.8" customHeight="1">
      <c r="B146" s="78" t="s">
        <v>206</v>
      </c>
      <c r="D146" s="78" t="s">
        <v>2985</v>
      </c>
      <c r="F146" s="78">
        <f>_xlfn.XLOOKUP(TRIM(B146), Inventory!A:A, Inventory!C:C, "")</f>
        <v>0</v>
      </c>
    </row>
    <row r="147" spans="2:6" ht="55.8" customHeight="1">
      <c r="B147" s="78" t="s">
        <v>207</v>
      </c>
      <c r="D147" s="78" t="s">
        <v>2985</v>
      </c>
      <c r="F147" s="78">
        <f>_xlfn.XLOOKUP(TRIM(B147), Inventory!A:A, Inventory!C:C, "")</f>
        <v>0</v>
      </c>
    </row>
    <row r="148" spans="2:6" ht="55.8" customHeight="1">
      <c r="B148" s="78" t="s">
        <v>208</v>
      </c>
      <c r="D148" s="78" t="s">
        <v>2985</v>
      </c>
      <c r="F148" s="78">
        <f>_xlfn.XLOOKUP(TRIM(B148), Inventory!A:A, Inventory!C:C, "")</f>
        <v>0</v>
      </c>
    </row>
    <row r="149" spans="2:6" ht="55.8" customHeight="1">
      <c r="B149" s="78" t="s">
        <v>209</v>
      </c>
      <c r="D149" s="78" t="s">
        <v>2985</v>
      </c>
      <c r="F149" s="78">
        <f>_xlfn.XLOOKUP(TRIM(B149), Inventory!A:A, Inventory!C:C, "")</f>
        <v>0</v>
      </c>
    </row>
    <row r="150" spans="2:6" ht="55.8" customHeight="1">
      <c r="B150" s="78" t="s">
        <v>210</v>
      </c>
      <c r="D150" s="78" t="s">
        <v>2985</v>
      </c>
      <c r="F150" s="78">
        <f>_xlfn.XLOOKUP(TRIM(B150), Inventory!A:A, Inventory!C:C, "")</f>
        <v>0</v>
      </c>
    </row>
    <row r="151" spans="2:6" ht="55.8" customHeight="1">
      <c r="B151" s="78" t="s">
        <v>211</v>
      </c>
      <c r="D151" s="78" t="s">
        <v>2985</v>
      </c>
      <c r="F151" s="78">
        <f>_xlfn.XLOOKUP(TRIM(B151), Inventory!A:A, Inventory!C:C, "")</f>
        <v>0</v>
      </c>
    </row>
    <row r="152" spans="2:6" ht="55.8" customHeight="1">
      <c r="B152" s="78" t="s">
        <v>212</v>
      </c>
      <c r="D152" s="78" t="s">
        <v>2985</v>
      </c>
      <c r="F152" s="78">
        <f>_xlfn.XLOOKUP(TRIM(B152), Inventory!A:A, Inventory!C:C, "")</f>
        <v>0</v>
      </c>
    </row>
    <row r="153" spans="2:6" ht="55.8" customHeight="1">
      <c r="F153" s="78" t="str">
        <f>_xlfn.XLOOKUP(TRIM(B153), Inventory!A:A, Inventory!C:C, "")</f>
        <v/>
      </c>
    </row>
    <row r="154" spans="2:6" ht="55.8" customHeight="1">
      <c r="F154" s="78" t="str">
        <f>_xlfn.XLOOKUP(TRIM(B154), Inventory!A:A, Inventory!C:C, "")</f>
        <v/>
      </c>
    </row>
    <row r="155" spans="2:6" ht="55.8" customHeight="1">
      <c r="F155" s="78" t="str">
        <f>_xlfn.XLOOKUP(TRIM(B155), Inventory!A:A, Inventory!C:C, "")</f>
        <v/>
      </c>
    </row>
    <row r="156" spans="2:6" ht="55.8" customHeight="1">
      <c r="F156" s="78" t="str">
        <f>_xlfn.XLOOKUP(TRIM(B156), Inventory!A:A, Inventory!C:C, "")</f>
        <v/>
      </c>
    </row>
    <row r="157" spans="2:6" ht="55.8" customHeight="1">
      <c r="F157" s="78" t="str">
        <f>_xlfn.XLOOKUP(TRIM(B157), Inventory!A:A, Inventory!C:C, "")</f>
        <v/>
      </c>
    </row>
    <row r="158" spans="2:6" ht="55.8" customHeight="1">
      <c r="F158" s="78" t="str">
        <f>_xlfn.XLOOKUP(TRIM(B158), Inventory!A:A, Inventory!C:C, "")</f>
        <v/>
      </c>
    </row>
    <row r="159" spans="2:6" ht="55.8" customHeight="1">
      <c r="F159" s="78" t="str">
        <f>_xlfn.XLOOKUP(TRIM(B159), Inventory!A:A, Inventory!C:C, "")</f>
        <v/>
      </c>
    </row>
    <row r="160" spans="2: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2026-04-19T14:48:35Z</dcterms:modified>
</cp:coreProperties>
</file>