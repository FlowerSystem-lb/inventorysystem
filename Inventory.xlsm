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7DFFCFD8-3BFB-444E-B8A0-065F74686915}"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<sst xmlns="http://schemas.openxmlformats.org/spreadsheetml/2006/main" count="4524" uniqueCount="3206">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</sst>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7">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36"/>
        <color auto="1"/>
        <name val="Artifakt Element Black"/>
        <family val="2"/>
        <scheme val="none"/>
      </font>
    </dxf>
    <dxf>
      <font>
        <b/>
        <i val="0"/>
        <strike val="0"/>
        <condense val="0"/>
        <extend val="0"/>
        <outline val="0"/>
        <shadow val="0"/>
        <u val="none"/>
        <vertAlign val="baseline"/>
        <sz val="36"/>
        <color auto="1"/>
        <name val="Artifakt Element Black"/>
        <family val="2"/>
        <scheme val="none"/>
      </font>
    </dxf>
    <dxf>
      <fill>
        <patternFill patternType="none">
          <fgColor indexed="64"/>
          <bgColor indexed="65"/>
        </patternFill>
      </fill>
    </dxf>
    <dxf>
      <fill>
        <patternFill patternType="none">
          <fgColor indexed="64"/>
          <bgColor indexed="65"/>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6"/>
      <tableStyleElement type="headerRow" dxfId="25"/>
      <tableStyleElement type="totalRow" dxfId="24"/>
      <tableStyleElement type="firstColumn" dxfId="2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22" dataDxfId="21">
  <autoFilter ref="A1:F692" xr:uid="{9A3AE532-7939-447F-9302-67FEBE3FB18B}"/>
  <tableColumns count="6">
    <tableColumn id="1" xr3:uid="{4C67F25B-0AD4-4A7E-8A9C-43EB4EBB9308}" name="Date " dataDxfId="20"/>
    <tableColumn id="2" xr3:uid="{375A5FB1-54C3-4C9C-8C5C-46196A8675AB}" name="Code" dataDxfId="19"/>
    <tableColumn id="3" xr3:uid="{BDE3411E-6136-4673-B74D-602F77702494}" name="Qty" dataDxfId="18"/>
    <tableColumn id="4" xr3:uid="{1DD31EA2-6EEB-404A-ADC4-2BB848799F6B}" name="Type" dataDxfId="17"/>
    <tableColumn id="5" xr3:uid="{763E2122-DD8D-41B4-8033-31813EC5131C}" name="Note" dataDxfId="16"/>
    <tableColumn id="6" xr3:uid="{3FD04CAE-42AD-4610-ACC1-658607232ED7}" name="category" dataDxfId="15">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4" dataDxfId="13">
  <autoFilter ref="B13:H27" xr:uid="{A049EC7B-9294-494A-B425-4DEB23DA4D12}"/>
  <tableColumns count="7">
    <tableColumn id="1" xr3:uid="{50201E52-3C95-4439-A765-CC3DEC6C9A1F}" name="Code" dataDxfId="12"/>
    <tableColumn id="2" xr3:uid="{D9533FBC-366A-4391-9AF0-FEDB2A58B0A0}" name="Description" dataDxfId="11">
      <calculatedColumnFormula>IFERROR(VLOOKUP(B14,Inventory!A:K,10,FALSE),"")</calculatedColumnFormula>
    </tableColumn>
    <tableColumn id="7" xr3:uid="{B5847BFF-0B6B-4565-8620-FF3472871E3C}" name="Qty" dataDxfId="10"/>
    <tableColumn id="8" xr3:uid="{F8327B75-65D2-46BE-9D4C-0CCEA9C6D50D}" name="Category" dataDxfId="9">
      <calculatedColumnFormula>IFERROR(VLOOKUP(B14,Inventory!A:K,3,FALSE),"")</calculatedColumnFormula>
    </tableColumn>
    <tableColumn id="10" xr3:uid="{9031B3F9-C914-4ECB-A279-CDA78D2DB3B7}" name="Size" dataDxfId="8">
      <calculatedColumnFormula>IFERROR(VLOOKUP(B14,Inventory!A:K,4,FALSE),"")</calculatedColumnFormula>
    </tableColumn>
    <tableColumn id="11" xr3:uid="{1BA18627-CD33-4354-AFDF-061428B2FDA0}" name="Image" dataDxfId="7">
      <calculatedColumnFormula>IFERROR(IF(SimpleInvoice[[#This Row],[Category]]="","",(SimpleInvoice[[#This Row],[Qty]]*SimpleInvoice[[#This Row],[Category]])-SimpleInvoice[[#This Row],[Size]]),"")</calculatedColumnFormula>
    </tableColumn>
    <tableColumn id="3" xr3:uid="{C57A4404-ECD2-49B5-9BFE-A5314617F4C4}" name="Name" dataDxfId="6">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2" activePane="bottomLeft" state="frozen"/>
      <selection pane="bottomLeft" activeCell="D3" sqref="D3"/>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3196</v>
      </c>
      <c r="C2" s="72" t="s">
        <v>3197</v>
      </c>
      <c r="E2" s="83">
        <f>SUMIF(History1!B:B, A2, History1!C:C)</f>
        <v>228</v>
      </c>
      <c r="F2" s="72" t="s">
        <v>3101</v>
      </c>
      <c r="H2" s="72" t="s">
        <v>2981</v>
      </c>
      <c r="J2" s="72" t="s">
        <v>3198</v>
      </c>
      <c r="K2" s="72" t="str">
        <f>LOWER(A2)&amp;".jpeg"</f>
        <v>fp0196.jpeg</v>
      </c>
      <c r="L2" s="57" t="s">
        <v>1208</v>
      </c>
    </row>
    <row r="3" spans="1:27" ht="207.6" customHeight="1">
      <c r="A3" s="56" t="s">
        <v>111</v>
      </c>
      <c r="B3" s="73" t="s">
        <v>3099</v>
      </c>
      <c r="C3" s="72" t="s">
        <v>3100</v>
      </c>
      <c r="E3" s="83">
        <f>SUMIF(History1!B:B, A3, History1!C:C)</f>
        <v>27</v>
      </c>
      <c r="F3" s="72" t="s">
        <v>3101</v>
      </c>
      <c r="H3" s="72" t="s">
        <v>2981</v>
      </c>
      <c r="J3" s="72" t="s">
        <v>3089</v>
      </c>
      <c r="K3" s="72" t="str">
        <f>LOWER(A3)&amp;".jpeg"</f>
        <v>fp0100.jpeg</v>
      </c>
      <c r="L3" s="57" t="s">
        <v>1112</v>
      </c>
    </row>
    <row r="4" spans="1:27" ht="207.6" customHeight="1">
      <c r="A4" s="56" t="s">
        <v>112</v>
      </c>
      <c r="B4" s="73" t="s">
        <v>3102</v>
      </c>
      <c r="C4" s="72" t="s">
        <v>3100</v>
      </c>
      <c r="E4" s="83">
        <f>SUMIF(History1!B:B, A4, History1!C:C)</f>
        <v>13</v>
      </c>
      <c r="F4" s="72" t="s">
        <v>3101</v>
      </c>
      <c r="H4" s="72" t="s">
        <v>2981</v>
      </c>
      <c r="J4" s="72" t="s">
        <v>3107</v>
      </c>
      <c r="K4" s="72" t="str">
        <f>LOWER(A4)&amp;".jpeg"</f>
        <v>fp0101.jpeg</v>
      </c>
      <c r="L4" s="57" t="s">
        <v>1113</v>
      </c>
      <c r="Z4" s="85"/>
      <c r="AA4" s="85"/>
    </row>
    <row r="5" spans="1:27" ht="207.6" customHeight="1">
      <c r="A5" s="56" t="s">
        <v>113</v>
      </c>
      <c r="B5" s="73" t="s">
        <v>3103</v>
      </c>
      <c r="C5" s="72" t="s">
        <v>3100</v>
      </c>
      <c r="E5" s="83">
        <f>SUMIF(History1!B:B, A5, History1!C:C)</f>
        <v>11</v>
      </c>
      <c r="F5" s="72" t="s">
        <v>3101</v>
      </c>
      <c r="H5" s="72" t="s">
        <v>2981</v>
      </c>
      <c r="J5" s="72" t="s">
        <v>3089</v>
      </c>
      <c r="K5" s="72" t="str">
        <f>LOWER(A5)&amp;".jpeg"</f>
        <v>fp0102.jpeg</v>
      </c>
      <c r="L5" s="57" t="s">
        <v>1114</v>
      </c>
    </row>
    <row r="6" spans="1:27" ht="207.6" customHeight="1">
      <c r="A6" s="56" t="s">
        <v>114</v>
      </c>
      <c r="B6" s="73" t="s">
        <v>3104</v>
      </c>
      <c r="C6" s="72" t="s">
        <v>3100</v>
      </c>
      <c r="E6" s="83">
        <f>SUMIF(History1!B:B, A6, History1!C:C)</f>
        <v>15</v>
      </c>
      <c r="F6" s="72" t="s">
        <v>3105</v>
      </c>
      <c r="H6" s="72" t="s">
        <v>2981</v>
      </c>
      <c r="J6" s="72" t="s">
        <v>3106</v>
      </c>
      <c r="K6" s="72" t="str">
        <f>LOWER(A6)&amp;".jpeg"</f>
        <v>fp0103.jpeg</v>
      </c>
      <c r="L6" s="57" t="s">
        <v>1115</v>
      </c>
    </row>
    <row r="7" spans="1:27" ht="207.6" customHeight="1">
      <c r="A7" s="56" t="s">
        <v>118</v>
      </c>
      <c r="B7" s="73" t="s">
        <v>3113</v>
      </c>
      <c r="C7" s="72" t="s">
        <v>3100</v>
      </c>
      <c r="E7" s="83">
        <f>SUMIF(History1!B:B, A7, History1!C:C)</f>
        <v>16</v>
      </c>
      <c r="F7" s="72" t="s">
        <v>3105</v>
      </c>
      <c r="H7" s="72" t="s">
        <v>2981</v>
      </c>
      <c r="J7" s="72" t="s">
        <v>3107</v>
      </c>
      <c r="K7" s="72" t="str">
        <f>LOWER(A7)&amp;".jpeg"</f>
        <v>fp0107.jpeg</v>
      </c>
      <c r="L7" s="57" t="s">
        <v>1119</v>
      </c>
    </row>
    <row r="8" spans="1:27" ht="207.6" customHeight="1">
      <c r="A8" s="56" t="s">
        <v>119</v>
      </c>
      <c r="B8" s="73" t="s">
        <v>3114</v>
      </c>
      <c r="C8" s="72" t="s">
        <v>3100</v>
      </c>
      <c r="E8" s="83">
        <f>SUMIF(History1!B:B, A8, History1!C:C)</f>
        <v>20</v>
      </c>
      <c r="F8" s="72" t="s">
        <v>3101</v>
      </c>
      <c r="H8" s="72" t="s">
        <v>3115</v>
      </c>
      <c r="J8" s="72" t="s">
        <v>3107</v>
      </c>
      <c r="K8" s="72" t="str">
        <f>LOWER(A8)&amp;".jpeg"</f>
        <v>fp0108.jpeg</v>
      </c>
      <c r="L8" s="57" t="s">
        <v>1120</v>
      </c>
    </row>
    <row r="9" spans="1:27" ht="207.6" customHeight="1">
      <c r="A9" s="56" t="s">
        <v>120</v>
      </c>
      <c r="B9" s="73" t="s">
        <v>3116</v>
      </c>
      <c r="C9" s="72" t="s">
        <v>3100</v>
      </c>
      <c r="E9" s="83">
        <f>SUMIF(History1!B:B, A9, History1!C:C)</f>
        <v>10</v>
      </c>
      <c r="F9" s="72" t="s">
        <v>3101</v>
      </c>
      <c r="H9" s="72" t="s">
        <v>2981</v>
      </c>
      <c r="J9" s="72" t="s">
        <v>3111</v>
      </c>
      <c r="K9" s="72" t="str">
        <f>LOWER(A9)&amp;".jpeg"</f>
        <v>fp0109.jpeg</v>
      </c>
      <c r="L9" s="57" t="s">
        <v>1121</v>
      </c>
      <c r="V9" s="75" t="s">
        <v>2974</v>
      </c>
    </row>
    <row r="10" spans="1:27" ht="207.6" customHeight="1">
      <c r="A10" s="56" t="s">
        <v>121</v>
      </c>
      <c r="B10" s="73" t="s">
        <v>3117</v>
      </c>
      <c r="C10" s="72" t="s">
        <v>3100</v>
      </c>
      <c r="E10" s="83">
        <f>SUMIF(History1!B:B, A10, History1!C:C)</f>
        <v>15</v>
      </c>
      <c r="F10" s="72" t="s">
        <v>3101</v>
      </c>
      <c r="H10" s="72" t="s">
        <v>2981</v>
      </c>
      <c r="J10" s="72" t="s">
        <v>3107</v>
      </c>
      <c r="K10" s="72" t="str">
        <f>LOWER(A10)&amp;".jpeg"</f>
        <v>fp0110.jpeg</v>
      </c>
      <c r="L10" s="57" t="s">
        <v>1122</v>
      </c>
    </row>
    <row r="11" spans="1:27" ht="207.6" customHeight="1">
      <c r="A11" s="56" t="s">
        <v>122</v>
      </c>
      <c r="B11" s="73" t="s">
        <v>3119</v>
      </c>
      <c r="C11" s="72" t="s">
        <v>3100</v>
      </c>
      <c r="E11" s="83">
        <f>SUMIF(History1!B:B, A11, History1!C:C)</f>
        <v>12</v>
      </c>
      <c r="F11" s="72" t="s">
        <v>3101</v>
      </c>
      <c r="H11" s="72" t="s">
        <v>2981</v>
      </c>
      <c r="J11" s="72" t="s">
        <v>3118</v>
      </c>
      <c r="K11" s="72" t="str">
        <f>LOWER(A11)&amp;".jpeg"</f>
        <v>fp0111.jpeg</v>
      </c>
      <c r="L11" s="57" t="s">
        <v>1123</v>
      </c>
    </row>
    <row r="12" spans="1:27" ht="207.6" customHeight="1">
      <c r="A12" s="56" t="s">
        <v>123</v>
      </c>
      <c r="B12" s="73" t="s">
        <v>3120</v>
      </c>
      <c r="C12" s="72" t="s">
        <v>3100</v>
      </c>
      <c r="E12" s="83">
        <f>SUMIF(History1!B:B, A12, History1!C:C)</f>
        <v>42</v>
      </c>
      <c r="F12" s="72" t="s">
        <v>3101</v>
      </c>
      <c r="H12" s="72" t="s">
        <v>2981</v>
      </c>
      <c r="J12" s="72" t="s">
        <v>3111</v>
      </c>
      <c r="K12" s="72" t="str">
        <f>LOWER(A12)&amp;".jpeg"</f>
        <v>fp0112.jpeg</v>
      </c>
      <c r="L12" s="57" t="s">
        <v>1124</v>
      </c>
    </row>
    <row r="13" spans="1:27" ht="207.6" customHeight="1">
      <c r="A13" s="56" t="s">
        <v>125</v>
      </c>
      <c r="B13" s="73" t="s">
        <v>3122</v>
      </c>
      <c r="C13" s="72" t="s">
        <v>3100</v>
      </c>
      <c r="E13" s="83">
        <f>SUMIF(History1!B:B, A13, History1!C:C)</f>
        <v>19</v>
      </c>
      <c r="F13" s="72" t="s">
        <v>3090</v>
      </c>
      <c r="H13" s="72" t="s">
        <v>2981</v>
      </c>
      <c r="J13" s="72" t="s">
        <v>3107</v>
      </c>
      <c r="K13" s="72" t="str">
        <f>LOWER(A13)&amp;".jpeg"</f>
        <v>fp0114.jpeg</v>
      </c>
      <c r="L13" s="57" t="s">
        <v>1126</v>
      </c>
    </row>
    <row r="14" spans="1:27" ht="207.6" customHeight="1">
      <c r="A14" s="56" t="s">
        <v>126</v>
      </c>
      <c r="B14" s="73" t="s">
        <v>3123</v>
      </c>
      <c r="C14" s="72" t="s">
        <v>3100</v>
      </c>
      <c r="E14" s="83">
        <f>SUMIF(History1!B:B, A14, History1!C:C)</f>
        <v>16</v>
      </c>
      <c r="F14" s="72" t="s">
        <v>3090</v>
      </c>
      <c r="H14" s="72" t="s">
        <v>2981</v>
      </c>
      <c r="J14" s="72" t="s">
        <v>3111</v>
      </c>
      <c r="K14" s="72" t="str">
        <f>LOWER(A14)&amp;".jpeg"</f>
        <v>fp0115.jpeg</v>
      </c>
      <c r="L14" s="57" t="s">
        <v>1127</v>
      </c>
    </row>
    <row r="15" spans="1:27" ht="207.6" customHeight="1">
      <c r="A15" s="56" t="s">
        <v>147</v>
      </c>
      <c r="B15" s="73" t="s">
        <v>3127</v>
      </c>
      <c r="C15" s="72" t="s">
        <v>3100</v>
      </c>
      <c r="E15" s="83">
        <f>SUMIF(History1!B:B, A15, History1!C:C)</f>
        <v>90</v>
      </c>
      <c r="F15" s="72" t="s">
        <v>3101</v>
      </c>
      <c r="H15" s="72" t="s">
        <v>2981</v>
      </c>
      <c r="J15" s="72" t="s">
        <v>3132</v>
      </c>
      <c r="K15" s="72" t="str">
        <f>LOWER(A15)&amp;".jpeg"</f>
        <v>fp0136.jpeg</v>
      </c>
      <c r="L15" s="57" t="s">
        <v>1148</v>
      </c>
    </row>
    <row r="16" spans="1:27" ht="207.6" customHeight="1">
      <c r="A16" s="56" t="s">
        <v>148</v>
      </c>
      <c r="B16" s="73" t="s">
        <v>3127</v>
      </c>
      <c r="C16" s="72" t="s">
        <v>3100</v>
      </c>
      <c r="E16" s="83">
        <f>SUMIF(History1!B:B, A16, History1!C:C)</f>
        <v>90</v>
      </c>
      <c r="F16" s="72" t="s">
        <v>3105</v>
      </c>
      <c r="H16" s="72" t="s">
        <v>2981</v>
      </c>
      <c r="J16" s="72" t="s">
        <v>3133</v>
      </c>
      <c r="K16" s="72" t="str">
        <f>LOWER(A16)&amp;".jpeg"</f>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3164</v>
      </c>
      <c r="C67" s="72" t="s">
        <v>3165</v>
      </c>
      <c r="D67" s="72" t="s">
        <v>3166</v>
      </c>
      <c r="E67" s="83">
        <f>SUMIF(History1!B:B, A67, History1!C:C)</f>
        <v>8</v>
      </c>
      <c r="F67" s="72" t="s">
        <v>2988</v>
      </c>
      <c r="H67" s="72" t="s">
        <v>2981</v>
      </c>
      <c r="J67" s="72" t="s">
        <v>3167</v>
      </c>
      <c r="K67" s="72" t="str">
        <f>LOWER(A67)&amp;".jpeg"</f>
        <v>fp0181.jpeg</v>
      </c>
      <c r="L67" s="57" t="s">
        <v>1193</v>
      </c>
    </row>
    <row r="68" spans="1:15" ht="207.6" customHeight="1">
      <c r="A68" s="56" t="s">
        <v>193</v>
      </c>
      <c r="B68" s="73" t="s">
        <v>3168</v>
      </c>
      <c r="C68" s="72" t="s">
        <v>3165</v>
      </c>
      <c r="D68" s="72" t="s">
        <v>3174</v>
      </c>
      <c r="E68" s="83">
        <f>SUMIF(History1!B:B, A68, History1!C:C)</f>
        <v>8</v>
      </c>
      <c r="F68" s="72" t="s">
        <v>2988</v>
      </c>
      <c r="H68" s="72" t="s">
        <v>2981</v>
      </c>
      <c r="J68" s="72" t="s">
        <v>3167</v>
      </c>
      <c r="K68" s="72" t="str">
        <f>LOWER(A68)&amp;".jpeg"</f>
        <v>fp0182.jpeg</v>
      </c>
      <c r="L68" s="57" t="s">
        <v>1194</v>
      </c>
    </row>
    <row r="69" spans="1:15" ht="207.6" customHeight="1">
      <c r="A69" s="56" t="s">
        <v>194</v>
      </c>
      <c r="B69" s="73" t="s">
        <v>3169</v>
      </c>
      <c r="C69" s="72" t="s">
        <v>3165</v>
      </c>
      <c r="D69" s="72" t="s">
        <v>3175</v>
      </c>
      <c r="E69" s="83">
        <f>SUMIF(History1!B:B, A69, History1!C:C)</f>
        <v>8</v>
      </c>
      <c r="F69" s="72" t="s">
        <v>2988</v>
      </c>
      <c r="H69" s="72" t="s">
        <v>2981</v>
      </c>
      <c r="J69" s="72" t="s">
        <v>3167</v>
      </c>
      <c r="K69" s="72" t="str">
        <f>LOWER(A69)&amp;".jpeg"</f>
        <v>fp0183.jpeg</v>
      </c>
      <c r="L69" s="57" t="s">
        <v>1195</v>
      </c>
    </row>
    <row r="70" spans="1:15" ht="207.6" customHeight="1">
      <c r="A70" s="56" t="s">
        <v>195</v>
      </c>
      <c r="B70" s="73" t="s">
        <v>3170</v>
      </c>
      <c r="C70" s="72" t="s">
        <v>3165</v>
      </c>
      <c r="D70" s="72" t="s">
        <v>3176</v>
      </c>
      <c r="E70" s="83">
        <f>SUMIF(History1!B:B, A70, History1!C:C)</f>
        <v>8</v>
      </c>
      <c r="F70" s="72" t="s">
        <v>2988</v>
      </c>
      <c r="H70" s="72" t="s">
        <v>2981</v>
      </c>
      <c r="J70" s="72" t="s">
        <v>3167</v>
      </c>
      <c r="K70" s="72" t="str">
        <f>LOWER(A70)&amp;".jpeg"</f>
        <v>fp0184.jpeg</v>
      </c>
      <c r="L70" s="57" t="s">
        <v>1196</v>
      </c>
    </row>
    <row r="71" spans="1:15" ht="207.6" customHeight="1">
      <c r="A71" s="56" t="s">
        <v>196</v>
      </c>
      <c r="B71" s="73" t="s">
        <v>3171</v>
      </c>
      <c r="C71" s="72" t="s">
        <v>3165</v>
      </c>
      <c r="E71" s="83">
        <f>SUMIF(History1!B:B, A71, History1!C:C)</f>
        <v>9</v>
      </c>
      <c r="F71" s="72" t="s">
        <v>2988</v>
      </c>
      <c r="H71" s="72" t="s">
        <v>2981</v>
      </c>
      <c r="J71" s="72" t="s">
        <v>3177</v>
      </c>
      <c r="K71" s="72" t="str">
        <f>LOWER(A71)&amp;".jpeg"</f>
        <v>fp0185.jpeg</v>
      </c>
      <c r="L71" s="57" t="s">
        <v>1197</v>
      </c>
    </row>
    <row r="72" spans="1:15" ht="207.6" customHeight="1">
      <c r="A72" s="56" t="s">
        <v>197</v>
      </c>
      <c r="B72" s="73" t="s">
        <v>3172</v>
      </c>
      <c r="C72" s="72" t="s">
        <v>3165</v>
      </c>
      <c r="E72" s="83">
        <f>SUMIF(History1!B:B, A72, History1!C:C)</f>
        <v>8</v>
      </c>
      <c r="F72" s="72" t="s">
        <v>2988</v>
      </c>
      <c r="H72" s="72" t="s">
        <v>2981</v>
      </c>
      <c r="J72" s="72" t="s">
        <v>3178</v>
      </c>
      <c r="K72" s="72" t="str">
        <f>LOWER(A72)&amp;".jpeg"</f>
        <v>fp0186.jpeg</v>
      </c>
      <c r="L72" s="57" t="s">
        <v>1198</v>
      </c>
    </row>
    <row r="73" spans="1:15" ht="207.6" customHeight="1">
      <c r="A73" s="56" t="s">
        <v>198</v>
      </c>
      <c r="B73" s="73" t="s">
        <v>3173</v>
      </c>
      <c r="C73" s="72" t="s">
        <v>3165</v>
      </c>
      <c r="E73" s="83">
        <f>SUMIF(History1!B:B, A73, History1!C:C)</f>
        <v>7</v>
      </c>
      <c r="F73" s="72" t="s">
        <v>2988</v>
      </c>
      <c r="H73" s="72" t="s">
        <v>2981</v>
      </c>
      <c r="J73" s="72" t="s">
        <v>3179</v>
      </c>
      <c r="K73" s="72" t="str">
        <f>LOWER(A73)&amp;".jpeg"</f>
        <v>fp0187.jpeg</v>
      </c>
      <c r="L73" s="57" t="s">
        <v>1199</v>
      </c>
    </row>
    <row r="74" spans="1:15" ht="207.6" customHeight="1">
      <c r="A74" s="56" t="s">
        <v>199</v>
      </c>
      <c r="B74" s="73" t="s">
        <v>3180</v>
      </c>
      <c r="C74" s="72" t="s">
        <v>3165</v>
      </c>
      <c r="E74" s="83">
        <f>SUMIF(History1!B:B, A74, History1!C:C)</f>
        <v>4</v>
      </c>
      <c r="F74" s="72" t="s">
        <v>2988</v>
      </c>
      <c r="H74" s="72" t="s">
        <v>2981</v>
      </c>
      <c r="J74" s="72" t="s">
        <v>3183</v>
      </c>
      <c r="K74" s="72" t="str">
        <f>LOWER(A74)&amp;".jpeg"</f>
        <v>fp0188.jpeg</v>
      </c>
      <c r="L74" s="57" t="s">
        <v>1200</v>
      </c>
    </row>
    <row r="75" spans="1:15" ht="207.6" customHeight="1">
      <c r="A75" s="56" t="s">
        <v>200</v>
      </c>
      <c r="B75" s="73" t="s">
        <v>3181</v>
      </c>
      <c r="C75" s="72" t="s">
        <v>3165</v>
      </c>
      <c r="E75" s="83">
        <f>SUMIF(History1!B:B, A75, History1!C:C)</f>
        <v>4</v>
      </c>
      <c r="F75" s="72" t="s">
        <v>2988</v>
      </c>
      <c r="H75" s="72" t="s">
        <v>2981</v>
      </c>
      <c r="J75" s="72" t="s">
        <v>3184</v>
      </c>
      <c r="K75" s="72" t="str">
        <f>LOWER(A75)&amp;".jpeg"</f>
        <v>fp0189.jpeg</v>
      </c>
      <c r="L75" s="57" t="s">
        <v>1201</v>
      </c>
    </row>
    <row r="76" spans="1:15" ht="207.6" customHeight="1">
      <c r="A76" s="56" t="s">
        <v>201</v>
      </c>
      <c r="B76" s="73" t="s">
        <v>3182</v>
      </c>
      <c r="C76" s="72" t="s">
        <v>3165</v>
      </c>
      <c r="E76" s="83">
        <f>SUMIF(History1!B:B, A76, History1!C:C)</f>
        <v>0</v>
      </c>
      <c r="F76" s="72" t="s">
        <v>2988</v>
      </c>
      <c r="H76" s="72" t="s">
        <v>2981</v>
      </c>
      <c r="J76" s="72" t="s">
        <v>3185</v>
      </c>
      <c r="K76" s="72" t="str">
        <f>LOWER(A76)&amp;".jpeg"</f>
        <v>fp0190.jpeg</v>
      </c>
      <c r="L76" s="57" t="s">
        <v>1202</v>
      </c>
    </row>
    <row r="77" spans="1:15" ht="207.6" customHeight="1">
      <c r="A77" s="56" t="s">
        <v>202</v>
      </c>
      <c r="B77" s="73" t="s">
        <v>3186</v>
      </c>
      <c r="C77" s="72" t="s">
        <v>3165</v>
      </c>
      <c r="E77" s="83">
        <f>SUMIF(History1!B:B, A77, History1!C:C)</f>
        <v>5</v>
      </c>
      <c r="F77" s="72" t="s">
        <v>2988</v>
      </c>
      <c r="H77" s="72" t="s">
        <v>2981</v>
      </c>
      <c r="J77" s="72" t="s">
        <v>3189</v>
      </c>
      <c r="K77" s="72" t="str">
        <f>LOWER(A77)&amp;".jpeg"</f>
        <v>fp0191.jpeg</v>
      </c>
      <c r="L77" s="57" t="s">
        <v>1203</v>
      </c>
    </row>
    <row r="78" spans="1:15" ht="207.6" customHeight="1">
      <c r="A78" s="56" t="s">
        <v>203</v>
      </c>
      <c r="B78" s="73" t="s">
        <v>3187</v>
      </c>
      <c r="C78" s="72" t="s">
        <v>3165</v>
      </c>
      <c r="E78" s="83">
        <f>SUMIF(History1!B:B, A78, History1!C:C)</f>
        <v>5</v>
      </c>
      <c r="F78" s="72" t="s">
        <v>2988</v>
      </c>
      <c r="H78" s="72" t="s">
        <v>2981</v>
      </c>
      <c r="J78" s="72" t="s">
        <v>3190</v>
      </c>
      <c r="K78" s="72" t="str">
        <f>LOWER(A78)&amp;".jpeg"</f>
        <v>fp0192.jpeg</v>
      </c>
      <c r="L78" s="57" t="s">
        <v>1204</v>
      </c>
    </row>
    <row r="79" spans="1:15" ht="207.6" customHeight="1">
      <c r="A79" s="56" t="s">
        <v>204</v>
      </c>
      <c r="B79" s="73" t="s">
        <v>3188</v>
      </c>
      <c r="C79" s="72" t="s">
        <v>3165</v>
      </c>
      <c r="E79" s="83">
        <f>SUMIF(History1!B:B, A79, History1!C:C)</f>
        <v>1</v>
      </c>
      <c r="F79" s="72" t="s">
        <v>2988</v>
      </c>
      <c r="H79" s="72" t="s">
        <v>2981</v>
      </c>
      <c r="J79" s="72" t="s">
        <v>3191</v>
      </c>
      <c r="K79" s="72" t="str">
        <f>LOWER(A79)&amp;".jpeg"</f>
        <v>fp0193.jpeg</v>
      </c>
      <c r="L79" s="57" t="s">
        <v>1205</v>
      </c>
    </row>
    <row r="80" spans="1:15" ht="207.6" customHeight="1">
      <c r="A80" s="56" t="s">
        <v>205</v>
      </c>
      <c r="B80" s="73" t="s">
        <v>3192</v>
      </c>
      <c r="C80" s="72" t="s">
        <v>3165</v>
      </c>
      <c r="E80" s="83">
        <f>SUMIF(History1!B:B, A80, History1!C:C)</f>
        <v>0</v>
      </c>
      <c r="F80" s="72" t="s">
        <v>2988</v>
      </c>
      <c r="H80" s="72" t="s">
        <v>2981</v>
      </c>
      <c r="J80" s="72" t="s">
        <v>3193</v>
      </c>
      <c r="K80" s="72" t="str">
        <f>LOWER(A80)&amp;".jpeg"</f>
        <v>fp0194.jpeg</v>
      </c>
      <c r="L80" s="57" t="s">
        <v>1206</v>
      </c>
    </row>
    <row r="81" spans="1:12" ht="207.6" customHeight="1">
      <c r="A81" s="56" t="s">
        <v>162</v>
      </c>
      <c r="B81" s="73" t="s">
        <v>3143</v>
      </c>
      <c r="C81" s="72" t="s">
        <v>3157</v>
      </c>
      <c r="E81" s="83">
        <f>SUMIF(History1!B:B, A81, History1!C:C)</f>
        <v>47</v>
      </c>
      <c r="F81" s="72" t="s">
        <v>3158</v>
      </c>
      <c r="H81" s="72" t="s">
        <v>2981</v>
      </c>
      <c r="K81" s="72" t="str">
        <f>LOWER(A81)&amp;".jpeg"</f>
        <v>fp0151.jpeg</v>
      </c>
      <c r="L81" s="57" t="s">
        <v>1163</v>
      </c>
    </row>
    <row r="82" spans="1:12" ht="207.6" customHeight="1">
      <c r="A82" s="56" t="s">
        <v>163</v>
      </c>
      <c r="B82" s="73" t="s">
        <v>3144</v>
      </c>
      <c r="C82" s="72" t="s">
        <v>3157</v>
      </c>
      <c r="E82" s="83">
        <f>SUMIF(History1!B:B, A82, History1!C:C)</f>
        <v>21</v>
      </c>
      <c r="F82" s="72" t="s">
        <v>3158</v>
      </c>
      <c r="H82" s="72" t="s">
        <v>2981</v>
      </c>
      <c r="K82" s="72" t="str">
        <f>LOWER(A82)&amp;".jpeg"</f>
        <v>fp0152.jpeg</v>
      </c>
      <c r="L82" s="57" t="s">
        <v>1164</v>
      </c>
    </row>
    <row r="83" spans="1:12" ht="207.6" customHeight="1">
      <c r="A83" s="56" t="s">
        <v>164</v>
      </c>
      <c r="B83" s="73" t="s">
        <v>3145</v>
      </c>
      <c r="C83" s="72" t="s">
        <v>3157</v>
      </c>
      <c r="E83" s="83">
        <f>SUMIF(History1!B:B, A83, History1!C:C)</f>
        <v>23</v>
      </c>
      <c r="F83" s="72" t="s">
        <v>3158</v>
      </c>
      <c r="H83" s="72" t="s">
        <v>2981</v>
      </c>
      <c r="K83" s="72" t="str">
        <f>LOWER(A83)&amp;".jpeg"</f>
        <v>fp0153.jpeg</v>
      </c>
      <c r="L83" s="57" t="s">
        <v>1165</v>
      </c>
    </row>
    <row r="84" spans="1:12" ht="207.6" customHeight="1">
      <c r="A84" s="56" t="s">
        <v>165</v>
      </c>
      <c r="B84" s="73" t="s">
        <v>3146</v>
      </c>
      <c r="C84" s="72" t="s">
        <v>3157</v>
      </c>
      <c r="E84" s="83">
        <f>SUMIF(History1!B:B, A84, History1!C:C)</f>
        <v>17</v>
      </c>
      <c r="F84" s="72" t="s">
        <v>3158</v>
      </c>
      <c r="H84" s="72" t="s">
        <v>2981</v>
      </c>
      <c r="K84" s="72" t="str">
        <f>LOWER(A84)&amp;".jpeg"</f>
        <v>fp0154.jpeg</v>
      </c>
      <c r="L84" s="57" t="s">
        <v>1166</v>
      </c>
    </row>
    <row r="85" spans="1:12" ht="207.6" customHeight="1">
      <c r="A85" s="56" t="s">
        <v>166</v>
      </c>
      <c r="B85" s="73" t="s">
        <v>3147</v>
      </c>
      <c r="C85" s="72" t="s">
        <v>3157</v>
      </c>
      <c r="E85" s="83">
        <f>SUMIF(History1!B:B, A85, History1!C:C)</f>
        <v>13</v>
      </c>
      <c r="F85" s="72" t="s">
        <v>3158</v>
      </c>
      <c r="H85" s="72" t="s">
        <v>2981</v>
      </c>
      <c r="K85" s="72" t="str">
        <f>LOWER(A85)&amp;".jpeg"</f>
        <v>fp0155.jpeg</v>
      </c>
      <c r="L85" s="57" t="s">
        <v>1167</v>
      </c>
    </row>
    <row r="86" spans="1:12" ht="207.6" customHeight="1">
      <c r="A86" s="56" t="s">
        <v>167</v>
      </c>
      <c r="B86" s="73" t="s">
        <v>3148</v>
      </c>
      <c r="C86" s="72" t="s">
        <v>3157</v>
      </c>
      <c r="E86" s="83">
        <f>SUMIF(History1!B:B, A86, History1!C:C)</f>
        <v>19</v>
      </c>
      <c r="F86" s="72" t="s">
        <v>3158</v>
      </c>
      <c r="H86" s="72" t="s">
        <v>2981</v>
      </c>
      <c r="K86" s="72" t="str">
        <f>LOWER(A86)&amp;".jpeg"</f>
        <v>fp0156.jpeg</v>
      </c>
      <c r="L86" s="57" t="s">
        <v>1168</v>
      </c>
    </row>
    <row r="87" spans="1:12" ht="207.6" customHeight="1">
      <c r="A87" s="56" t="s">
        <v>168</v>
      </c>
      <c r="B87" s="73" t="s">
        <v>3149</v>
      </c>
      <c r="C87" s="72" t="s">
        <v>3157</v>
      </c>
      <c r="E87" s="83">
        <f>SUMIF(History1!B:B, A87, History1!C:C)</f>
        <v>47</v>
      </c>
      <c r="F87" s="72" t="s">
        <v>3158</v>
      </c>
      <c r="H87" s="72" t="s">
        <v>2981</v>
      </c>
      <c r="K87" s="72" t="str">
        <f>LOWER(A87)&amp;".jpeg"</f>
        <v>fp0157.jpeg</v>
      </c>
      <c r="L87" s="57" t="s">
        <v>1169</v>
      </c>
    </row>
    <row r="88" spans="1:12" ht="207.6" customHeight="1">
      <c r="A88" s="56" t="s">
        <v>169</v>
      </c>
      <c r="B88" s="73" t="s">
        <v>3150</v>
      </c>
      <c r="C88" s="72" t="s">
        <v>3157</v>
      </c>
      <c r="E88" s="83">
        <f>SUMIF(History1!B:B, A88, History1!C:C)</f>
        <v>28</v>
      </c>
      <c r="F88" s="72" t="s">
        <v>3158</v>
      </c>
      <c r="H88" s="72" t="s">
        <v>3115</v>
      </c>
      <c r="K88" s="72" t="str">
        <f>LOWER(A88)&amp;".jpeg"</f>
        <v>fp0158.jpeg</v>
      </c>
      <c r="L88" s="57" t="s">
        <v>1170</v>
      </c>
    </row>
    <row r="89" spans="1:12" ht="207.6" customHeight="1">
      <c r="A89" s="56" t="s">
        <v>170</v>
      </c>
      <c r="B89" s="73" t="s">
        <v>3151</v>
      </c>
      <c r="C89" s="72" t="s">
        <v>3157</v>
      </c>
      <c r="E89" s="83">
        <f>SUMIF(History1!B:B, A89, History1!C:C)</f>
        <v>25</v>
      </c>
      <c r="F89" s="72" t="s">
        <v>3158</v>
      </c>
      <c r="H89" s="72" t="s">
        <v>2981</v>
      </c>
      <c r="K89" s="72" t="str">
        <f>LOWER(A89)&amp;".jpeg"</f>
        <v>fp0159.jpeg</v>
      </c>
      <c r="L89" s="57" t="s">
        <v>1171</v>
      </c>
    </row>
    <row r="90" spans="1:12" ht="207.6" customHeight="1">
      <c r="A90" s="56" t="s">
        <v>171</v>
      </c>
      <c r="B90" s="73" t="s">
        <v>3152</v>
      </c>
      <c r="C90" s="72" t="s">
        <v>3157</v>
      </c>
      <c r="E90" s="83">
        <f>SUMIF(History1!B:B, A90, History1!C:C)</f>
        <v>11</v>
      </c>
      <c r="F90" s="72" t="s">
        <v>3158</v>
      </c>
      <c r="H90" s="72" t="s">
        <v>2981</v>
      </c>
      <c r="K90" s="72" t="str">
        <f>LOWER(A90)&amp;".jpeg"</f>
        <v>fp0160.jpeg</v>
      </c>
      <c r="L90" s="57" t="s">
        <v>1172</v>
      </c>
    </row>
    <row r="91" spans="1:12" ht="207.6" customHeight="1">
      <c r="A91" s="56" t="s">
        <v>172</v>
      </c>
      <c r="B91" s="73" t="s">
        <v>3153</v>
      </c>
      <c r="C91" s="72" t="s">
        <v>3157</v>
      </c>
      <c r="E91" s="83">
        <f>SUMIF(History1!B:B, A91, History1!C:C)</f>
        <v>22</v>
      </c>
      <c r="F91" s="72" t="s">
        <v>3158</v>
      </c>
      <c r="H91" s="72" t="s">
        <v>2981</v>
      </c>
      <c r="K91" s="72" t="str">
        <f>LOWER(A91)&amp;".jpeg"</f>
        <v>fp0161.jpeg</v>
      </c>
      <c r="L91" s="57" t="s">
        <v>1173</v>
      </c>
    </row>
    <row r="92" spans="1:12" ht="207.6" customHeight="1">
      <c r="A92" s="56" t="s">
        <v>173</v>
      </c>
      <c r="B92" s="73" t="s">
        <v>3154</v>
      </c>
      <c r="C92" s="72" t="s">
        <v>3157</v>
      </c>
      <c r="E92" s="83">
        <f>SUMIF(History1!B:B, A92, History1!C:C)</f>
        <v>40</v>
      </c>
      <c r="F92" s="72" t="s">
        <v>3158</v>
      </c>
      <c r="H92" s="72" t="s">
        <v>2981</v>
      </c>
      <c r="K92" s="72" t="str">
        <f>LOWER(A92)&amp;".jpeg"</f>
        <v>fp0162.jpeg</v>
      </c>
      <c r="L92" s="57" t="s">
        <v>1174</v>
      </c>
    </row>
    <row r="93" spans="1:12" ht="207.6" customHeight="1">
      <c r="A93" s="56" t="s">
        <v>174</v>
      </c>
      <c r="B93" s="73" t="s">
        <v>3155</v>
      </c>
      <c r="C93" s="72" t="s">
        <v>3157</v>
      </c>
      <c r="E93" s="83">
        <f>SUMIF(History1!B:B, A93, History1!C:C)</f>
        <v>22</v>
      </c>
      <c r="F93" s="72" t="s">
        <v>3158</v>
      </c>
      <c r="H93" s="72" t="s">
        <v>2981</v>
      </c>
      <c r="K93" s="72" t="str">
        <f>LOWER(A93)&amp;".jpeg"</f>
        <v>fp0163.jpeg</v>
      </c>
      <c r="L93" s="57" t="s">
        <v>1175</v>
      </c>
    </row>
    <row r="94" spans="1:12" ht="207.6" customHeight="1">
      <c r="A94" s="56" t="s">
        <v>175</v>
      </c>
      <c r="B94" s="73" t="s">
        <v>3156</v>
      </c>
      <c r="C94" s="72" t="s">
        <v>3157</v>
      </c>
      <c r="E94" s="83">
        <f>SUMIF(History1!B:B, A94, History1!C:C)</f>
        <v>9</v>
      </c>
      <c r="F94" s="72" t="s">
        <v>3158</v>
      </c>
      <c r="H94" s="72" t="s">
        <v>2981</v>
      </c>
      <c r="K94" s="72" t="str">
        <f>LOWER(A94)&amp;".jpeg"</f>
        <v>fp0164.jpeg</v>
      </c>
      <c r="L94" s="57" t="s">
        <v>1176</v>
      </c>
    </row>
    <row r="95" spans="1:12" ht="207.6" customHeight="1">
      <c r="A95" s="56" t="s">
        <v>94</v>
      </c>
      <c r="B95" s="73" t="s">
        <v>3072</v>
      </c>
      <c r="C95" s="72" t="s">
        <v>3073</v>
      </c>
      <c r="E95" s="83">
        <f>SUMIF(History1!B:B, A95, History1!C:C)</f>
        <v>18</v>
      </c>
      <c r="F95" s="72" t="s">
        <v>3069</v>
      </c>
      <c r="H95" s="72" t="s">
        <v>2981</v>
      </c>
      <c r="J95" s="72" t="s">
        <v>3053</v>
      </c>
      <c r="K95" s="72" t="str">
        <f>LOWER(A95)&amp;".jpeg"</f>
        <v>fp0083.jpeg</v>
      </c>
      <c r="L95" s="57" t="s">
        <v>1095</v>
      </c>
    </row>
    <row r="96" spans="1:12" ht="207.6" customHeight="1">
      <c r="A96" s="56" t="s">
        <v>95</v>
      </c>
      <c r="B96" s="73" t="s">
        <v>3074</v>
      </c>
      <c r="C96" s="72" t="s">
        <v>3073</v>
      </c>
      <c r="E96" s="83">
        <f>SUMIF(History1!B:B, A96, History1!C:C)</f>
        <v>92</v>
      </c>
      <c r="F96" s="72" t="s">
        <v>3069</v>
      </c>
      <c r="H96" s="72" t="s">
        <v>2981</v>
      </c>
      <c r="J96" s="72" t="s">
        <v>3053</v>
      </c>
      <c r="K96" s="72" t="str">
        <f>LOWER(A96)&amp;".jpeg"</f>
        <v>fp0084.jpeg</v>
      </c>
      <c r="L96" s="57" t="s">
        <v>1096</v>
      </c>
    </row>
    <row r="97" spans="1:12" ht="207.6" customHeight="1">
      <c r="A97" s="56" t="s">
        <v>96</v>
      </c>
      <c r="B97" s="73" t="s">
        <v>3075</v>
      </c>
      <c r="C97" s="72" t="s">
        <v>3073</v>
      </c>
      <c r="E97" s="83">
        <f>SUMIF(History1!B:B, A97, History1!C:C)</f>
        <v>48</v>
      </c>
      <c r="F97" s="72" t="s">
        <v>3069</v>
      </c>
      <c r="H97" s="72" t="s">
        <v>2981</v>
      </c>
      <c r="J97" s="72" t="s">
        <v>3053</v>
      </c>
      <c r="K97" s="72" t="str">
        <f>LOWER(A97)&amp;".jpeg"</f>
        <v>fp0085.jpeg</v>
      </c>
      <c r="L97" s="57" t="s">
        <v>1097</v>
      </c>
    </row>
    <row r="98" spans="1:12" ht="207.6" customHeight="1">
      <c r="A98" s="56" t="s">
        <v>97</v>
      </c>
      <c r="B98" s="73" t="s">
        <v>3076</v>
      </c>
      <c r="C98" s="72" t="s">
        <v>3073</v>
      </c>
      <c r="E98" s="83">
        <f>SUMIF(History1!B:B, A98, History1!C:C)</f>
        <v>44</v>
      </c>
      <c r="F98" s="72" t="s">
        <v>3069</v>
      </c>
      <c r="H98" s="72" t="s">
        <v>2981</v>
      </c>
      <c r="J98" s="72" t="s">
        <v>3053</v>
      </c>
      <c r="K98" s="72" t="str">
        <f>LOWER(A98)&amp;".jpeg"</f>
        <v>fp0086.jpeg</v>
      </c>
      <c r="L98" s="57" t="s">
        <v>1098</v>
      </c>
    </row>
    <row r="99" spans="1:12" ht="207.6" customHeight="1">
      <c r="A99" s="56" t="s">
        <v>98</v>
      </c>
      <c r="B99" s="73" t="s">
        <v>3077</v>
      </c>
      <c r="C99" s="72" t="s">
        <v>3073</v>
      </c>
      <c r="E99" s="83">
        <f>SUMIF(History1!B:B, A99, History1!C:C)</f>
        <v>10</v>
      </c>
      <c r="F99" s="72" t="s">
        <v>3069</v>
      </c>
      <c r="H99" s="72" t="s">
        <v>2981</v>
      </c>
      <c r="J99" s="72" t="s">
        <v>3053</v>
      </c>
      <c r="K99" s="72" t="str">
        <f>LOWER(A99)&amp;".jpeg"</f>
        <v>fp0087.jpeg</v>
      </c>
      <c r="L99" s="57" t="s">
        <v>1099</v>
      </c>
    </row>
    <row r="100" spans="1:12" ht="207.6" customHeight="1">
      <c r="A100" s="56" t="s">
        <v>85</v>
      </c>
      <c r="B100" s="73" t="s">
        <v>3049</v>
      </c>
      <c r="C100" s="72" t="s">
        <v>3048</v>
      </c>
      <c r="E100" s="83">
        <f>SUMIF(History1!B:B, A100, History1!C:C)</f>
        <v>75</v>
      </c>
      <c r="F100" s="72" t="s">
        <v>2988</v>
      </c>
      <c r="H100" s="72" t="s">
        <v>2981</v>
      </c>
      <c r="J100" s="72" t="s">
        <v>3050</v>
      </c>
      <c r="K100" s="72" t="s">
        <v>3051</v>
      </c>
      <c r="L100" s="57" t="s">
        <v>1086</v>
      </c>
    </row>
    <row r="101" spans="1:12" ht="207.6" customHeight="1">
      <c r="A101" s="56" t="s">
        <v>88</v>
      </c>
      <c r="B101" s="73" t="s">
        <v>3060</v>
      </c>
      <c r="C101" s="72" t="s">
        <v>3048</v>
      </c>
      <c r="E101" s="83">
        <f>SUMIF(History1!B:B, A101, History1!C:C)</f>
        <v>150</v>
      </c>
      <c r="F101" s="72" t="s">
        <v>2988</v>
      </c>
      <c r="H101" s="72" t="s">
        <v>2981</v>
      </c>
      <c r="J101" s="72" t="s">
        <v>3050</v>
      </c>
      <c r="K101" s="72" t="s">
        <v>3059</v>
      </c>
      <c r="L101" s="57" t="s">
        <v>1089</v>
      </c>
    </row>
    <row r="102" spans="1:12" ht="207.6" customHeight="1">
      <c r="A102" s="56" t="s">
        <v>131</v>
      </c>
      <c r="B102" s="73" t="s">
        <v>3129</v>
      </c>
      <c r="C102" s="72" t="s">
        <v>3048</v>
      </c>
      <c r="E102" s="83">
        <f>SUMIF(History1!B:B, A102, History1!C:C)</f>
        <v>18</v>
      </c>
      <c r="F102" s="72" t="s">
        <v>3105</v>
      </c>
      <c r="H102" s="72" t="s">
        <v>2981</v>
      </c>
      <c r="J102" s="72" t="s">
        <v>3107</v>
      </c>
      <c r="K102" s="72" t="str">
        <f>LOWER(A102)&amp;".jpeg"</f>
        <v>fp0120.jpeg</v>
      </c>
      <c r="L102" s="57" t="s">
        <v>1132</v>
      </c>
    </row>
    <row r="103" spans="1:12" ht="207.6" customHeight="1">
      <c r="A103" s="56" t="s">
        <v>132</v>
      </c>
      <c r="B103" s="73" t="s">
        <v>3129</v>
      </c>
      <c r="C103" s="72" t="s">
        <v>3048</v>
      </c>
      <c r="E103" s="83">
        <f>SUMIF(History1!B:B, A103, History1!C:C)</f>
        <v>30</v>
      </c>
      <c r="F103" s="72" t="s">
        <v>3105</v>
      </c>
      <c r="H103" s="72" t="s">
        <v>2981</v>
      </c>
      <c r="J103" s="72" t="s">
        <v>3118</v>
      </c>
      <c r="K103" s="72" t="str">
        <f>LOWER(A103)&amp;".jpeg"</f>
        <v>fp0121.jpeg</v>
      </c>
      <c r="L103" s="57" t="s">
        <v>1133</v>
      </c>
    </row>
    <row r="104" spans="1:12" ht="207.6" customHeight="1">
      <c r="A104" s="56" t="s">
        <v>133</v>
      </c>
      <c r="B104" s="73" t="s">
        <v>3129</v>
      </c>
      <c r="C104" s="72" t="s">
        <v>3048</v>
      </c>
      <c r="E104" s="83">
        <f>SUMIF(History1!B:B, A104, History1!C:C)</f>
        <v>28</v>
      </c>
      <c r="F104" s="72" t="s">
        <v>3105</v>
      </c>
      <c r="H104" s="72" t="s">
        <v>2981</v>
      </c>
      <c r="J104" s="72" t="s">
        <v>3111</v>
      </c>
      <c r="K104" s="72" t="str">
        <f>LOWER(A104)&amp;".jpeg"</f>
        <v>fp0122.jpeg</v>
      </c>
      <c r="L104" s="70" t="s">
        <v>1134</v>
      </c>
    </row>
    <row r="105" spans="1:12" ht="207.6" customHeight="1">
      <c r="A105" s="56" t="s">
        <v>134</v>
      </c>
      <c r="B105" s="73" t="s">
        <v>3129</v>
      </c>
      <c r="C105" s="72" t="s">
        <v>3048</v>
      </c>
      <c r="E105" s="83">
        <f>SUMIF(History1!B:B, A105, History1!C:C)</f>
        <v>19</v>
      </c>
      <c r="F105" s="72" t="s">
        <v>3069</v>
      </c>
      <c r="H105" s="72" t="s">
        <v>2981</v>
      </c>
      <c r="J105" s="72" t="s">
        <v>3107</v>
      </c>
      <c r="K105" s="72" t="str">
        <f>LOWER(A105)&amp;".jpeg"</f>
        <v>fp0123.jpeg</v>
      </c>
      <c r="L105" s="57" t="s">
        <v>1135</v>
      </c>
    </row>
    <row r="106" spans="1:12" ht="207.6" customHeight="1">
      <c r="A106" s="56" t="s">
        <v>135</v>
      </c>
      <c r="B106" s="73" t="s">
        <v>3129</v>
      </c>
      <c r="C106" s="72" t="s">
        <v>3048</v>
      </c>
      <c r="E106" s="83">
        <f>SUMIF(History1!B:B, A106, History1!C:C)</f>
        <v>18</v>
      </c>
      <c r="F106" s="72" t="s">
        <v>3069</v>
      </c>
      <c r="H106" s="72" t="s">
        <v>2981</v>
      </c>
      <c r="J106" s="72" t="s">
        <v>3130</v>
      </c>
      <c r="K106" s="72" t="str">
        <f>LOWER(A106)&amp;".jpeg"</f>
        <v>fp0124.jpeg</v>
      </c>
      <c r="L106" s="57" t="s">
        <v>1136</v>
      </c>
    </row>
    <row r="107" spans="1:12" ht="207.6" customHeight="1">
      <c r="A107" s="56" t="s">
        <v>136</v>
      </c>
      <c r="B107" s="73" t="s">
        <v>3129</v>
      </c>
      <c r="C107" s="72" t="s">
        <v>3048</v>
      </c>
      <c r="E107" s="83">
        <f>SUMIF(History1!B:B, A107, History1!C:C)</f>
        <v>11</v>
      </c>
      <c r="F107" s="72" t="s">
        <v>3069</v>
      </c>
      <c r="H107" s="72" t="s">
        <v>2981</v>
      </c>
      <c r="J107" s="72" t="s">
        <v>3111</v>
      </c>
      <c r="K107" s="72" t="str">
        <f>LOWER(A107)&amp;".jpeg"</f>
        <v>fp0125.jpeg</v>
      </c>
      <c r="L107" s="57" t="s">
        <v>1137</v>
      </c>
    </row>
    <row r="108" spans="1:12" ht="207.6" customHeight="1">
      <c r="A108" s="56" t="s">
        <v>149</v>
      </c>
      <c r="B108" s="73" t="s">
        <v>3129</v>
      </c>
      <c r="C108" s="72" t="s">
        <v>3048</v>
      </c>
      <c r="E108" s="83">
        <f>SUMIF(History1!B:B, A108, History1!C:C)</f>
        <v>9</v>
      </c>
      <c r="F108" s="72" t="s">
        <v>2988</v>
      </c>
      <c r="H108" s="72" t="s">
        <v>2981</v>
      </c>
      <c r="J108" s="72" t="s">
        <v>3107</v>
      </c>
      <c r="K108" s="72" t="str">
        <f>LOWER(A108)&amp;".jpeg"</f>
        <v>fp0138.jpeg</v>
      </c>
      <c r="L108" s="57" t="s">
        <v>1150</v>
      </c>
    </row>
    <row r="109" spans="1:12" ht="207.6" customHeight="1">
      <c r="A109" s="56" t="s">
        <v>150</v>
      </c>
      <c r="B109" s="73" t="s">
        <v>3129</v>
      </c>
      <c r="C109" s="72" t="s">
        <v>3048</v>
      </c>
      <c r="E109" s="83">
        <f>SUMIF(History1!B:B, A109, History1!C:C)</f>
        <v>8</v>
      </c>
      <c r="F109" s="72" t="s">
        <v>2988</v>
      </c>
      <c r="H109" s="72" t="s">
        <v>2981</v>
      </c>
      <c r="J109" s="72" t="s">
        <v>3130</v>
      </c>
      <c r="K109" s="72" t="str">
        <f>LOWER(A109)&amp;".jpeg"</f>
        <v>fp0139.jpeg</v>
      </c>
      <c r="L109" s="57" t="s">
        <v>1151</v>
      </c>
    </row>
    <row r="110" spans="1:12" ht="207.6" customHeight="1">
      <c r="A110" s="56" t="s">
        <v>151</v>
      </c>
      <c r="B110" s="73" t="s">
        <v>3129</v>
      </c>
      <c r="C110" s="72" t="s">
        <v>3048</v>
      </c>
      <c r="E110" s="83">
        <f>SUMIF(History1!B:B, A110, History1!C:C)</f>
        <v>9</v>
      </c>
      <c r="F110" s="72" t="s">
        <v>2988</v>
      </c>
      <c r="H110" s="72" t="s">
        <v>2981</v>
      </c>
      <c r="J110" s="72" t="s">
        <v>3111</v>
      </c>
      <c r="K110" s="72" t="str">
        <f>LOWER(A110)&amp;".jpeg"</f>
        <v>fp0140.jpeg</v>
      </c>
      <c r="L110" s="57" t="s">
        <v>1152</v>
      </c>
    </row>
    <row r="111" spans="1:12" ht="207.6" customHeight="1">
      <c r="A111" s="56" t="s">
        <v>153</v>
      </c>
      <c r="B111" s="73" t="s">
        <v>3135</v>
      </c>
      <c r="C111" s="72" t="s">
        <v>3048</v>
      </c>
      <c r="E111" s="83">
        <f>SUMIF(History1!B:B, A111, History1!C:C)</f>
        <v>60</v>
      </c>
      <c r="F111" s="72" t="s">
        <v>3105</v>
      </c>
      <c r="H111" s="72" t="s">
        <v>2981</v>
      </c>
      <c r="J111" s="72" t="s">
        <v>3136</v>
      </c>
      <c r="K111" s="72" t="str">
        <f>LOWER(A111)&amp;".jpeg"</f>
        <v>fp0142.jpeg</v>
      </c>
      <c r="L111" s="57" t="s">
        <v>1154</v>
      </c>
    </row>
    <row r="112" spans="1:12" ht="207.6" customHeight="1">
      <c r="A112" s="56" t="s">
        <v>154</v>
      </c>
      <c r="B112" s="73" t="s">
        <v>3135</v>
      </c>
      <c r="C112" s="72" t="s">
        <v>3048</v>
      </c>
      <c r="E112" s="83">
        <f>SUMIF(History1!B:B, A112, History1!C:C)</f>
        <v>49</v>
      </c>
      <c r="F112" s="72" t="s">
        <v>3105</v>
      </c>
      <c r="H112" s="72" t="s">
        <v>2981</v>
      </c>
      <c r="J112" s="72" t="s">
        <v>3137</v>
      </c>
      <c r="K112" s="72" t="str">
        <f>LOWER(A112)&amp;".jpeg"</f>
        <v>fp0143.jpeg</v>
      </c>
      <c r="L112" s="57" t="s">
        <v>1155</v>
      </c>
    </row>
    <row r="113" spans="1:12" ht="207.6" customHeight="1">
      <c r="A113" s="56" t="s">
        <v>155</v>
      </c>
      <c r="B113" s="73" t="s">
        <v>3135</v>
      </c>
      <c r="C113" s="72" t="s">
        <v>3048</v>
      </c>
      <c r="E113" s="83">
        <f>SUMIF(History1!B:B, A113, History1!C:C)</f>
        <v>68</v>
      </c>
      <c r="F113" s="72" t="s">
        <v>3105</v>
      </c>
      <c r="H113" s="72" t="s">
        <v>2981</v>
      </c>
      <c r="J113" s="72" t="s">
        <v>3132</v>
      </c>
      <c r="K113" s="72" t="str">
        <f>LOWER(A113)&amp;".jpeg"</f>
        <v>fp0144.jpeg</v>
      </c>
      <c r="L113" s="57" t="s">
        <v>1156</v>
      </c>
    </row>
    <row r="114" spans="1:12" ht="207.6" customHeight="1">
      <c r="A114" s="56" t="s">
        <v>159</v>
      </c>
      <c r="B114" s="73" t="s">
        <v>3129</v>
      </c>
      <c r="C114" s="72" t="s">
        <v>3048</v>
      </c>
      <c r="E114" s="83">
        <f>SUMIF(History1!B:B, A114, History1!C:C)</f>
        <v>25</v>
      </c>
      <c r="F114" s="72" t="s">
        <v>3142</v>
      </c>
      <c r="H114" s="72" t="s">
        <v>2981</v>
      </c>
      <c r="J114" s="72" t="s">
        <v>3140</v>
      </c>
      <c r="K114" s="72" t="str">
        <f>LOWER(A114)&amp;".jpeg"</f>
        <v>fp0148.jpeg</v>
      </c>
      <c r="L114" s="57" t="s">
        <v>1160</v>
      </c>
    </row>
    <row r="115" spans="1:12" ht="207.6" customHeight="1">
      <c r="A115" s="56" t="s">
        <v>160</v>
      </c>
      <c r="B115" s="73" t="s">
        <v>3129</v>
      </c>
      <c r="C115" s="72" t="s">
        <v>3048</v>
      </c>
      <c r="E115" s="83">
        <f>SUMIF(History1!B:B, A115, History1!C:C)</f>
        <v>25</v>
      </c>
      <c r="F115" s="72" t="s">
        <v>3038</v>
      </c>
      <c r="H115" s="72" t="s">
        <v>2981</v>
      </c>
      <c r="J115" s="72" t="s">
        <v>3140</v>
      </c>
      <c r="K115" s="72" t="str">
        <f>LOWER(A115)&amp;".jpeg"</f>
        <v>fp0149.jpeg</v>
      </c>
      <c r="L115" s="57" t="s">
        <v>1161</v>
      </c>
    </row>
    <row r="116" spans="1:12" ht="207.6" customHeight="1">
      <c r="A116" s="56" t="s">
        <v>161</v>
      </c>
      <c r="B116" s="73" t="s">
        <v>3129</v>
      </c>
      <c r="C116" s="72" t="s">
        <v>3048</v>
      </c>
      <c r="E116" s="83">
        <f>SUMIF(History1!B:B, A116, History1!C:C)</f>
        <v>16</v>
      </c>
      <c r="F116" s="72" t="s">
        <v>3038</v>
      </c>
      <c r="H116" s="72" t="s">
        <v>2981</v>
      </c>
      <c r="J116" s="72" t="s">
        <v>3140</v>
      </c>
      <c r="K116" s="72" t="str">
        <f>LOWER(A116)&amp;".jpeg"</f>
        <v>fp0150.jpeg</v>
      </c>
      <c r="L116" s="57" t="s">
        <v>1162</v>
      </c>
    </row>
    <row r="117" spans="1:12" ht="207.6" customHeight="1">
      <c r="A117" s="56" t="s">
        <v>176</v>
      </c>
      <c r="B117" s="73" t="s">
        <v>3129</v>
      </c>
      <c r="C117" s="72" t="s">
        <v>3048</v>
      </c>
      <c r="E117" s="83">
        <f>SUMIF(History1!B:B, A117, History1!C:C)</f>
        <v>21</v>
      </c>
      <c r="F117" s="72" t="s">
        <v>3069</v>
      </c>
      <c r="H117" s="72" t="s">
        <v>2981</v>
      </c>
      <c r="J117" s="72" t="s">
        <v>3132</v>
      </c>
      <c r="K117" s="72" t="str">
        <f>LOWER(A117)&amp;".jpeg"</f>
        <v>fp0165.jpeg</v>
      </c>
      <c r="L117" s="57" t="s">
        <v>1177</v>
      </c>
    </row>
    <row r="118" spans="1:12" ht="207.6" customHeight="1">
      <c r="A118" s="56" t="s">
        <v>206</v>
      </c>
      <c r="B118" s="73" t="s">
        <v>3135</v>
      </c>
      <c r="C118" s="72" t="s">
        <v>3048</v>
      </c>
      <c r="E118" s="83">
        <f>SUMIF(History1!B:B, A118, History1!C:C)</f>
        <v>17</v>
      </c>
      <c r="F118" s="72" t="s">
        <v>3194</v>
      </c>
      <c r="H118" s="72" t="s">
        <v>2981</v>
      </c>
      <c r="J118" s="72" t="s">
        <v>3195</v>
      </c>
      <c r="K118" s="72" t="str">
        <f>LOWER(A118)&amp;".jpeg"</f>
        <v>fp0195.jpeg</v>
      </c>
      <c r="L118" s="57" t="s">
        <v>1207</v>
      </c>
    </row>
    <row r="119" spans="1:12" ht="207.6" customHeight="1">
      <c r="A119" s="56" t="s">
        <v>76</v>
      </c>
      <c r="B119" s="73" t="s">
        <v>3020</v>
      </c>
      <c r="C119" s="72" t="s">
        <v>3023</v>
      </c>
      <c r="E119" s="83">
        <f>SUMIF(History1!B:B, A119, History1!C:C)</f>
        <v>9</v>
      </c>
      <c r="F119" s="72" t="s">
        <v>3021</v>
      </c>
      <c r="H119" s="72" t="s">
        <v>2981</v>
      </c>
      <c r="J119" s="72" t="s">
        <v>3017</v>
      </c>
      <c r="K119" s="72" t="s">
        <v>3019</v>
      </c>
      <c r="L119" s="57" t="s">
        <v>1077</v>
      </c>
    </row>
    <row r="120" spans="1:12" ht="207.6" customHeight="1">
      <c r="A120" s="56" t="s">
        <v>77</v>
      </c>
      <c r="B120" s="73" t="s">
        <v>3022</v>
      </c>
      <c r="C120" s="72" t="s">
        <v>3023</v>
      </c>
      <c r="E120" s="83">
        <f>SUMIF(History1!B:B, A120, History1!C:C)</f>
        <v>5</v>
      </c>
      <c r="F120" s="72" t="s">
        <v>3024</v>
      </c>
      <c r="H120" s="72" t="s">
        <v>2981</v>
      </c>
      <c r="J120" s="72" t="s">
        <v>3025</v>
      </c>
      <c r="K120" s="72" t="s">
        <v>3026</v>
      </c>
      <c r="L120" s="57" t="s">
        <v>1078</v>
      </c>
    </row>
    <row r="121" spans="1:12" ht="207.6" customHeight="1">
      <c r="A121" s="56" t="s">
        <v>78</v>
      </c>
      <c r="B121" s="73" t="s">
        <v>3028</v>
      </c>
      <c r="C121" s="72" t="s">
        <v>3023</v>
      </c>
      <c r="E121" s="83">
        <f>SUMIF(History1!B:B, A121, History1!C:C)</f>
        <v>12</v>
      </c>
      <c r="F121" s="72" t="s">
        <v>3029</v>
      </c>
      <c r="H121" s="72" t="s">
        <v>2981</v>
      </c>
      <c r="J121" s="72" t="s">
        <v>3030</v>
      </c>
      <c r="K121" s="72" t="s">
        <v>3027</v>
      </c>
      <c r="L121" s="57" t="s">
        <v>1079</v>
      </c>
    </row>
    <row r="122" spans="1:12" ht="207.6" customHeight="1">
      <c r="A122" s="56" t="s">
        <v>81</v>
      </c>
      <c r="B122" s="73" t="s">
        <v>3037</v>
      </c>
      <c r="C122" s="72" t="s">
        <v>3023</v>
      </c>
      <c r="E122" s="83">
        <f>SUMIF(History1!B:B, A122, History1!C:C)</f>
        <v>27</v>
      </c>
      <c r="F122" s="72" t="s">
        <v>3038</v>
      </c>
      <c r="H122" s="72" t="s">
        <v>2981</v>
      </c>
      <c r="J122" s="72" t="s">
        <v>3039</v>
      </c>
      <c r="K122" s="72" t="s">
        <v>3036</v>
      </c>
      <c r="L122" s="57" t="s">
        <v>1082</v>
      </c>
    </row>
    <row r="123" spans="1:12" ht="207.6" customHeight="1">
      <c r="A123" s="56" t="s">
        <v>84</v>
      </c>
      <c r="B123" s="73" t="s">
        <v>3046</v>
      </c>
      <c r="C123" s="72" t="s">
        <v>3023</v>
      </c>
      <c r="E123" s="83">
        <f>SUMIF(History1!B:B, A123, History1!C:C)</f>
        <v>20</v>
      </c>
      <c r="F123" s="72" t="s">
        <v>2988</v>
      </c>
      <c r="H123" s="72" t="s">
        <v>2981</v>
      </c>
      <c r="J123" s="72" t="s">
        <v>3047</v>
      </c>
      <c r="K123" s="72" t="s">
        <v>3065</v>
      </c>
      <c r="L123" s="70" t="s">
        <v>1085</v>
      </c>
    </row>
    <row r="124" spans="1:12" ht="207.6" customHeight="1">
      <c r="A124" s="56" t="s">
        <v>91</v>
      </c>
      <c r="B124" s="73" t="s">
        <v>3067</v>
      </c>
      <c r="C124" s="72" t="s">
        <v>3023</v>
      </c>
      <c r="E124" s="83">
        <f>SUMIF(History1!B:B, A124, History1!C:C)</f>
        <v>42</v>
      </c>
      <c r="F124" s="72" t="s">
        <v>2988</v>
      </c>
      <c r="H124" s="72" t="s">
        <v>2981</v>
      </c>
      <c r="J124" s="72" t="s">
        <v>3053</v>
      </c>
      <c r="K124" s="72" t="str">
        <f>LOWER(A124)&amp;".jpeg"</f>
        <v>fp0080.jpeg</v>
      </c>
      <c r="L124" s="57" t="s">
        <v>1092</v>
      </c>
    </row>
    <row r="125" spans="1:12" ht="207.6" customHeight="1">
      <c r="A125" s="56" t="s">
        <v>93</v>
      </c>
      <c r="B125" s="73" t="s">
        <v>3071</v>
      </c>
      <c r="C125" s="72" t="s">
        <v>3023</v>
      </c>
      <c r="E125" s="83">
        <f>SUMIF(History1!B:B, A125, History1!C:C)</f>
        <v>9</v>
      </c>
      <c r="F125" s="72" t="s">
        <v>3069</v>
      </c>
      <c r="H125" s="72" t="s">
        <v>2981</v>
      </c>
      <c r="J125" s="72" t="s">
        <v>3070</v>
      </c>
      <c r="K125" s="72" t="str">
        <f>LOWER(A125)&amp;".jpeg"</f>
        <v>fp0082.jpeg</v>
      </c>
      <c r="L125" s="57" t="s">
        <v>1094</v>
      </c>
    </row>
    <row r="126" spans="1:12" ht="207.6" customHeight="1">
      <c r="A126" s="56" t="s">
        <v>100</v>
      </c>
      <c r="B126" s="73" t="s">
        <v>3082</v>
      </c>
      <c r="C126" s="72" t="s">
        <v>3023</v>
      </c>
      <c r="E126" s="83">
        <f>SUMIF(History1!B:B, A126, History1!C:C)</f>
        <v>15</v>
      </c>
      <c r="F126" s="72" t="s">
        <v>2988</v>
      </c>
      <c r="H126" s="72" t="s">
        <v>2981</v>
      </c>
      <c r="J126" s="72" t="s">
        <v>3081</v>
      </c>
      <c r="K126" s="72" t="str">
        <f>LOWER(A126)&amp;".jpeg"</f>
        <v>fp0089.jpeg</v>
      </c>
      <c r="L126" s="57" t="s">
        <v>1101</v>
      </c>
    </row>
    <row r="127" spans="1:12" ht="207.6" customHeight="1">
      <c r="A127" s="56" t="s">
        <v>101</v>
      </c>
      <c r="B127" s="73" t="s">
        <v>3083</v>
      </c>
      <c r="C127" s="72" t="s">
        <v>3023</v>
      </c>
      <c r="E127" s="83">
        <f>SUMIF(History1!B:B, A127, History1!C:C)</f>
        <v>64</v>
      </c>
      <c r="F127" s="72" t="s">
        <v>2988</v>
      </c>
      <c r="H127" s="72" t="s">
        <v>2981</v>
      </c>
      <c r="J127" s="72" t="s">
        <v>3025</v>
      </c>
      <c r="K127" s="72" t="str">
        <f>LOWER(A127)&amp;".jpeg"</f>
        <v>fp0090.jpeg</v>
      </c>
      <c r="L127" s="57" t="s">
        <v>1102</v>
      </c>
    </row>
    <row r="128" spans="1:12" ht="207.6" customHeight="1">
      <c r="A128" s="56" t="s">
        <v>102</v>
      </c>
      <c r="B128" s="73" t="s">
        <v>3084</v>
      </c>
      <c r="C128" s="72" t="s">
        <v>3023</v>
      </c>
      <c r="E128" s="83">
        <f>SUMIF(History1!B:B, A128, History1!C:C)</f>
        <v>7</v>
      </c>
      <c r="F128" s="72" t="s">
        <v>2988</v>
      </c>
      <c r="H128" s="72" t="s">
        <v>2981</v>
      </c>
      <c r="J128" s="72" t="s">
        <v>3025</v>
      </c>
      <c r="K128" s="72" t="str">
        <f>LOWER(A128)&amp;".jpeg"</f>
        <v>fp0091.jpeg</v>
      </c>
      <c r="L128" s="57" t="s">
        <v>1103</v>
      </c>
    </row>
    <row r="129" spans="1:12" ht="207.6" customHeight="1">
      <c r="A129" s="56" t="s">
        <v>103</v>
      </c>
      <c r="B129" s="73" t="s">
        <v>3085</v>
      </c>
      <c r="C129" s="72" t="s">
        <v>3023</v>
      </c>
      <c r="E129" s="83">
        <f>SUMIF(History1!B:B, A129, History1!C:C)</f>
        <v>5</v>
      </c>
      <c r="F129" s="72" t="s">
        <v>2988</v>
      </c>
      <c r="H129" s="72" t="s">
        <v>2981</v>
      </c>
      <c r="J129" s="72" t="s">
        <v>3025</v>
      </c>
      <c r="K129" s="72" t="str">
        <f>LOWER(A129)&amp;".jpeg"</f>
        <v>fp0092.jpeg</v>
      </c>
      <c r="L129" s="57" t="s">
        <v>1104</v>
      </c>
    </row>
    <row r="130" spans="1:12" ht="207.6" customHeight="1">
      <c r="A130" s="56" t="s">
        <v>104</v>
      </c>
      <c r="B130" s="73" t="s">
        <v>3086</v>
      </c>
      <c r="C130" s="72" t="s">
        <v>3023</v>
      </c>
      <c r="E130" s="83">
        <f>SUMIF(History1!B:B, A130, History1!C:C)</f>
        <v>7</v>
      </c>
      <c r="F130" s="72" t="s">
        <v>2988</v>
      </c>
      <c r="H130" s="72" t="s">
        <v>2981</v>
      </c>
      <c r="J130" s="72" t="s">
        <v>3025</v>
      </c>
      <c r="K130" s="72" t="str">
        <f>LOWER(A130)&amp;".jpeg"</f>
        <v>fp0093.jpeg</v>
      </c>
      <c r="L130" s="57" t="s">
        <v>1105</v>
      </c>
    </row>
    <row r="131" spans="1:12" ht="207.6" customHeight="1">
      <c r="A131" s="56" t="s">
        <v>105</v>
      </c>
      <c r="B131" s="73" t="s">
        <v>3087</v>
      </c>
      <c r="C131" s="72" t="s">
        <v>3023</v>
      </c>
      <c r="E131" s="83">
        <f>SUMIF(History1!B:B, A131, History1!C:C)</f>
        <v>14</v>
      </c>
      <c r="F131" s="72" t="s">
        <v>2988</v>
      </c>
      <c r="H131" s="72" t="s">
        <v>2981</v>
      </c>
      <c r="J131" s="72" t="s">
        <v>3025</v>
      </c>
      <c r="K131" s="72" t="str">
        <f>LOWER(A131)&amp;".jpeg"</f>
        <v>fp0094.jpeg</v>
      </c>
      <c r="L131" s="57" t="s">
        <v>1106</v>
      </c>
    </row>
    <row r="132" spans="1:12" ht="207.6" customHeight="1">
      <c r="A132" s="56" t="s">
        <v>106</v>
      </c>
      <c r="B132" s="73" t="s">
        <v>3088</v>
      </c>
      <c r="C132" s="72" t="s">
        <v>3023</v>
      </c>
      <c r="E132" s="83">
        <f>SUMIF(History1!B:B, A132, History1!C:C)</f>
        <v>7</v>
      </c>
      <c r="F132" s="72" t="s">
        <v>3090</v>
      </c>
      <c r="H132" s="72" t="s">
        <v>2981</v>
      </c>
      <c r="J132" s="72" t="s">
        <v>3089</v>
      </c>
      <c r="K132" s="72" t="str">
        <f>LOWER(A132)&amp;".jpeg"</f>
        <v>fp0095.jpeg</v>
      </c>
      <c r="L132" s="57" t="s">
        <v>1107</v>
      </c>
    </row>
    <row r="133" spans="1:12" ht="207.6" customHeight="1">
      <c r="A133" s="56" t="s">
        <v>107</v>
      </c>
      <c r="B133" s="73" t="s">
        <v>3091</v>
      </c>
      <c r="C133" s="72" t="s">
        <v>3023</v>
      </c>
      <c r="E133" s="83">
        <f>SUMIF(History1!B:B, A133, History1!C:C)</f>
        <v>7</v>
      </c>
      <c r="F133" s="72" t="s">
        <v>3090</v>
      </c>
      <c r="H133" s="72" t="s">
        <v>2981</v>
      </c>
      <c r="J133" s="72" t="s">
        <v>3089</v>
      </c>
      <c r="K133" s="72" t="str">
        <f>LOWER(A133)&amp;".jpeg"</f>
        <v>fp0096.jpeg</v>
      </c>
      <c r="L133" s="57" t="s">
        <v>1108</v>
      </c>
    </row>
    <row r="134" spans="1:12" ht="207.6" customHeight="1">
      <c r="A134" s="56" t="s">
        <v>108</v>
      </c>
      <c r="B134" s="73" t="s">
        <v>3092</v>
      </c>
      <c r="C134" s="72" t="s">
        <v>3023</v>
      </c>
      <c r="E134" s="83">
        <v>3</v>
      </c>
      <c r="F134" s="72" t="s">
        <v>3093</v>
      </c>
      <c r="H134" s="72" t="s">
        <v>2981</v>
      </c>
      <c r="J134" s="72" t="s">
        <v>3107</v>
      </c>
      <c r="K134" s="72" t="str">
        <f>LOWER(A134)&amp;".jpeg"</f>
        <v>fp0097.jpeg</v>
      </c>
      <c r="L134" s="70" t="s">
        <v>1109</v>
      </c>
    </row>
    <row r="135" spans="1:12" ht="207.6" customHeight="1">
      <c r="A135" s="56" t="s">
        <v>109</v>
      </c>
      <c r="B135" s="73" t="s">
        <v>3094</v>
      </c>
      <c r="C135" s="72" t="s">
        <v>3023</v>
      </c>
      <c r="E135" s="83">
        <f>SUMIF(History1!B:B, A135, History1!C:C)</f>
        <v>85</v>
      </c>
      <c r="F135" s="72" t="s">
        <v>3095</v>
      </c>
      <c r="H135" s="72" t="s">
        <v>2981</v>
      </c>
      <c r="J135" s="72" t="s">
        <v>3096</v>
      </c>
      <c r="K135" s="72" t="str">
        <f>LOWER(A135)&amp;".jpeg"</f>
        <v>fp0098.jpeg</v>
      </c>
      <c r="L135" s="57" t="s">
        <v>1110</v>
      </c>
    </row>
    <row r="136" spans="1:12" ht="207.6" customHeight="1">
      <c r="A136" s="56" t="s">
        <v>115</v>
      </c>
      <c r="B136" s="73" t="s">
        <v>3087</v>
      </c>
      <c r="C136" s="72" t="s">
        <v>3023</v>
      </c>
      <c r="E136" s="83">
        <f>SUMIF(History1!B:B, A136, History1!C:C)</f>
        <v>2</v>
      </c>
      <c r="F136" s="72" t="s">
        <v>3105</v>
      </c>
      <c r="H136" s="72" t="s">
        <v>2981</v>
      </c>
      <c r="J136" s="72" t="s">
        <v>3107</v>
      </c>
      <c r="K136" s="72" t="str">
        <f>LOWER(A136)&amp;".jpeg"</f>
        <v>fp0104.jpeg</v>
      </c>
      <c r="L136" s="57" t="s">
        <v>1116</v>
      </c>
    </row>
    <row r="137" spans="1:12" ht="207.6" customHeight="1">
      <c r="A137" s="56" t="s">
        <v>116</v>
      </c>
      <c r="B137" s="73" t="s">
        <v>3108</v>
      </c>
      <c r="C137" s="72" t="s">
        <v>3023</v>
      </c>
      <c r="E137" s="83">
        <f>SUMIF(History1!B:B, A137, History1!C:C)</f>
        <v>4</v>
      </c>
      <c r="F137" s="72" t="s">
        <v>3093</v>
      </c>
      <c r="H137" s="72" t="s">
        <v>2981</v>
      </c>
      <c r="J137" s="72" t="s">
        <v>3109</v>
      </c>
      <c r="K137" s="72" t="str">
        <f>LOWER(A137)&amp;".jpeg"</f>
        <v>fp0105.jpeg</v>
      </c>
      <c r="L137" s="57" t="s">
        <v>1117</v>
      </c>
    </row>
    <row r="138" spans="1:12" ht="207.6" customHeight="1">
      <c r="A138" s="56" t="s">
        <v>82</v>
      </c>
      <c r="B138" s="73" t="s">
        <v>3041</v>
      </c>
      <c r="C138" s="72" t="s">
        <v>3042</v>
      </c>
      <c r="E138" s="83">
        <f>SUMIF(History1!B:B, A138, History1!C:C)</f>
        <v>7</v>
      </c>
      <c r="F138" s="72" t="s">
        <v>3043</v>
      </c>
      <c r="H138" s="72" t="s">
        <v>2981</v>
      </c>
      <c r="J138" s="72" t="s">
        <v>3039</v>
      </c>
      <c r="K138" s="72" t="s">
        <v>3040</v>
      </c>
      <c r="L138" s="57" t="s">
        <v>1083</v>
      </c>
    </row>
    <row r="139" spans="1:12" ht="207.6" customHeight="1">
      <c r="A139" s="56" t="s">
        <v>92</v>
      </c>
      <c r="B139" s="73" t="s">
        <v>3068</v>
      </c>
      <c r="C139" s="72" t="s">
        <v>3042</v>
      </c>
      <c r="E139" s="83">
        <f>SUMIF(History1!B:B, A139, History1!C:C)</f>
        <v>4</v>
      </c>
      <c r="F139" s="72" t="s">
        <v>3069</v>
      </c>
      <c r="H139" s="72" t="s">
        <v>2981</v>
      </c>
      <c r="J139" s="72" t="s">
        <v>3070</v>
      </c>
      <c r="K139" s="72" t="str">
        <f>LOWER(A139)&amp;".jpeg"</f>
        <v>fp0081.jpeg</v>
      </c>
      <c r="L139" s="57" t="s">
        <v>1093</v>
      </c>
    </row>
    <row r="140" spans="1:12" ht="207.6" customHeight="1">
      <c r="A140" s="56" t="s">
        <v>128</v>
      </c>
      <c r="B140" s="73" t="s">
        <v>3126</v>
      </c>
      <c r="C140" s="72" t="s">
        <v>3042</v>
      </c>
      <c r="E140" s="83">
        <f>SUMIF(History1!B:B, A140, History1!C:C)</f>
        <v>0</v>
      </c>
      <c r="F140" s="72" t="s">
        <v>3101</v>
      </c>
      <c r="H140" s="72" t="s">
        <v>2981</v>
      </c>
      <c r="J140" s="72" t="s">
        <v>3111</v>
      </c>
      <c r="K140" s="72" t="str">
        <f>LOWER(A140)&amp;".jpeg"</f>
        <v>fp0117.jpeg</v>
      </c>
      <c r="L140" s="57" t="s">
        <v>1129</v>
      </c>
    </row>
    <row r="141" spans="1:12" ht="207.6" customHeight="1">
      <c r="A141" s="56" t="s">
        <v>152</v>
      </c>
      <c r="B141" s="73" t="s">
        <v>3129</v>
      </c>
      <c r="C141" s="72" t="s">
        <v>3042</v>
      </c>
      <c r="E141" s="83">
        <f>SUMIF(History1!B:B, A141, History1!C:C)</f>
        <v>0</v>
      </c>
      <c r="F141" s="72" t="s">
        <v>2988</v>
      </c>
      <c r="H141" s="72" t="s">
        <v>2981</v>
      </c>
      <c r="J141" s="72" t="s">
        <v>3134</v>
      </c>
      <c r="K141" s="72" t="str">
        <f>LOWER(A141)&amp;".jpeg"</f>
        <v>fp0141.jpeg</v>
      </c>
      <c r="L141" s="57" t="s">
        <v>1153</v>
      </c>
    </row>
    <row r="142" spans="1:12" ht="207.6" customHeight="1">
      <c r="A142" s="56" t="s">
        <v>187</v>
      </c>
      <c r="B142" s="73" t="s">
        <v>3162</v>
      </c>
      <c r="C142" s="72" t="s">
        <v>3042</v>
      </c>
      <c r="E142" s="83">
        <f>SUMIF(History1!B:B, A142, History1!C:C)</f>
        <v>0</v>
      </c>
      <c r="F142" s="72" t="s">
        <v>3132</v>
      </c>
      <c r="H142" s="72" t="s">
        <v>2981</v>
      </c>
      <c r="J142" s="72" t="s">
        <v>3161</v>
      </c>
      <c r="K142" s="72" t="str">
        <f>LOWER(A142)&amp;".jpeg"</f>
        <v>fp0176.jpeg</v>
      </c>
      <c r="L142" s="57" t="s">
        <v>1188</v>
      </c>
    </row>
    <row r="143" spans="1:12" ht="207.6" customHeight="1">
      <c r="A143" s="56" t="s">
        <v>189</v>
      </c>
      <c r="B143" s="73" t="s">
        <v>3162</v>
      </c>
      <c r="C143" s="72" t="s">
        <v>3042</v>
      </c>
      <c r="E143" s="83">
        <f>SUMIF(History1!B:B, A143, History1!C:C)</f>
        <v>0</v>
      </c>
      <c r="F143" s="72" t="s">
        <v>2988</v>
      </c>
      <c r="H143" s="72" t="s">
        <v>2981</v>
      </c>
      <c r="J143" s="72" t="s">
        <v>3132</v>
      </c>
      <c r="K143" s="72" t="str">
        <f>LOWER(A143)&amp;".jpeg"</f>
        <v>fp0178.jpeg</v>
      </c>
      <c r="L143" s="57" t="s">
        <v>1190</v>
      </c>
    </row>
    <row r="144" spans="1:12" ht="207.6" customHeight="1">
      <c r="A144" s="56" t="s">
        <v>191</v>
      </c>
      <c r="B144" s="73" t="s">
        <v>3163</v>
      </c>
      <c r="C144" s="72" t="s">
        <v>3042</v>
      </c>
      <c r="E144" s="83">
        <f>SUMIF(History1!B:B, A144, History1!C:C)</f>
        <v>0</v>
      </c>
      <c r="F144" s="72" t="s">
        <v>3132</v>
      </c>
      <c r="H144" s="72" t="s">
        <v>2981</v>
      </c>
      <c r="J144" s="72" t="s">
        <v>3161</v>
      </c>
      <c r="K144" s="72" t="str">
        <f>LOWER(A144)&amp;".jpeg"</f>
        <v>fp0180.jpeg</v>
      </c>
      <c r="L144" s="57" t="s">
        <v>1192</v>
      </c>
    </row>
    <row r="145" spans="1:12" ht="207.6" customHeight="1">
      <c r="A145" s="56" t="s">
        <v>124</v>
      </c>
      <c r="B145" s="73" t="s">
        <v>3099</v>
      </c>
      <c r="C145" s="72" t="s">
        <v>3121</v>
      </c>
      <c r="E145" s="83">
        <f>SUMIF(History1!B:B, A145, History1!C:C)</f>
        <v>39</v>
      </c>
      <c r="F145" s="72" t="s">
        <v>3101</v>
      </c>
      <c r="H145" s="72" t="s">
        <v>2981</v>
      </c>
      <c r="J145" s="72" t="s">
        <v>3107</v>
      </c>
      <c r="K145" s="72" t="str">
        <f>LOWER(A145)&amp;".jpeg"</f>
        <v>fp0113.jpeg</v>
      </c>
      <c r="L145" s="57" t="s">
        <v>1125</v>
      </c>
    </row>
    <row r="146" spans="1:12" ht="207.6" customHeight="1">
      <c r="A146" s="56" t="s">
        <v>137</v>
      </c>
      <c r="B146" s="73" t="s">
        <v>3127</v>
      </c>
      <c r="C146" s="72" t="s">
        <v>3121</v>
      </c>
      <c r="E146" s="83">
        <f>SUMIF(History1!B:B, A146, History1!C:C)</f>
        <v>15</v>
      </c>
      <c r="F146" s="72" t="s">
        <v>3101</v>
      </c>
      <c r="H146" s="72" t="s">
        <v>2981</v>
      </c>
      <c r="K146" s="72" t="str">
        <f>LOWER(A146)&amp;".jpeg"</f>
        <v>fp0126.jpeg</v>
      </c>
      <c r="L146" s="57" t="s">
        <v>1138</v>
      </c>
    </row>
    <row r="147" spans="1:12" ht="207.6" customHeight="1">
      <c r="A147" s="56" t="s">
        <v>138</v>
      </c>
      <c r="B147" s="73" t="s">
        <v>3127</v>
      </c>
      <c r="C147" s="72" t="s">
        <v>3121</v>
      </c>
      <c r="E147" s="83">
        <f>SUMIF(History1!B:B, A147, History1!C:C)</f>
        <v>15</v>
      </c>
      <c r="F147" s="72" t="s">
        <v>3101</v>
      </c>
      <c r="H147" s="72" t="s">
        <v>2981</v>
      </c>
      <c r="K147" s="72" t="str">
        <f>LOWER(A147)&amp;".jpeg"</f>
        <v>fp0127.jpeg</v>
      </c>
      <c r="L147" s="57" t="s">
        <v>1139</v>
      </c>
    </row>
    <row r="148" spans="1:12" ht="207.6" customHeight="1">
      <c r="A148" s="56" t="s">
        <v>139</v>
      </c>
      <c r="B148" s="73" t="s">
        <v>3127</v>
      </c>
      <c r="C148" s="72" t="s">
        <v>3121</v>
      </c>
      <c r="E148" s="83">
        <f>SUMIF(History1!B:B, A148, History1!C:C)</f>
        <v>15</v>
      </c>
      <c r="F148" s="72" t="s">
        <v>3101</v>
      </c>
      <c r="H148" s="72" t="s">
        <v>2981</v>
      </c>
      <c r="K148" s="72" t="str">
        <f>LOWER(A148)&amp;".jpeg"</f>
        <v>fp0128.jpeg</v>
      </c>
      <c r="L148" s="57" t="s">
        <v>1140</v>
      </c>
    </row>
    <row r="149" spans="1:12" ht="207.6" customHeight="1">
      <c r="A149" s="56" t="s">
        <v>140</v>
      </c>
      <c r="B149" s="73" t="s">
        <v>3127</v>
      </c>
      <c r="C149" s="72" t="s">
        <v>3121</v>
      </c>
      <c r="E149" s="83">
        <f>SUMIF(History1!B:B, A149, History1!C:C)</f>
        <v>15</v>
      </c>
      <c r="F149" s="72" t="s">
        <v>3101</v>
      </c>
      <c r="H149" s="72" t="s">
        <v>2981</v>
      </c>
      <c r="K149" s="72" t="str">
        <f>LOWER(A149)&amp;".jpeg"</f>
        <v>fp0129.jpeg</v>
      </c>
      <c r="L149" s="57" t="s">
        <v>1141</v>
      </c>
    </row>
    <row r="150" spans="1:12" ht="207.6" customHeight="1">
      <c r="A150" s="56" t="s">
        <v>141</v>
      </c>
      <c r="B150" s="73" t="s">
        <v>3127</v>
      </c>
      <c r="C150" s="72" t="s">
        <v>3121</v>
      </c>
      <c r="E150" s="83">
        <f>SUMIF(History1!B:B, A150, History1!C:C)</f>
        <v>15</v>
      </c>
      <c r="F150" s="72" t="s">
        <v>3101</v>
      </c>
      <c r="H150" s="72" t="s">
        <v>2981</v>
      </c>
      <c r="K150" s="72" t="str">
        <f>LOWER(A150)&amp;".jpeg"</f>
        <v>fp0130.jpeg</v>
      </c>
      <c r="L150" s="57" t="s">
        <v>1142</v>
      </c>
    </row>
    <row r="151" spans="1:12" ht="207.6" customHeight="1">
      <c r="A151" s="56" t="s">
        <v>142</v>
      </c>
      <c r="B151" s="73" t="s">
        <v>3127</v>
      </c>
      <c r="C151" s="72" t="s">
        <v>3121</v>
      </c>
      <c r="E151" s="83">
        <f>SUMIF(History1!B:B, A151, History1!C:C)</f>
        <v>15</v>
      </c>
      <c r="F151" s="72" t="s">
        <v>3101</v>
      </c>
      <c r="H151" s="72" t="s">
        <v>2981</v>
      </c>
      <c r="K151" s="72" t="str">
        <f>LOWER(A151)&amp;".jpeg"</f>
        <v>fp0131.jpeg</v>
      </c>
      <c r="L151" s="57" t="s">
        <v>1143</v>
      </c>
    </row>
    <row r="152" spans="1:12" ht="207.6" customHeight="1">
      <c r="A152" s="56" t="s">
        <v>143</v>
      </c>
      <c r="B152" s="73" t="s">
        <v>3127</v>
      </c>
      <c r="C152" s="72" t="s">
        <v>3121</v>
      </c>
      <c r="E152" s="83">
        <f>SUMIF(History1!B:B, A152, History1!C:C)</f>
        <v>15</v>
      </c>
      <c r="F152" s="72" t="s">
        <v>3101</v>
      </c>
      <c r="H152" s="72" t="s">
        <v>2981</v>
      </c>
      <c r="K152" s="72" t="str">
        <f>LOWER(A152)&amp;".jpeg"</f>
        <v>fp0132.jpeg</v>
      </c>
      <c r="L152" s="57" t="s">
        <v>1144</v>
      </c>
    </row>
    <row r="153" spans="1:12" ht="207.6" customHeight="1">
      <c r="A153" s="56" t="s">
        <v>186</v>
      </c>
      <c r="B153" s="73" t="s">
        <v>3160</v>
      </c>
      <c r="C153" s="72" t="s">
        <v>3121</v>
      </c>
      <c r="E153" s="83">
        <f>SUMIF(History1!B:B, A153, History1!C:C)</f>
        <v>50</v>
      </c>
      <c r="F153" s="72" t="s">
        <v>2988</v>
      </c>
      <c r="H153" s="72" t="s">
        <v>2981</v>
      </c>
      <c r="J153" s="72" t="s">
        <v>3161</v>
      </c>
      <c r="K153" s="72" t="str">
        <f>LOWER(A153)&amp;".jpeg"</f>
        <v>fp0175.jpeg</v>
      </c>
      <c r="L153" s="57" t="s">
        <v>1187</v>
      </c>
    </row>
    <row r="154" spans="1:12" ht="207.6" customHeight="1">
      <c r="A154" s="56" t="s">
        <v>177</v>
      </c>
      <c r="B154" s="73" t="s">
        <v>3135</v>
      </c>
      <c r="C154" s="72" t="s">
        <v>3159</v>
      </c>
      <c r="E154" s="83">
        <f>SUMIF(History1!B:B, A154, History1!C:C)</f>
        <v>30</v>
      </c>
      <c r="F154" s="72" t="s">
        <v>2988</v>
      </c>
      <c r="H154" s="72" t="s">
        <v>2981</v>
      </c>
      <c r="K154" s="72" t="str">
        <f>LOWER(A154)&amp;".jpeg"</f>
        <v>fp0166.jpeg</v>
      </c>
      <c r="L154" s="57" t="s">
        <v>1178</v>
      </c>
    </row>
    <row r="155" spans="1:12" ht="207.6" customHeight="1">
      <c r="A155" s="56" t="s">
        <v>178</v>
      </c>
      <c r="B155" s="73" t="s">
        <v>3135</v>
      </c>
      <c r="C155" s="72" t="s">
        <v>3159</v>
      </c>
      <c r="E155" s="83">
        <f>SUMIF(History1!B:B, A155, History1!C:C)</f>
        <v>40</v>
      </c>
      <c r="F155" s="72" t="s">
        <v>2988</v>
      </c>
      <c r="H155" s="72" t="s">
        <v>2981</v>
      </c>
      <c r="K155" s="72" t="str">
        <f>LOWER(A155)&amp;".jpeg"</f>
        <v>fp0167.jpeg</v>
      </c>
      <c r="L155" s="57" t="s">
        <v>1179</v>
      </c>
    </row>
    <row r="156" spans="1:12" ht="207.6" customHeight="1">
      <c r="A156" s="56" t="s">
        <v>179</v>
      </c>
      <c r="B156" s="73" t="s">
        <v>3135</v>
      </c>
      <c r="C156" s="72" t="s">
        <v>3159</v>
      </c>
      <c r="E156" s="83">
        <f>SUMIF(History1!B:B, A156, History1!C:C)</f>
        <v>25</v>
      </c>
      <c r="F156" s="72" t="s">
        <v>2988</v>
      </c>
      <c r="H156" s="72" t="s">
        <v>2981</v>
      </c>
      <c r="K156" s="72" t="str">
        <f>LOWER(A156)&amp;".jpeg"</f>
        <v>fp0168.jpeg</v>
      </c>
      <c r="L156" s="57" t="s">
        <v>1180</v>
      </c>
    </row>
    <row r="157" spans="1:12" ht="207.6" customHeight="1">
      <c r="A157" s="56" t="s">
        <v>180</v>
      </c>
      <c r="B157" s="73" t="s">
        <v>3129</v>
      </c>
      <c r="C157" s="72" t="s">
        <v>3159</v>
      </c>
      <c r="E157" s="83">
        <f>SUMIF(History1!B:B, A157, History1!C:C)</f>
        <v>40</v>
      </c>
      <c r="F157" s="72" t="s">
        <v>2988</v>
      </c>
      <c r="H157" s="72" t="s">
        <v>2981</v>
      </c>
      <c r="K157" s="72" t="str">
        <f>LOWER(A157)&amp;".jpeg"</f>
        <v>fp0169.jpeg</v>
      </c>
      <c r="L157" s="57" t="s">
        <v>1181</v>
      </c>
    </row>
    <row r="158" spans="1:12" ht="207.6" customHeight="1">
      <c r="A158" s="56" t="s">
        <v>181</v>
      </c>
      <c r="B158" s="73" t="s">
        <v>3129</v>
      </c>
      <c r="C158" s="72" t="s">
        <v>3159</v>
      </c>
      <c r="E158" s="83">
        <f>SUMIF(History1!B:B, A158, History1!C:C)</f>
        <v>13</v>
      </c>
      <c r="F158" s="72" t="s">
        <v>3069</v>
      </c>
      <c r="H158" s="72" t="s">
        <v>2981</v>
      </c>
      <c r="K158" s="72" t="str">
        <f>LOWER(A158)&amp;".jpeg"</f>
        <v>fp0170.jpeg</v>
      </c>
      <c r="L158" s="57" t="s">
        <v>1182</v>
      </c>
    </row>
    <row r="159" spans="1:12" ht="207.6" customHeight="1">
      <c r="A159" s="56" t="s">
        <v>182</v>
      </c>
      <c r="B159" s="73" t="s">
        <v>3129</v>
      </c>
      <c r="C159" s="72" t="s">
        <v>3159</v>
      </c>
      <c r="E159" s="83">
        <f>SUMIF(History1!B:B, A159, History1!C:C)</f>
        <v>17</v>
      </c>
      <c r="F159" s="72" t="s">
        <v>3069</v>
      </c>
      <c r="H159" s="72" t="s">
        <v>2981</v>
      </c>
      <c r="K159" s="72" t="str">
        <f>LOWER(A159)&amp;".jpeg"</f>
        <v>fp0171.jpeg</v>
      </c>
      <c r="L159" s="57" t="s">
        <v>1183</v>
      </c>
    </row>
    <row r="160" spans="1:12" ht="207.6" customHeight="1">
      <c r="A160" s="56" t="s">
        <v>183</v>
      </c>
      <c r="B160" s="73" t="s">
        <v>3129</v>
      </c>
      <c r="C160" s="72" t="s">
        <v>3159</v>
      </c>
      <c r="E160" s="83">
        <f>SUMIF(History1!B:B, A160, History1!C:C)</f>
        <v>20</v>
      </c>
      <c r="F160" s="72" t="s">
        <v>2988</v>
      </c>
      <c r="H160" s="72" t="s">
        <v>2981</v>
      </c>
      <c r="K160" s="72" t="str">
        <f>LOWER(A160)&amp;".jpeg"</f>
        <v>fp0172.jpeg</v>
      </c>
      <c r="L160" s="57" t="s">
        <v>1184</v>
      </c>
    </row>
    <row r="161" spans="1:12" ht="207.6" customHeight="1">
      <c r="A161" s="56" t="s">
        <v>184</v>
      </c>
      <c r="B161" s="73" t="s">
        <v>3131</v>
      </c>
      <c r="C161" s="72" t="s">
        <v>3159</v>
      </c>
      <c r="E161" s="83">
        <f>SUMIF(History1!B:B, A161, History1!C:C)</f>
        <v>8</v>
      </c>
      <c r="F161" s="72" t="s">
        <v>2988</v>
      </c>
      <c r="H161" s="72" t="s">
        <v>2981</v>
      </c>
      <c r="K161" s="72" t="str">
        <f>LOWER(A161)&amp;".jpeg"</f>
        <v>fp0173.jpeg</v>
      </c>
      <c r="L161" s="57" t="s">
        <v>1185</v>
      </c>
    </row>
    <row r="162" spans="1:12" ht="207.6" customHeight="1">
      <c r="A162" s="56" t="s">
        <v>185</v>
      </c>
      <c r="B162" s="73" t="s">
        <v>3129</v>
      </c>
      <c r="C162" s="72" t="s">
        <v>3159</v>
      </c>
      <c r="E162" s="83">
        <f>SUMIF(History1!B:B, A162, History1!C:C)</f>
        <v>19</v>
      </c>
      <c r="F162" s="72" t="s">
        <v>3105</v>
      </c>
      <c r="H162" s="72" t="s">
        <v>2981</v>
      </c>
      <c r="K162" s="72" t="str">
        <f>LOWER(A162)&amp;".jpeg"</f>
        <v>fp0174.jpeg</v>
      </c>
      <c r="L162" s="57" t="s">
        <v>1186</v>
      </c>
    </row>
    <row r="163" spans="1:12" ht="207.6" customHeight="1">
      <c r="A163" s="56" t="s">
        <v>188</v>
      </c>
      <c r="B163" s="73" t="s">
        <v>3137</v>
      </c>
      <c r="C163" s="72" t="s">
        <v>3159</v>
      </c>
      <c r="E163" s="83">
        <f>SUMIF(History1!B:B, A163, History1!C:C)</f>
        <v>50</v>
      </c>
      <c r="F163" s="72" t="s">
        <v>2988</v>
      </c>
      <c r="H163" s="72" t="s">
        <v>2981</v>
      </c>
      <c r="J163" s="72" t="s">
        <v>3111</v>
      </c>
      <c r="K163" s="72" t="str">
        <f>LOWER(A163)&amp;".jpeg"</f>
        <v>fp0177.jpeg</v>
      </c>
      <c r="L163" s="57" t="s">
        <v>1189</v>
      </c>
    </row>
    <row r="164" spans="1:12" ht="207.6" customHeight="1">
      <c r="A164" s="56" t="s">
        <v>190</v>
      </c>
      <c r="B164" s="73" t="s">
        <v>3137</v>
      </c>
      <c r="C164" s="72" t="s">
        <v>3159</v>
      </c>
      <c r="E164" s="83">
        <f>SUMIF(History1!B:B, A164, History1!C:C)</f>
        <v>37</v>
      </c>
      <c r="F164" s="72" t="s">
        <v>2988</v>
      </c>
      <c r="H164" s="72" t="s">
        <v>2981</v>
      </c>
      <c r="J164" s="72" t="s">
        <v>3107</v>
      </c>
      <c r="K164" s="72" t="str">
        <f>LOWER(A164)&amp;".jpeg"</f>
        <v>fp0179.jpeg</v>
      </c>
      <c r="L164" s="57" t="s">
        <v>1191</v>
      </c>
    </row>
    <row r="165" spans="1:12" ht="207.6" customHeight="1">
      <c r="A165" s="56" t="s">
        <v>62</v>
      </c>
      <c r="B165" s="73" t="s">
        <v>2979</v>
      </c>
      <c r="C165" s="72" t="s">
        <v>2987</v>
      </c>
      <c r="E165" s="83">
        <f>SUMIF(History1!B:B, A165, History1!C:C)</f>
        <v>85</v>
      </c>
      <c r="F165" s="72" t="s">
        <v>2980</v>
      </c>
      <c r="H165" s="72" t="s">
        <v>2981</v>
      </c>
      <c r="J165" s="72" t="s">
        <v>2982</v>
      </c>
      <c r="K165" s="72" t="s">
        <v>2983</v>
      </c>
      <c r="L165" s="70" t="s">
        <v>1063</v>
      </c>
    </row>
    <row r="166" spans="1:12" ht="207.6" customHeight="1">
      <c r="A166" s="56" t="s">
        <v>63</v>
      </c>
      <c r="B166" s="73" t="s">
        <v>2979</v>
      </c>
      <c r="C166" s="72" t="s">
        <v>2987</v>
      </c>
      <c r="E166" s="83">
        <f>SUMIF(History1!B:B, A166, History1!C:C)</f>
        <v>375</v>
      </c>
      <c r="F166" s="72" t="s">
        <v>2988</v>
      </c>
      <c r="H166" s="72" t="s">
        <v>2981</v>
      </c>
      <c r="J166" s="72" t="s">
        <v>2982</v>
      </c>
      <c r="K166" s="72" t="s">
        <v>2994</v>
      </c>
      <c r="L166" s="70" t="s">
        <v>1064</v>
      </c>
    </row>
    <row r="167" spans="1:12" ht="207.6" customHeight="1">
      <c r="A167" s="56" t="s">
        <v>64</v>
      </c>
      <c r="B167" s="73" t="s">
        <v>2989</v>
      </c>
      <c r="C167" s="72" t="s">
        <v>2987</v>
      </c>
      <c r="E167" s="83">
        <f>SUMIF(History1!B:B, A167, History1!C:C)</f>
        <v>80</v>
      </c>
      <c r="F167" s="72" t="s">
        <v>2988</v>
      </c>
      <c r="H167" s="72" t="s">
        <v>2981</v>
      </c>
      <c r="J167" s="72" t="s">
        <v>2982</v>
      </c>
      <c r="K167" s="72" t="s">
        <v>2995</v>
      </c>
      <c r="L167" s="57" t="s">
        <v>1065</v>
      </c>
    </row>
    <row r="168" spans="1:12" ht="207.6" customHeight="1">
      <c r="A168" s="56" t="s">
        <v>65</v>
      </c>
      <c r="B168" s="73" t="s">
        <v>2990</v>
      </c>
      <c r="C168" s="72" t="s">
        <v>2987</v>
      </c>
      <c r="E168" s="83">
        <f>SUMIF(History1!B:B, A168, History1!C:C)</f>
        <v>135</v>
      </c>
      <c r="F168" s="72" t="s">
        <v>2988</v>
      </c>
      <c r="H168" s="72" t="s">
        <v>2981</v>
      </c>
      <c r="J168" s="72" t="s">
        <v>2991</v>
      </c>
      <c r="K168" s="72" t="s">
        <v>2996</v>
      </c>
      <c r="L168" s="57" t="s">
        <v>1066</v>
      </c>
    </row>
    <row r="169" spans="1:12" ht="207.6" customHeight="1">
      <c r="A169" s="56" t="s">
        <v>66</v>
      </c>
      <c r="B169" s="73" t="s">
        <v>2990</v>
      </c>
      <c r="C169" s="72" t="s">
        <v>2987</v>
      </c>
      <c r="E169" s="83">
        <f>SUMIF(History1!B:B, A169, History1!C:C)</f>
        <v>20</v>
      </c>
      <c r="F169" s="72" t="s">
        <v>2988</v>
      </c>
      <c r="H169" s="72" t="s">
        <v>2981</v>
      </c>
      <c r="J169" s="72" t="s">
        <v>2992</v>
      </c>
      <c r="K169" s="72" t="s">
        <v>2997</v>
      </c>
      <c r="L169" s="70" t="s">
        <v>1067</v>
      </c>
    </row>
    <row r="170" spans="1:12" ht="207.6" customHeight="1">
      <c r="A170" s="56" t="s">
        <v>67</v>
      </c>
      <c r="B170" s="73" t="s">
        <v>2990</v>
      </c>
      <c r="C170" s="72" t="s">
        <v>2987</v>
      </c>
      <c r="E170" s="83">
        <f>SUMIF(History1!B:B, A170, History1!C:C)</f>
        <v>115</v>
      </c>
      <c r="F170" s="72" t="s">
        <v>2988</v>
      </c>
      <c r="H170" s="72" t="s">
        <v>2981</v>
      </c>
      <c r="J170" s="72" t="s">
        <v>2993</v>
      </c>
      <c r="K170" s="72" t="s">
        <v>2998</v>
      </c>
      <c r="L170" s="57" t="s">
        <v>1068</v>
      </c>
    </row>
    <row r="171" spans="1:12" ht="207.6" customHeight="1">
      <c r="A171" s="56" t="s">
        <v>68</v>
      </c>
      <c r="B171" s="73" t="s">
        <v>3000</v>
      </c>
      <c r="C171" s="72" t="s">
        <v>2987</v>
      </c>
      <c r="E171" s="83">
        <f>SUMIF(History1!B:B, A171, History1!C:C)</f>
        <v>110</v>
      </c>
      <c r="F171" s="72" t="s">
        <v>2988</v>
      </c>
      <c r="H171" s="72" t="s">
        <v>2981</v>
      </c>
      <c r="J171" s="72" t="s">
        <v>3001</v>
      </c>
      <c r="K171" s="72" t="s">
        <v>2999</v>
      </c>
      <c r="L171" s="57" t="s">
        <v>1069</v>
      </c>
    </row>
    <row r="172" spans="1:12" ht="207.6" customHeight="1">
      <c r="A172" s="56" t="s">
        <v>129</v>
      </c>
      <c r="B172" s="73" t="s">
        <v>3127</v>
      </c>
      <c r="C172" s="72" t="s">
        <v>2987</v>
      </c>
      <c r="E172" s="83">
        <f>SUMIF(History1!B:B, A172, History1!C:C)</f>
        <v>62</v>
      </c>
      <c r="F172" s="72" t="s">
        <v>3090</v>
      </c>
      <c r="H172" s="72" t="s">
        <v>2981</v>
      </c>
      <c r="J172" s="72" t="s">
        <v>3111</v>
      </c>
      <c r="K172" s="72" t="str">
        <f>LOWER(A172)&amp;".jpeg"</f>
        <v>fp0118.jpeg</v>
      </c>
      <c r="L172" s="57" t="s">
        <v>1130</v>
      </c>
    </row>
    <row r="173" spans="1:12" ht="207.6" customHeight="1">
      <c r="A173" s="56" t="s">
        <v>130</v>
      </c>
      <c r="B173" s="73" t="s">
        <v>3127</v>
      </c>
      <c r="C173" s="72" t="s">
        <v>2987</v>
      </c>
      <c r="E173" s="83">
        <f>SUMIF(History1!B:B, A173, History1!C:C)</f>
        <v>43</v>
      </c>
      <c r="F173" s="72" t="s">
        <v>3128</v>
      </c>
      <c r="H173" s="72" t="s">
        <v>2981</v>
      </c>
      <c r="J173" s="72" t="s">
        <v>3111</v>
      </c>
      <c r="K173" s="72" t="str">
        <f>LOWER(A173)&amp;".jpeg"</f>
        <v>fp0119.jpeg</v>
      </c>
      <c r="L173" s="57" t="s">
        <v>1131</v>
      </c>
    </row>
    <row r="174" spans="1:12" ht="207.6" customHeight="1">
      <c r="A174" s="56" t="s">
        <v>156</v>
      </c>
      <c r="B174" s="73" t="s">
        <v>3138</v>
      </c>
      <c r="C174" s="72" t="s">
        <v>2987</v>
      </c>
      <c r="E174" s="83">
        <f>SUMIF(History1!B:B, A174, History1!C:C)</f>
        <v>14</v>
      </c>
      <c r="F174" s="72" t="s">
        <v>3139</v>
      </c>
      <c r="H174" s="72" t="s">
        <v>2981</v>
      </c>
      <c r="J174" s="72" t="s">
        <v>3140</v>
      </c>
      <c r="K174" s="72" t="str">
        <f>LOWER(A174)&amp;".jpeg"</f>
        <v>fp0145.jpeg</v>
      </c>
      <c r="L174" s="57" t="s">
        <v>1157</v>
      </c>
    </row>
    <row r="175" spans="1:12" ht="207.6" customHeight="1">
      <c r="A175" s="56" t="s">
        <v>157</v>
      </c>
      <c r="B175" s="73" t="s">
        <v>3138</v>
      </c>
      <c r="C175" s="72" t="s">
        <v>2987</v>
      </c>
      <c r="E175" s="83">
        <f>SUMIF(History1!B:B, A175, History1!C:C)</f>
        <v>19</v>
      </c>
      <c r="F175" s="72" t="s">
        <v>3139</v>
      </c>
      <c r="H175" s="72" t="s">
        <v>2981</v>
      </c>
      <c r="J175" s="72" t="s">
        <v>3140</v>
      </c>
      <c r="K175" s="72" t="str">
        <f>LOWER(A175)&amp;".jpeg"</f>
        <v>fp0146.jpeg</v>
      </c>
      <c r="L175" s="57" t="s">
        <v>1158</v>
      </c>
    </row>
    <row r="176" spans="1:12" ht="207.6" customHeight="1">
      <c r="A176" s="56" t="s">
        <v>158</v>
      </c>
      <c r="B176" s="73" t="s">
        <v>3138</v>
      </c>
      <c r="C176" s="72" t="s">
        <v>2987</v>
      </c>
      <c r="E176" s="83">
        <f>SUMIF(History1!B:B, A176, History1!C:C)</f>
        <v>15</v>
      </c>
      <c r="F176" s="72" t="s">
        <v>3141</v>
      </c>
      <c r="H176" s="72" t="s">
        <v>2981</v>
      </c>
      <c r="J176" s="72" t="s">
        <v>3140</v>
      </c>
      <c r="K176" s="72" t="str">
        <f>LOWER(A176)&amp;".jpeg"</f>
        <v>fp0147.jpeg</v>
      </c>
      <c r="L176" s="57" t="s">
        <v>1159</v>
      </c>
    </row>
    <row r="177" spans="1:12" ht="207.6" customHeight="1">
      <c r="A177" s="56" t="s">
        <v>208</v>
      </c>
      <c r="B177" s="73" t="s">
        <v>3199</v>
      </c>
      <c r="C177" s="72" t="s">
        <v>2987</v>
      </c>
      <c r="E177" s="83">
        <f>SUMIF(History1!B:B, A177, History1!C:C)</f>
        <v>95</v>
      </c>
      <c r="F177" s="72" t="s">
        <v>3200</v>
      </c>
      <c r="H177" s="72" t="s">
        <v>2981</v>
      </c>
      <c r="J177" s="72" t="s">
        <v>3201</v>
      </c>
      <c r="K177" s="72" t="str">
        <f>LOWER(A177)&amp;".jpeg"</f>
        <v>fp0197.jpeg</v>
      </c>
      <c r="L177" s="57" t="s">
        <v>1209</v>
      </c>
    </row>
    <row r="178" spans="1:12" ht="207.6" customHeight="1">
      <c r="A178" s="56" t="s">
        <v>70</v>
      </c>
      <c r="B178" s="73" t="s">
        <v>3005</v>
      </c>
      <c r="C178" s="72" t="s">
        <v>3006</v>
      </c>
      <c r="E178" s="83">
        <f>SUMIF(History1!B:B, A178, History1!C:C)</f>
        <v>105</v>
      </c>
      <c r="F178" s="72" t="s">
        <v>2988</v>
      </c>
      <c r="H178" s="72" t="s">
        <v>2981</v>
      </c>
      <c r="J178" s="72" t="s">
        <v>3007</v>
      </c>
      <c r="K178" s="72" t="s">
        <v>3010</v>
      </c>
      <c r="L178" s="57" t="s">
        <v>1071</v>
      </c>
    </row>
    <row r="179" spans="1:12" ht="207.6" customHeight="1">
      <c r="A179" s="56" t="s">
        <v>72</v>
      </c>
      <c r="B179" s="73" t="s">
        <v>3012</v>
      </c>
      <c r="C179" s="72" t="s">
        <v>3006</v>
      </c>
      <c r="E179" s="83">
        <f>SUMIF(History1!B:B, A179, History1!C:C)</f>
        <v>9</v>
      </c>
      <c r="F179" s="72" t="s">
        <v>2988</v>
      </c>
      <c r="H179" s="72" t="s">
        <v>3014</v>
      </c>
      <c r="J179" s="72" t="s">
        <v>3007</v>
      </c>
      <c r="K179" s="72" t="s">
        <v>3013</v>
      </c>
      <c r="L179" s="57" t="s">
        <v>1073</v>
      </c>
    </row>
    <row r="180" spans="1:12" ht="207.6" customHeight="1">
      <c r="A180" s="56" t="s">
        <v>86</v>
      </c>
      <c r="B180" s="73" t="s">
        <v>3052</v>
      </c>
      <c r="C180" s="72" t="s">
        <v>3006</v>
      </c>
      <c r="E180" s="83">
        <f>SUMIF(History1!B:B, A180, History1!C:C)</f>
        <v>24</v>
      </c>
      <c r="F180" s="72" t="s">
        <v>2988</v>
      </c>
      <c r="H180" s="72" t="s">
        <v>2981</v>
      </c>
      <c r="J180" s="72" t="s">
        <v>3053</v>
      </c>
      <c r="K180" s="72" t="s">
        <v>3054</v>
      </c>
      <c r="L180" s="57" t="s">
        <v>1087</v>
      </c>
    </row>
    <row r="181" spans="1:12" ht="207.6" customHeight="1">
      <c r="A181" s="56" t="s">
        <v>87</v>
      </c>
      <c r="B181" s="73" t="s">
        <v>3055</v>
      </c>
      <c r="C181" s="72" t="s">
        <v>3006</v>
      </c>
      <c r="E181" s="83">
        <f>SUMIF(History1!B:B, A181, History1!C:C)</f>
        <v>8</v>
      </c>
      <c r="F181" s="72" t="s">
        <v>3056</v>
      </c>
      <c r="H181" s="72" t="s">
        <v>2981</v>
      </c>
      <c r="J181" s="72" t="s">
        <v>3057</v>
      </c>
      <c r="K181" s="72" t="s">
        <v>3058</v>
      </c>
      <c r="L181" s="57" t="s">
        <v>1088</v>
      </c>
    </row>
    <row r="182" spans="1:12" ht="207.6" customHeight="1">
      <c r="A182" s="56" t="s">
        <v>127</v>
      </c>
      <c r="B182" s="73" t="s">
        <v>3124</v>
      </c>
      <c r="C182" s="72" t="s">
        <v>3125</v>
      </c>
      <c r="E182" s="83">
        <f>SUMIF(History1!B:B, A182, History1!C:C)</f>
        <v>30</v>
      </c>
      <c r="F182" s="72" t="s">
        <v>3090</v>
      </c>
      <c r="H182" s="72" t="s">
        <v>2981</v>
      </c>
      <c r="J182" s="72" t="s">
        <v>3111</v>
      </c>
      <c r="K182" s="72" t="str">
        <f>LOWER(A182)&amp;".jpeg"</f>
        <v>fp0116.jpeg</v>
      </c>
      <c r="L182" s="57" t="s">
        <v>1128</v>
      </c>
    </row>
    <row r="183" spans="1:12" ht="207.6" customHeight="1">
      <c r="A183" s="56" t="s">
        <v>144</v>
      </c>
      <c r="B183" s="73" t="s">
        <v>3131</v>
      </c>
      <c r="C183" s="72" t="s">
        <v>3125</v>
      </c>
      <c r="E183" s="83">
        <f>SUMIF(History1!B:B, A183, History1!C:C)</f>
        <v>7</v>
      </c>
      <c r="F183" s="72" t="s">
        <v>3101</v>
      </c>
      <c r="H183" s="72" t="s">
        <v>2981</v>
      </c>
      <c r="J183" s="72" t="s">
        <v>3107</v>
      </c>
      <c r="K183" s="72" t="str">
        <f>LOWER(A183)&amp;".jpeg"</f>
        <v>fp0133.jpeg</v>
      </c>
      <c r="L183" s="57" t="s">
        <v>1145</v>
      </c>
    </row>
    <row r="184" spans="1:12" ht="207.6" customHeight="1">
      <c r="A184" s="56" t="s">
        <v>145</v>
      </c>
      <c r="B184" s="73" t="s">
        <v>3131</v>
      </c>
      <c r="C184" s="72" t="s">
        <v>3125</v>
      </c>
      <c r="E184" s="83">
        <f>SUMIF(History1!B:B, A184, History1!C:C)</f>
        <v>14</v>
      </c>
      <c r="F184" s="72" t="s">
        <v>3101</v>
      </c>
      <c r="H184" s="72" t="s">
        <v>2981</v>
      </c>
      <c r="J184" s="72" t="s">
        <v>3130</v>
      </c>
      <c r="K184" s="72" t="str">
        <f>LOWER(A184)&amp;".jpeg"</f>
        <v>fp0134.jpeg</v>
      </c>
      <c r="L184" s="57" t="s">
        <v>1146</v>
      </c>
    </row>
    <row r="185" spans="1:12" ht="207.6" customHeight="1">
      <c r="A185" s="56" t="s">
        <v>146</v>
      </c>
      <c r="B185" s="73" t="s">
        <v>3131</v>
      </c>
      <c r="C185" s="72" t="s">
        <v>3125</v>
      </c>
      <c r="E185" s="83">
        <f>SUMIF(History1!B:B, A185, History1!C:C)</f>
        <v>15</v>
      </c>
      <c r="F185" s="72" t="s">
        <v>3101</v>
      </c>
      <c r="H185" s="72" t="s">
        <v>2981</v>
      </c>
      <c r="J185" s="72" t="s">
        <v>3111</v>
      </c>
      <c r="K185" s="72" t="str">
        <f>LOWER(A185)&amp;".jpeg"</f>
        <v>fp0135.jpeg</v>
      </c>
      <c r="L185" s="57" t="s">
        <v>1147</v>
      </c>
    </row>
    <row r="186" spans="1:12" ht="207.6" customHeight="1">
      <c r="A186" s="56" t="s">
        <v>209</v>
      </c>
      <c r="B186" s="73" t="s">
        <v>3131</v>
      </c>
      <c r="C186" s="72" t="s">
        <v>3125</v>
      </c>
      <c r="E186" s="83">
        <f>SUMIF(History1!B:B, A186, History1!C:C)</f>
        <v>2</v>
      </c>
      <c r="F186" s="72" t="s">
        <v>3069</v>
      </c>
      <c r="H186" s="72" t="s">
        <v>2981</v>
      </c>
      <c r="J186" s="72" t="s">
        <v>3202</v>
      </c>
      <c r="K186" s="72" t="str">
        <f>LOWER(A186)&amp;".jpeg"</f>
        <v>fp0198.jpeg</v>
      </c>
      <c r="L186" s="57" t="s">
        <v>1210</v>
      </c>
    </row>
    <row r="187" spans="1:12" ht="207.6" customHeight="1">
      <c r="A187" s="56" t="s">
        <v>210</v>
      </c>
      <c r="B187" s="73" t="s">
        <v>3131</v>
      </c>
      <c r="C187" s="72" t="s">
        <v>3125</v>
      </c>
      <c r="E187" s="83">
        <f>SUMIF(History1!B:B, A187, History1!C:C)</f>
        <v>10</v>
      </c>
      <c r="F187" s="72" t="s">
        <v>2988</v>
      </c>
      <c r="H187" s="72" t="s">
        <v>2981</v>
      </c>
      <c r="J187" s="72" t="s">
        <v>3203</v>
      </c>
      <c r="K187" s="72" t="str">
        <f>LOWER(A187)&amp;".jpeg"</f>
        <v>fp0199.jpeg</v>
      </c>
      <c r="L187" s="57" t="s">
        <v>1211</v>
      </c>
    </row>
    <row r="188" spans="1:12" ht="207.6" customHeight="1">
      <c r="A188" s="56" t="s">
        <v>211</v>
      </c>
      <c r="B188" s="73" t="s">
        <v>3131</v>
      </c>
      <c r="C188" s="72" t="s">
        <v>3125</v>
      </c>
      <c r="E188" s="83">
        <f>SUMIF(History1!B:B, A188, History1!C:C)</f>
        <v>10</v>
      </c>
      <c r="F188" s="72" t="s">
        <v>2988</v>
      </c>
      <c r="H188" s="72" t="s">
        <v>2981</v>
      </c>
      <c r="J188" s="72" t="s">
        <v>3204</v>
      </c>
      <c r="K188" s="72" t="str">
        <f>LOWER(A188)&amp;".jpeg"</f>
        <v>fp0200.jpeg</v>
      </c>
      <c r="L188" s="57" t="s">
        <v>1212</v>
      </c>
    </row>
    <row r="189" spans="1:12" ht="207.6" customHeight="1">
      <c r="A189" s="56" t="s">
        <v>212</v>
      </c>
      <c r="B189" s="73" t="s">
        <v>3131</v>
      </c>
      <c r="C189" s="72" t="s">
        <v>3125</v>
      </c>
      <c r="E189" s="83">
        <f>SUMIF(History1!B:B, A189, History1!C:C)</f>
        <v>10</v>
      </c>
      <c r="F189" s="72" t="s">
        <v>2988</v>
      </c>
      <c r="H189" s="72" t="s">
        <v>2981</v>
      </c>
      <c r="J189" s="72" t="s">
        <v>3205</v>
      </c>
      <c r="K189" s="72" t="str">
        <f>LOWER(A189)&amp;".jpeg"</f>
        <v>fp0201.jpeg</v>
      </c>
      <c r="L189" s="57" t="s">
        <v>1213</v>
      </c>
    </row>
    <row r="190" spans="1:12" ht="207.6" customHeight="1">
      <c r="A190" s="56" t="s">
        <v>213</v>
      </c>
      <c r="B190" s="73" t="s">
        <v>3131</v>
      </c>
      <c r="C190" s="72" t="s">
        <v>3125</v>
      </c>
      <c r="E190" s="83">
        <f>SUMIF(History1!B:B, A190, History1!C:C)</f>
        <v>29</v>
      </c>
      <c r="F190" s="72" t="s">
        <v>3069</v>
      </c>
      <c r="H190" s="72" t="s">
        <v>2981</v>
      </c>
      <c r="I190" s="72">
        <v>6</v>
      </c>
      <c r="J190" s="72">
        <v>555</v>
      </c>
      <c r="K190" s="72" t="str">
        <f>LOWER(A190)&amp;".jpeg"</f>
        <v>fp0202.jpeg</v>
      </c>
      <c r="L190" s="57" t="s">
        <v>1214</v>
      </c>
    </row>
    <row r="191" spans="1:12" ht="207.6" customHeight="1">
      <c r="A191" s="56" t="s">
        <v>69</v>
      </c>
      <c r="B191" s="73" t="s">
        <v>3004</v>
      </c>
      <c r="C191" s="72" t="s">
        <v>3003</v>
      </c>
      <c r="E191" s="83">
        <f>SUMIF(History1!B:B, A191, History1!C:C)</f>
        <v>130</v>
      </c>
      <c r="F191" s="72" t="s">
        <v>2988</v>
      </c>
      <c r="H191" s="72" t="s">
        <v>2981</v>
      </c>
      <c r="J191" s="72" t="s">
        <v>3009</v>
      </c>
      <c r="K191" s="72" t="s">
        <v>3002</v>
      </c>
      <c r="L191" s="57" t="s">
        <v>1070</v>
      </c>
    </row>
    <row r="192" spans="1:12" ht="207.6" customHeight="1">
      <c r="A192" s="56" t="s">
        <v>71</v>
      </c>
      <c r="B192" s="73" t="s">
        <v>3008</v>
      </c>
      <c r="C192" s="72" t="s">
        <v>3003</v>
      </c>
      <c r="E192" s="83">
        <f>SUMIF(History1!B:B, A192, History1!C:C)</f>
        <v>140</v>
      </c>
      <c r="F192" s="72" t="s">
        <v>2988</v>
      </c>
      <c r="H192" s="72" t="s">
        <v>2981</v>
      </c>
      <c r="J192" s="72" t="s">
        <v>3009</v>
      </c>
      <c r="K192" s="72" t="s">
        <v>3011</v>
      </c>
      <c r="L192" s="57" t="s">
        <v>1072</v>
      </c>
    </row>
    <row r="193" spans="1:12" ht="207.6" customHeight="1">
      <c r="A193" s="56" t="s">
        <v>73</v>
      </c>
      <c r="B193" s="73" t="s">
        <v>3004</v>
      </c>
      <c r="C193" s="72" t="s">
        <v>3003</v>
      </c>
      <c r="E193" s="83">
        <f>SUMIF(History1!B:B, A193, History1!C:C)</f>
        <v>32</v>
      </c>
      <c r="F193" s="72" t="s">
        <v>2988</v>
      </c>
      <c r="H193" s="72" t="s">
        <v>2981</v>
      </c>
      <c r="J193" s="72" t="s">
        <v>3009</v>
      </c>
      <c r="K193" s="72" t="s">
        <v>3015</v>
      </c>
      <c r="L193" s="57" t="s">
        <v>1074</v>
      </c>
    </row>
    <row r="194" spans="1:12" ht="207.6" customHeight="1">
      <c r="A194" s="56" t="s">
        <v>74</v>
      </c>
      <c r="B194" s="73" t="s">
        <v>3004</v>
      </c>
      <c r="C194" s="72" t="s">
        <v>3003</v>
      </c>
      <c r="E194" s="83">
        <f>SUMIF(History1!B:B, A194, History1!C:C)</f>
        <v>14</v>
      </c>
      <c r="F194" s="72" t="s">
        <v>2988</v>
      </c>
      <c r="H194" s="72" t="s">
        <v>2981</v>
      </c>
      <c r="J194" s="72" t="s">
        <v>3009</v>
      </c>
      <c r="K194" s="72" t="s">
        <v>3016</v>
      </c>
      <c r="L194" s="57" t="s">
        <v>1075</v>
      </c>
    </row>
    <row r="195" spans="1:12" ht="207.6" customHeight="1">
      <c r="A195" s="56" t="s">
        <v>75</v>
      </c>
      <c r="B195" s="73" t="s">
        <v>2990</v>
      </c>
      <c r="C195" s="72" t="s">
        <v>3003</v>
      </c>
      <c r="E195" s="83">
        <f>SUMIF(History1!B:B, A195, History1!C:C)</f>
        <v>18</v>
      </c>
      <c r="F195" s="72" t="s">
        <v>2988</v>
      </c>
      <c r="H195" s="72" t="s">
        <v>2981</v>
      </c>
      <c r="J195" s="72" t="s">
        <v>3017</v>
      </c>
      <c r="K195" s="72" t="s">
        <v>3018</v>
      </c>
      <c r="L195" s="57" t="s">
        <v>1076</v>
      </c>
    </row>
    <row r="196" spans="1:12" ht="207.6" customHeight="1">
      <c r="A196" s="56" t="s">
        <v>79</v>
      </c>
      <c r="B196" s="73" t="s">
        <v>3031</v>
      </c>
      <c r="C196" s="72" t="s">
        <v>3003</v>
      </c>
      <c r="E196" s="83">
        <f>SUMIF(History1!B:B, A196, History1!C:C)</f>
        <v>85</v>
      </c>
      <c r="F196" s="72" t="s">
        <v>2988</v>
      </c>
      <c r="H196" s="72" t="s">
        <v>2981</v>
      </c>
      <c r="J196" s="72" t="s">
        <v>3032</v>
      </c>
      <c r="K196" s="72" t="s">
        <v>3033</v>
      </c>
      <c r="L196" s="57" t="s">
        <v>1080</v>
      </c>
    </row>
    <row r="197" spans="1:12" ht="207.6" customHeight="1">
      <c r="A197" s="56" t="s">
        <v>80</v>
      </c>
      <c r="B197" s="73" t="s">
        <v>3035</v>
      </c>
      <c r="C197" s="72" t="s">
        <v>3003</v>
      </c>
      <c r="E197" s="83">
        <f>SUMIF(History1!B:B, A197, History1!C:C)</f>
        <v>70</v>
      </c>
      <c r="F197" s="72" t="s">
        <v>2988</v>
      </c>
      <c r="H197" s="72" t="s">
        <v>2981</v>
      </c>
      <c r="J197" s="72" t="s">
        <v>3009</v>
      </c>
      <c r="K197" s="72" t="s">
        <v>3034</v>
      </c>
      <c r="L197" s="57" t="s">
        <v>1081</v>
      </c>
    </row>
    <row r="198" spans="1:12" ht="207.6" customHeight="1">
      <c r="A198" s="56" t="s">
        <v>83</v>
      </c>
      <c r="B198" s="73" t="s">
        <v>3044</v>
      </c>
      <c r="C198" s="72" t="s">
        <v>3003</v>
      </c>
      <c r="E198" s="83">
        <f>SUMIF(History1!B:B, A198, History1!C:C)</f>
        <v>310</v>
      </c>
      <c r="F198" s="72" t="s">
        <v>2988</v>
      </c>
      <c r="H198" s="72" t="s">
        <v>2981</v>
      </c>
      <c r="J198" s="72" t="s">
        <v>3009</v>
      </c>
      <c r="K198" s="72" t="s">
        <v>3045</v>
      </c>
      <c r="L198" s="57" t="s">
        <v>1084</v>
      </c>
    </row>
    <row r="199" spans="1:12" ht="207.6" customHeight="1">
      <c r="A199" s="56" t="s">
        <v>89</v>
      </c>
      <c r="B199" s="73" t="s">
        <v>3061</v>
      </c>
      <c r="C199" s="72" t="s">
        <v>3003</v>
      </c>
      <c r="E199" s="83">
        <f>SUMIF(History1!B:B, A199, History1!C:C)</f>
        <v>145</v>
      </c>
      <c r="F199" s="72" t="s">
        <v>3056</v>
      </c>
      <c r="H199" s="72" t="s">
        <v>2981</v>
      </c>
      <c r="J199" s="72" t="s">
        <v>3009</v>
      </c>
      <c r="K199" s="72" t="s">
        <v>3062</v>
      </c>
      <c r="L199" s="57" t="s">
        <v>1090</v>
      </c>
    </row>
    <row r="200" spans="1:12" ht="207.6" customHeight="1">
      <c r="A200" s="56" t="s">
        <v>90</v>
      </c>
      <c r="B200" s="73" t="s">
        <v>3061</v>
      </c>
      <c r="C200" s="72" t="s">
        <v>3003</v>
      </c>
      <c r="E200" s="83">
        <f>SUMIF(History1!B:B, A200, History1!C:C)</f>
        <v>125</v>
      </c>
      <c r="F200" s="72" t="s">
        <v>3064</v>
      </c>
      <c r="H200" s="72" t="s">
        <v>2981</v>
      </c>
      <c r="J200" s="72" t="s">
        <v>3009</v>
      </c>
      <c r="K200" s="72" t="s">
        <v>3063</v>
      </c>
      <c r="L200" s="57" t="s">
        <v>1091</v>
      </c>
    </row>
    <row r="201" spans="1:12" ht="207.6" customHeight="1">
      <c r="A201" s="56" t="s">
        <v>99</v>
      </c>
      <c r="B201" s="73" t="s">
        <v>3078</v>
      </c>
      <c r="C201" s="72" t="s">
        <v>3003</v>
      </c>
      <c r="E201" s="83">
        <f>SUMIF(History1!B:B, A201, History1!C:C)</f>
        <v>36</v>
      </c>
      <c r="F201" s="72" t="s">
        <v>3079</v>
      </c>
      <c r="H201" s="72" t="s">
        <v>2981</v>
      </c>
      <c r="J201" s="72" t="s">
        <v>3080</v>
      </c>
      <c r="K201" s="72" t="str">
        <f>LOWER(A201)&amp;".jpeg"</f>
        <v>fp0088.jpeg</v>
      </c>
      <c r="L201" s="57" t="s">
        <v>1100</v>
      </c>
    </row>
    <row r="202" spans="1:12" ht="207.6" customHeight="1">
      <c r="A202" s="56" t="s">
        <v>110</v>
      </c>
      <c r="B202" s="73" t="s">
        <v>3097</v>
      </c>
      <c r="C202" s="72" t="s">
        <v>3079</v>
      </c>
      <c r="E202" s="83">
        <f>SUMIF(History1!B:B, A202, History1!C:C)</f>
        <v>0</v>
      </c>
      <c r="F202" s="72" t="s">
        <v>3098</v>
      </c>
      <c r="H202" s="72" t="s">
        <v>2981</v>
      </c>
      <c r="J202" s="72" t="s">
        <v>3112</v>
      </c>
      <c r="K202" s="72" t="str">
        <f>LOWER(A202)&amp;".jpeg"</f>
        <v>fp0099.jpeg</v>
      </c>
      <c r="L202" s="57" t="s">
        <v>1111</v>
      </c>
    </row>
    <row r="203" spans="1:12" ht="207.6" customHeight="1">
      <c r="A203" s="56" t="s">
        <v>117</v>
      </c>
      <c r="B203" s="73" t="s">
        <v>3110</v>
      </c>
      <c r="C203" s="72" t="s">
        <v>3079</v>
      </c>
      <c r="E203" s="83">
        <f>SUMIF(History1!B:B, A203, History1!C:C)</f>
        <v>0</v>
      </c>
      <c r="F203" s="72" t="s">
        <v>3098</v>
      </c>
      <c r="H203" s="72" t="s">
        <v>2981</v>
      </c>
      <c r="J203" s="72" t="s">
        <v>3111</v>
      </c>
      <c r="K203" s="72" t="str">
        <f>LOWER(A203)&amp;".jpeg"</f>
        <v>fp0106.jpeg</v>
      </c>
      <c r="L203" s="57" t="s">
        <v>1118</v>
      </c>
    </row>
    <row r="204" spans="1:12" ht="207.6" customHeight="1">
      <c r="A204" s="56" t="s">
        <v>214</v>
      </c>
      <c r="E204" s="83">
        <f>SUMIF(History1!B:B, A204, History1!C:C)</f>
        <v>0</v>
      </c>
      <c r="K204" s="72" t="str">
        <f>LOWER(A204)&amp;".jpeg"</f>
        <v>fp0203.jpeg</v>
      </c>
      <c r="L204" s="57" t="s">
        <v>1215</v>
      </c>
    </row>
    <row r="205" spans="1:12" ht="207.6" customHeight="1">
      <c r="A205" s="56" t="s">
        <v>215</v>
      </c>
      <c r="E205" s="83">
        <f>SUMIF(History1!B:B, A205, History1!C:C)</f>
        <v>0</v>
      </c>
      <c r="K205" s="72" t="str">
        <f>LOWER(A205)&amp;".jpeg"</f>
        <v>fp0204.jpeg</v>
      </c>
      <c r="L205" s="57" t="s">
        <v>1216</v>
      </c>
    </row>
    <row r="206" spans="1:12" ht="207.6" customHeight="1">
      <c r="A206" s="56" t="s">
        <v>216</v>
      </c>
      <c r="E206" s="83">
        <f>SUMIF(History1!B:B, A206, History1!C:C)</f>
        <v>0</v>
      </c>
      <c r="K206" s="72" t="str">
        <f>LOWER(A206)&amp;".jpeg"</f>
        <v>fp0205.jpeg</v>
      </c>
      <c r="L206" s="57" t="s">
        <v>1217</v>
      </c>
    </row>
    <row r="207" spans="1:12" ht="207.6" customHeight="1">
      <c r="A207" s="56" t="s">
        <v>217</v>
      </c>
      <c r="E207" s="83">
        <f>SUMIF(History1!B:B, A207, History1!C:C)</f>
        <v>0</v>
      </c>
      <c r="K207" s="72" t="str">
        <f>LOWER(A207)&amp;".jpeg"</f>
        <v>fp0206.jpeg</v>
      </c>
      <c r="L207" s="57" t="s">
        <v>1218</v>
      </c>
    </row>
    <row r="208" spans="1:12" ht="207.6" customHeight="1">
      <c r="A208" s="56" t="s">
        <v>218</v>
      </c>
      <c r="E208" s="83">
        <f>SUMIF(History1!B:B, A208, History1!C:C)</f>
        <v>0</v>
      </c>
      <c r="K208" s="72" t="str">
        <f>LOWER(A208)&amp;".jpeg"</f>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2026-04-19T20:26:20Z</dcterms:modified>
</cp:coreProperties>
</file>