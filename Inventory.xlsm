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859AA6A-8EBF-4F8A-96E0-228AE1273782}"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<sst xmlns="http://schemas.openxmlformats.org/spreadsheetml/2006/main" count="3327" uniqueCount="3148">
  <si>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</si>
  <si>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</si>
  <si>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</si>
  <si>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</si>
  <si>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</si>
  <si>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</si>
  <si>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</si>
  <si>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</si>
  <si>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</si>
  <si>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</si>
  <si>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</si>
  <si>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</si>
  <si>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</si>
  <si>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</si>
  <si>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</si>
  <si>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</si>
  <si>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</si>
  <si>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</si>
  <si>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</si>
  <si>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</si>
  <si>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</si>
  <si>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</si>
  <si>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</si>
  <si>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</si>
  <si>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</si>
  <si>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</si>
  <si>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</si>
  <si>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</si>
  <si>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</si>
  <si>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</si>
  <si>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</si>
  <si>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</si>
  <si>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</si>
  <si>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</si>
  <si>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</si>
  <si>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</si>
  <si>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</si>
  <si>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</si>
  <si>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</si>
  <si>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</si>
  <si>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</si>
  <si>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</si>
  <si>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</si>
  <si>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</si>
  <si>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</si>
  <si>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</si>
  <si>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</si>
  <si>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</si>
  <si>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</si>
  <si>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</si>
  <si>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</si>
  <si>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</si>
  <si>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</si>
  <si>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</si>
  <si>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</si>
  <si>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</si>
  <si>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</si>
  <si>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</si>
  <si>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</si>
  <si>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</si>
  <si>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</si>
  <si>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</si>
  <si>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</si>
  <si>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</si>
  <si>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</si>
  <si>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</si>
  <si>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</si>
  <si>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</si>
  <si>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</si>
  <si>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</si>
  <si>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</si>
  <si>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</si>
  <si>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</si>
  <si>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</si>
  <si>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</si>
  <si>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</si>
  <si>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</si>
  <si>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</si>
  <si>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</si>
  <si>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</si>
  <si>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</si>
  <si>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</si>
  <si>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</si>
  <si>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</si>
  <si>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</si>
  <si>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</si>
  <si>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</si>
  <si>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</si>
  <si>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</si>
  <si>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</si>
  <si>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</si>
  <si>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</si>
  <si>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</si>
  <si>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</si>
  <si>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</si>
  <si>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</si>
  <si>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</si>
  <si>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</si>
  <si>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</si>
  <si>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</si>
  <si>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</si>
  <si>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</si>
  <si>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</si>
  <si>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</si>
  <si>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</si>
  <si>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</si>
  <si>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</si>
  <si>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</si>
  <si>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</si>
  <si>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</si>
  <si>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</si>
  <si>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</si>
  <si>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</si>
  <si>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</si>
  <si>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</si>
  <si>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</si>
  <si>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</si>
  <si>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</si>
  <si>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</si>
  <si>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</si>
  <si>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</si>
  <si>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</si>
  <si>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</si>
  <si>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</si>
  <si>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</si>
  <si>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</si>
  <si>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</si>
  <si>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</si>
  <si>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</si>
  <si>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</si>
  <si>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</si>
  <si>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</si>
  <si>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</si>
  <si>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</si>
  <si>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</si>
  <si>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</si>
  <si>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</si>
  <si>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</si>
  <si>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</si>
  <si>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</si>
  <si>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</si>
  <si>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</si>
  <si>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</si>
  <si>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</si>
  <si>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</si>
  <si>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</si>
  <si>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</si>
  <si>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</si>
  <si>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</si>
  <si>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</si>
  <si>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</si>
  <si>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</si>
  <si>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</si>
  <si>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</si>
  <si>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</si>
  <si>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</si>
  <si>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</si>
  <si>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</si>
  <si>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</si>
  <si>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</si>
  <si>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</si>
  <si>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</si>
  <si>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</si>
  <si>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</si>
  <si>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</si>
  <si>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</si>
  <si>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</si>
  <si>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</si>
  <si>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</si>
  <si>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</si>
  <si>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</si>
  <si>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</si>
  <si>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</si>
  <si>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</si>
  <si>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</si>
  <si>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</si>
  <si>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</si>
  <si>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</si>
  <si>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</si>
  <si>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</si>
  <si>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</si>
  <si>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</si>
  <si>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</si>
  <si>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</si>
  <si>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</si>
  <si>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</si>
  <si>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</si>
  <si>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</si>
  <si>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</si>
  <si>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</si>
  <si>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</si>
  <si>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</si>
  <si>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</si>
  <si>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</si>
  <si>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</si>
  <si>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</si>
  <si>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</si>
  <si>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</si>
  <si>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</si>
  <si>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</si>
  <si>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</si>
  <si>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</si>
  <si>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</si>
  <si>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</si>
  <si>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</si>
  <si>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</si>
  <si>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</si>
  <si>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</si>
  <si>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</si>
  <si>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</si>
  <si>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</si>
  <si>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</si>
  <si>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</si>
  <si>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</si>
  <si>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</si>
  <si>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</si>
  <si>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</si>
  <si>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</si>
  <si>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</si>
  <si>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</si>
  <si>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</si>
  <si>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</si>
  <si>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</si>
  <si>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</si>
  <si>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</si>
  <si>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</si>
  <si>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</si>
  <si>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</si>
  <si>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</si>
  <si>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</si>
  <si>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</si>
  <si>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</si>
  <si>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</si>
  <si>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</si>
  <si>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</si>
  <si>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</si>
  <si>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</si>
  <si>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</si>
  <si>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</si>
  <si>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</si>
  <si>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</si>
  <si>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</si>
  <si>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</si>
  <si>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</si>
  <si>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</si>
  <si>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</si>
  <si>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</si>
  <si>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</si>
  <si>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</si>
  <si>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</si>
  <si>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</si>
  <si>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</si>
  <si>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</si>
  <si>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</si>
  <si>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</si>
  <si>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</si>
  <si>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</si>
  <si>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</si>
  <si>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</si>
  <si>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</si>
  <si>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</si>
  <si>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</si>
  <si>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</si>
  <si>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</si>
  <si>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</si>
  <si>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</si>
  <si>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</si>
  <si>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</si>
  <si>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</si>
  <si>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</si>
  <si>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</si>
  <si>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</si>
  <si>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</si>
  <si>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</si>
  <si>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</si>
  <si>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</si>
  <si>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</si>
  <si>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</si>
  <si>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</si>
  <si>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</si>
  <si>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</si>
  <si>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</si>
  <si>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</si>
  <si>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</si>
  <si>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</si>
  <si>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</si>
  <si>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</si>
  <si>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</si>
  <si>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</si>
  <si>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</si>
  <si>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</si>
  <si>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</si>
  <si>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</si>
  <si>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</si>
  <si>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</si>
  <si>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</si>
  <si>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</si>
  <si>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</si>
  <si>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</si>
  <si>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</si>
  <si>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</si>
  <si>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</si>
  <si>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</si>
  <si>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</si>
  <si>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</si>
  <si>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</si>
  <si>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</si>
  <si>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</si>
  <si>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</si>
  <si>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</si>
  <si>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</si>
  <si>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</si>
  <si>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</si>
  <si>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</si>
  <si>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</si>
  <si>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</si>
  <si>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</si>
  <si>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</si>
  <si>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</si>
  <si>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</si>
  <si>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</si>
  <si>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</si>
  <si>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</si>
  <si>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</si>
  <si>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</si>
  <si>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</si>
  <si>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</si>
  <si>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</si>
  <si>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</si>
  <si>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</si>
  <si>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</si>
  <si>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</si>
  <si>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</si>
  <si>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</si>
  <si>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</si>
  <si>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</si>
  <si>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</si>
  <si>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</si>
  <si>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</si>
  <si>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</si>
  <si>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</si>
  <si>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</si>
  <si>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</si>
  <si>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</si>
  <si>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</si>
  <si>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</si>
  <si>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</si>
  <si>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</si>
  <si>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</si>
  <si>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</si>
  <si>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</si>
  <si>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</si>
  <si>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</si>
  <si>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</si>
  <si>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</si>
  <si>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</si>
  <si>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</si>
  <si>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</si>
  <si>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</si>
  <si>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</si>
  <si>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</si>
  <si>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</si>
  <si>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</si>
  <si>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</si>
  <si>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</si>
  <si>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</si>
  <si>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</si>
  <si>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</si>
  <si>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</si>
  <si>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</si>
  <si>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</si>
  <si>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</si>
  <si>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</si>
  <si>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</si>
  <si>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</si>
  <si>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</si>
  <si>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</si>
  <si>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</si>
  <si>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</si>
  <si>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</si>
  <si>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</si>
  <si>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</si>
  <si>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</si>
  <si>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</si>
  <si>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</si>
  <si>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</si>
  <si>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</si>
  <si>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</si>
  <si>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</si>
  <si>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</si>
  <si>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</si>
  <si>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</si>
  <si>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</si>
  <si>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</si>
  <si>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</si>
  <si>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</si>
  <si>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</si>
  <si>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</si>
  <si>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</si>
  <si>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</si>
  <si>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</si>
  <si>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</si>
  <si>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</si>
  <si>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</si>
  <si>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</si>
  <si>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</si>
  <si>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</si>
  <si>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</si>
  <si>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</si>
  <si>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</si>
  <si>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</si>
  <si>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</si>
  <si>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</si>
  <si>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</si>
  <si>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</si>
  <si>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</si>
  <si>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</si>
  <si>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</si>
  <si>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</si>
  <si>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</si>
  <si>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</si>
  <si>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</si>
  <si>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</si>
  <si>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</si>
  <si>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</si>
  <si>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</si>
  <si>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</si>
  <si>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</si>
  <si>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</si>
  <si>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</si>
  <si>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</si>
  <si>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</si>
  <si>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</si>
  <si>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</si>
  <si>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</si>
  <si>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</si>
  <si>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</si>
  <si>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</si>
  <si>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</si>
  <si>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</si>
  <si>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</si>
  <si>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</si>
  <si>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</si>
  <si>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</si>
  <si>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</si>
  <si>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</si>
  <si>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</si>
  <si>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</si>
  <si>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</si>
  <si>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</si>
  <si>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</si>
  <si>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</si>
  <si>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</si>
  <si>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</si>
  <si>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</si>
  <si>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</si>
  <si>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</si>
  <si>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</si>
  <si>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</si>
  <si>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</si>
  <si>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</si>
  <si>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</si>
  <si>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</si>
  <si>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</si>
  <si>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</si>
  <si>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</si>
  <si>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</si>
  <si>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</si>
  <si>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</si>
  <si>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</si>
  <si>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</si>
  <si>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</si>
  <si>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</si>
  <si>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</si>
  <si>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</si>
  <si>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</si>
  <si>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</si>
  <si>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</si>
  <si>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</si>
  <si>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</si>
  <si>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</si>
  <si>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</si>
  <si>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</si>
  <si>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</si>
  <si>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</si>
  <si>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</si>
  <si>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</si>
  <si>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</si>
  <si>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</si>
  <si>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</si>
  <si>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</si>
  <si>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</si>
  <si>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</si>
  <si>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</si>
  <si>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</si>
  <si>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</si>
  <si>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</si>
  <si>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</si>
  <si>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</si>
  <si>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</si>
  <si>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</si>
  <si>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</si>
  <si>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</si>
  <si>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</si>
  <si>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</si>
  <si>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</si>
  <si>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</si>
  <si>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</si>
  <si>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</si>
  <si>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</si>
  <si>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</si>
  <si>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</si>
  <si>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</si>
  <si>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</si>
  <si>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</si>
  <si>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</si>
  <si>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</si>
  <si>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</si>
  <si>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</si>
  <si>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</si>
  <si>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</si>
  <si>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</si>
  <si>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</si>
  <si>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</si>
  <si>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</si>
  <si>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</si>
  <si>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</si>
  <si>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</si>
  <si>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</si>
  <si>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</si>
  <si>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</si>
  <si>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</si>
  <si>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</si>
  <si>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</si>
  <si>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</si>
  <si>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</si>
  <si>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</si>
  <si>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</si>
  <si>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</si>
  <si>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</si>
  <si>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</si>
  <si>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</si>
  <si>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</si>
  <si>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</si>
  <si>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</si>
  <si>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</si>
  <si>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</si>
  <si>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</si>
  <si>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</si>
  <si>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</si>
  <si>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</si>
  <si>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</si>
  <si>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</si>
  <si>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</si>
  <si>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</si>
  <si>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</si>
  <si>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</si>
  <si>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</si>
  <si>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</si>
  <si>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</si>
  <si>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</si>
  <si>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</si>
  <si>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</si>
  <si>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</si>
  <si>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</si>
  <si>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</si>
  <si>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</si>
  <si>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</si>
  <si>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</si>
  <si>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</si>
  <si>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</si>
  <si>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</si>
  <si>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</si>
  <si>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</si>
  <si>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</si>
  <si>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</si>
  <si>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</si>
  <si>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</si>
  <si>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</si>
  <si>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</si>
  <si>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</si>
  <si>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</si>
  <si>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</si>
  <si>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</si>
  <si>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</si>
  <si>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</si>
  <si>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</si>
  <si>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</si>
  <si>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</si>
  <si>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</si>
  <si>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</si>
  <si>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</si>
  <si>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</si>
  <si>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</si>
  <si>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</si>
  <si>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</si>
  <si>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</si>
  <si>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</si>
  <si>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</si>
  <si>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</si>
  <si>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</si>
  <si>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</si>
  <si>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</si>
  <si>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</si>
  <si>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</si>
  <si>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</si>
  <si>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</si>
  <si>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</si>
  <si>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</si>
  <si>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</si>
  <si>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</si>
  <si>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</si>
  <si>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</si>
  <si>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</si>
  <si>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</si>
  <si>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</si>
  <si>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</si>
  <si>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</si>
  <si>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</si>
  <si>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</si>
  <si>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</si>
  <si>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</si>
  <si>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</si>
  <si>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</si>
  <si>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</si>
  <si>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</si>
  <si>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</si>
  <si>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</si>
  <si>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</si>
  <si>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</si>
  <si>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</si>
  <si>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</si>
  <si>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</si>
  <si>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</si>
  <si>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</si>
  <si>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</si>
  <si>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</si>
  <si>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</si>
  <si>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</si>
  <si>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</si>
  <si>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</si>
  <si>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</si>
  <si>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</si>
  <si>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</si>
  <si>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</si>
  <si>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</si>
  <si>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</si>
  <si>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</si>
  <si>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</si>
  <si>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</si>
  <si>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</si>
  <si>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</si>
  <si>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</si>
  <si>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</si>
  <si>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</si>
  <si>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</si>
  <si>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</si>
  <si>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</si>
  <si>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</si>
  <si>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</si>
  <si>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</si>
  <si>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</si>
  <si>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</si>
  <si>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</si>
  <si>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</si>
  <si>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</si>
  <si>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</si>
  <si>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</si>
  <si>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</si>
  <si>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</si>
  <si>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</si>
  <si>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</si>
  <si>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</si>
  <si>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</si>
  <si>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</si>
  <si>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</si>
  <si>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</si>
  <si>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</si>
  <si>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</si>
  <si>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</si>
  <si>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</si>
  <si>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</si>
  <si>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</si>
  <si>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</si>
  <si>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</si>
  <si>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</si>
  <si>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</si>
  <si>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</si>
  <si>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</si>
  <si>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</si>
  <si>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</si>
  <si>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</si>
  <si>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</si>
  <si>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</si>
  <si>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</si>
  <si>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</si>
  <si>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</si>
  <si>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</si>
  <si>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</si>
  <si>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</si>
  <si>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</si>
  <si>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</si>
  <si>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</si>
  <si>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</si>
  <si>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</si>
  <si>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</si>
  <si>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</si>
  <si>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</si>
  <si>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</si>
  <si>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</si>
  <si>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</si>
  <si>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</si>
  <si>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</si>
  <si>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</si>
  <si>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</si>
  <si>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</si>
  <si>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</si>
  <si>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</si>
  <si>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</si>
  <si>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</si>
  <si>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</si>
  <si>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</si>
  <si>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</si>
  <si>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</si>
  <si>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</si>
  <si>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</si>
  <si>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</si>
  <si>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</si>
  <si>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</si>
  <si>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</si>
  <si>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</si>
  <si>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</si>
  <si>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</si>
  <si>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</si>
  <si>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</si>
  <si>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</si>
  <si>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</si>
  <si>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</si>
  <si>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</si>
  <si>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</si>
  <si>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</si>
  <si>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</si>
  <si>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</si>
  <si>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</si>
  <si>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</si>
  <si>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</si>
  <si>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</si>
  <si>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</si>
  <si>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</si>
  <si>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</si>
  <si>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</si>
  <si>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</si>
  <si>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</si>
  <si>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</si>
  <si>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</si>
  <si>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</si>
  <si>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</si>
  <si>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</si>
  <si>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</si>
  <si>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</si>
  <si>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</si>
  <si>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</si>
  <si>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</si>
  <si>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</si>
  <si>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</si>
  <si>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</si>
  <si>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</si>
  <si>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</si>
  <si>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</si>
  <si>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</si>
  <si>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</si>
  <si>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</si>
  <si>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</si>
  <si>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</si>
  <si>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</si>
  <si>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</si>
  <si>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</si>
  <si>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</si>
  <si>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</si>
  <si>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</si>
  <si>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</si>
  <si>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</si>
  <si>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</si>
  <si>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</si>
  <si>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</si>
  <si>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</si>
  <si>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</si>
  <si>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</si>
  <si>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</si>
  <si>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</si>
  <si>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</si>
  <si>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</si>
  <si>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</si>
  <si>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</si>
  <si>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</si>
  <si>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</si>
  <si>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</si>
  <si>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</si>
  <si>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</si>
  <si>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</si>
  <si>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</si>
  <si>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</si>
  <si>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</si>
  <si>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</si>
  <si>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</si>
  <si>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</si>
  <si>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</si>
  <si>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</si>
  <si>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</si>
  <si>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</si>
  <si>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</si>
  <si>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</si>
  <si>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</si>
  <si>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</si>
  <si>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</si>
  <si>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</si>
  <si>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</si>
  <si>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</si>
  <si>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</si>
  <si>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</si>
  <si>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</si>
  <si>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</si>
  <si>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</si>
  <si>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</si>
  <si>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</si>
  <si>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</si>
  <si>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</si>
  <si>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</si>
  <si>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</si>
  <si>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</si>
  <si>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</si>
  <si>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</si>
  <si>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</si>
  <si>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</si>
  <si>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</si>
  <si>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</si>
  <si>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</si>
  <si>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</si>
  <si>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</si>
  <si>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</si>
  <si>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</si>
  <si>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</si>
  <si>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</si>
  <si>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</si>
  <si>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</si>
  <si>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</si>
  <si>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</si>
  <si>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</si>
  <si>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</si>
  <si>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</si>
  <si>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</si>
  <si>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</si>
  <si>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</si>
  <si>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</si>
  <si>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</si>
  <si>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</si>
  <si>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</si>
  <si>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</si>
  <si>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</si>
  <si>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</si>
  <si>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</si>
  <si>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</si>
  <si>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</si>
  <si>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</si>
  <si>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</si>
  <si>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</si>
  <si>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</si>
  <si>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</si>
  <si>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</si>
  <si>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</si>
  <si>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</si>
  <si>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</si>
  <si>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</si>
  <si>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</si>
  <si>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</si>
  <si>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</si>
  <si>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</si>
  <si>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</si>
  <si>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</si>
  <si>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</si>
  <si>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</si>
  <si>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</si>
  <si>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</si>
  <si>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</si>
  <si>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</si>
  <si>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</si>
  <si>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</si>
  <si>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</si>
  <si>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</si>
  <si>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</si>
  <si>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</si>
  <si>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</si>
  <si>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</si>
  <si>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</si>
  <si>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</si>
  <si>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</si>
  <si>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</si>
  <si>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</si>
  <si>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</si>
  <si>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</si>
  <si>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</si>
  <si>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</si>
  <si>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</si>
  <si>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</si>
  <si>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</si>
  <si>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</si>
  <si>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</si>
  <si>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</si>
  <si>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</si>
  <si>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</si>
  <si>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</si>
  <si>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</si>
  <si>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</si>
  <si>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</si>
  <si>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</si>
  <si>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</si>
  <si>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</si>
  <si>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</si>
  <si>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</si>
  <si>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</si>
  <si>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</si>
  <si>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</si>
  <si>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</si>
  <si>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</si>
  <si>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</si>
  <si>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</si>
  <si>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</si>
  <si>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</si>
  <si>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</si>
  <si>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</si>
  <si>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</si>
  <si>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</si>
  <si>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</si>
  <si>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</si>
  <si>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</si>
  <si>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</si>
  <si>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</si>
  <si>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</si>
  <si>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</si>
  <si>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</si>
  <si>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</si>
  <si>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</si>
  <si>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</si>
  <si>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</si>
  <si>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</si>
  <si>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</si>
  <si>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</si>
  <si>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</si>
  <si>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</si>
  <si>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</si>
  <si>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</si>
  <si>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</si>
  <si>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</si>
  <si>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</si>
  <si>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</si>
  <si>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</si>
  <si>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</si>
  <si>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</si>
  <si>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</si>
  <si>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</si>
  <si>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</si>
  <si>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</si>
  <si>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</si>
  <si>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</si>
  <si>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</si>
  <si>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</si>
  <si>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</si>
  <si>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</si>
  <si>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</si>
  <si>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</si>
  <si>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</si>
  <si>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</si>
  <si>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</si>
  <si>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</si>
  <si>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</si>
  <si>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</si>
  <si>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</si>
  <si>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</si>
  <si>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</si>
  <si>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</si>
  <si>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</si>
  <si>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</si>
  <si>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</si>
  <si>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</si>
  <si>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</si>
  <si>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</si>
  <si>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</si>
  <si>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</si>
  <si>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</si>
  <si>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</si>
  <si>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</si>
  <si>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</si>
  <si>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</si>
  <si>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</si>
  <si>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</si>
  <si>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</si>
  <si>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</si>
  <si>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</si>
  <si>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</si>
  <si>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</si>
  <si>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</si>
  <si>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</si>
  <si>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</si>
  <si>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</si>
  <si>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</si>
  <si>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</si>
  <si>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</si>
  <si>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</si>
  <si>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</si>
  <si>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</si>
  <si>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</si>
  <si>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</si>
  <si>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</si>
  <si>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</si>
  <si>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</si>
  <si>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</si>
  <si>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</si>
  <si>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</si>
  <si>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</si>
  <si>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</si>
  <si>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</si>
  <si>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</si>
  <si>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</si>
  <si>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</si>
  <si>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</si>
  <si>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</si>
  <si>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</si>
  <si>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</si>
  <si>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</si>
  <si>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</si>
  <si>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</si>
  <si>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</si>
  <si>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</si>
  <si>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</si>
  <si>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</si>
  <si>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</si>
  <si>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</si>
  <si>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</si>
  <si>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</si>
  <si>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</si>
  <si>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</si>
  <si>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</si>
  <si>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</si>
  <si>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</si>
  <si>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</si>
  <si>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</si>
  <si>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</si>
  <si>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</si>
  <si>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</si>
  <si>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</si>
  <si>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</si>
  <si>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</si>
  <si>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</si>
  <si>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</si>
  <si>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</si>
  <si>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</si>
  <si>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</si>
  <si>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</si>
  <si>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</si>
  <si>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</si>
  <si>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</si>
  <si>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</si>
  <si>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</si>
  <si>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</si>
  <si>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</si>
  <si>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</si>
  <si>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</si>
  <si>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</si>
  <si>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</si>
  <si>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</si>
  <si>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</si>
  <si>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</si>
  <si>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</si>
  <si>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</si>
  <si>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</si>
  <si>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</si>
  <si>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</si>
  <si>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</si>
  <si>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</si>
  <si>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</si>
  <si>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</si>
  <si>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</si>
  <si>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</si>
  <si>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</si>
  <si>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</si>
  <si>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</si>
  <si>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</si>
  <si>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</si>
  <si>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</si>
  <si>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</si>
  <si>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</si>
  <si>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</si>
  <si>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</si>
  <si>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</si>
  <si>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</si>
  <si>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</si>
  <si>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</si>
  <si>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</si>
  <si>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</si>
  <si>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</si>
  <si>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</si>
  <si>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</si>
  <si>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</si>
  <si>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</si>
  <si>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</si>
  <si>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</si>
  <si>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</si>
  <si>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</si>
  <si>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</si>
  <si>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</si>
  <si>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</si>
  <si>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</si>
  <si>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</si>
  <si>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</si>
  <si>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</si>
  <si>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</si>
  <si>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</si>
  <si>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</si>
  <si>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</si>
  <si>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</si>
  <si>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</si>
  <si>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</si>
  <si>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</si>
  <si>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</si>
  <si>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</si>
  <si>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</si>
  <si>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</si>
  <si>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</si>
  <si>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</si>
  <si>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</si>
  <si>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</si>
  <si>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</si>
  <si>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</si>
  <si>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</si>
  <si>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</si>
  <si>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</si>
  <si>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</si>
  <si>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</si>
  <si>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</si>
  <si>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</si>
  <si>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</si>
  <si>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</si>
  <si>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</si>
  <si>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</si>
  <si>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</si>
  <si>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</si>
  <si>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</si>
  <si>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</si>
  <si>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</si>
  <si>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</si>
  <si>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</si>
  <si>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</si>
  <si>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</si>
  <si>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</si>
  <si>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</si>
  <si>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</si>
  <si>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</si>
  <si>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</si>
  <si>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</si>
  <si>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</si>
  <si>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</si>
  <si>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</si>
  <si>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</si>
  <si>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</si>
  <si>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</si>
  <si>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</si>
  <si>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</si>
  <si>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</si>
  <si>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</si>
  <si>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</si>
  <si>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</si>
  <si>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</si>
  <si>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</si>
  <si>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</si>
  <si>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</si>
  <si>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</si>
  <si>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</si>
  <si>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</si>
  <si>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</si>
  <si>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</si>
  <si>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</si>
  <si>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</si>
  <si>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</si>
  <si>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</si>
  <si>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</si>
  <si>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</si>
  <si>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</si>
  <si>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</si>
  <si>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</si>
  <si>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</si>
  <si>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</si>
  <si>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</si>
  <si>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</si>
  <si>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</si>
  <si>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</si>
  <si>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</si>
  <si>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</si>
  <si>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</si>
  <si>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</si>
  <si>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</si>
  <si>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</si>
  <si>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</si>
  <si>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</si>
  <si>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</si>
  <si>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</si>
  <si>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</si>
  <si>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</si>
  <si>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</si>
  <si>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</si>
  <si>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</si>
  <si>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</si>
  <si>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</si>
  <si>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</si>
  <si>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</si>
  <si>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</si>
  <si>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</si>
  <si>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</si>
  <si>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</si>
  <si>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</si>
  <si>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</si>
  <si>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</si>
  <si>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</si>
  <si>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</si>
  <si>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</si>
  <si>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</si>
  <si>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</si>
  <si>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</si>
  <si>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</si>
  <si>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</si>
  <si>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</si>
  <si>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</si>
  <si>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</si>
  <si>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</si>
  <si>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</si>
  <si>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</si>
  <si>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</si>
  <si>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</si>
  <si>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</si>
  <si>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</si>
  <si>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</si>
  <si>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</si>
  <si>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</si>
  <si>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</si>
  <si>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</si>
  <si>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</si>
  <si>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</si>
  <si>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</si>
  <si>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</si>
  <si>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</si>
  <si>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</si>
  <si>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</si>
  <si>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</si>
  <si>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</si>
  <si>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</si>
  <si>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</si>
  <si>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</si>
  <si>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</si>
  <si>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</si>
  <si>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</si>
  <si>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</si>
  <si>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</si>
  <si>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</si>
  <si>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</si>
  <si>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</si>
  <si>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</si>
  <si>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</si>
  <si>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</si>
  <si>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</si>
  <si>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</si>
  <si>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</si>
  <si>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</si>
  <si>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</si>
  <si>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</si>
  <si>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</si>
  <si>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</si>
  <si>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</si>
  <si>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</si>
  <si>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</si>
  <si>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</si>
  <si>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</si>
  <si>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</si>
  <si>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</si>
  <si>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</si>
  <si>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</si>
  <si>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</si>
  <si>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</si>
  <si>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</si>
  <si>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</si>
  <si>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</si>
  <si>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</si>
  <si>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</si>
  <si>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</si>
  <si>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</si>
  <si>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</si>
  <si>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</si>
  <si>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</si>
  <si>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</si>
  <si>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</si>
  <si>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</si>
  <si>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</si>
  <si>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</si>
  <si>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</si>
  <si>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</si>
  <si>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</si>
  <si>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</si>
  <si>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</si>
  <si>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</si>
  <si>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</si>
  <si>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</si>
  <si>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</si>
  <si>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</si>
  <si>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</si>
  <si>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</si>
  <si>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</si>
  <si>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</si>
  <si>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</si>
  <si>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</si>
  <si>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</si>
  <si>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</si>
  <si>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</si>
  <si>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</si>
  <si>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</si>
  <si>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</si>
  <si>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</si>
  <si>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</si>
  <si>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</si>
  <si>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</si>
  <si>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</si>
  <si>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</si>
  <si>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</si>
  <si>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</si>
  <si>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</si>
  <si>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</si>
  <si>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</si>
  <si>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</si>
  <si>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</si>
  <si>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</si>
  <si>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</si>
  <si>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</si>
  <si>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</si>
  <si>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</si>
  <si>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</si>
  <si>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</si>
  <si>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</si>
  <si>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</si>
  <si>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</si>
  <si>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</si>
  <si>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</si>
  <si>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</si>
  <si>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</si>
  <si>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</si>
  <si>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</si>
  <si>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</si>
  <si>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</si>
  <si>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</si>
  <si>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</si>
  <si>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</si>
  <si>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</si>
  <si>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</si>
  <si>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</si>
  <si>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</si>
  <si>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</si>
  <si>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</si>
  <si>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</si>
  <si>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</si>
  <si>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</si>
  <si>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</si>
  <si>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</si>
  <si>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</si>
  <si>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</si>
  <si>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</si>
  <si>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</si>
  <si>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</si>
  <si>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</si>
  <si>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</si>
  <si>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</si>
  <si>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</si>
  <si>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</si>
  <si>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</si>
  <si>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</si>
  <si>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</si>
  <si>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</si>
  <si>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</si>
  <si>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</si>
  <si>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</si>
  <si>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</si>
  <si>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</si>
  <si>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</si>
  <si>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</si>
  <si>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</si>
  <si>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</si>
  <si>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</si>
  <si>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</si>
  <si>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</si>
  <si>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</si>
  <si>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</si>
  <si>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</si>
  <si>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</si>
  <si>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</si>
  <si>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</si>
  <si>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</si>
  <si>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</si>
  <si>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</si>
  <si>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</si>
  <si>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</si>
  <si>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</si>
  <si>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</si>
  <si>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</si>
  <si>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</si>
  <si>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</si>
  <si>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</si>
  <si>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</si>
  <si>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</si>
  <si>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</si>
  <si>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</si>
  <si>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</si>
  <si>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</si>
  <si>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</si>
  <si>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</si>
  <si>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</si>
  <si>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</si>
  <si>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</si>
  <si>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</si>
  <si>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</si>
  <si>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</si>
  <si>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</si>
  <si>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</si>
  <si>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</si>
  <si>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</si>
  <si>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</si>
  <si>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</si>
  <si>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</si>
  <si>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</si>
  <si>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</si>
  <si>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</si>
  <si>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</si>
  <si>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</si>
  <si>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</si>
  <si>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</si>
  <si>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</si>
  <si>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</si>
  <si>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</si>
  <si>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</si>
  <si>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</si>
  <si>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</si>
  <si>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</si>
  <si>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</si>
  <si>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</si>
  <si>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</si>
  <si>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</si>
  <si>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</si>
  <si>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</si>
  <si>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</si>
  <si>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</si>
  <si>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</si>
  <si>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</si>
  <si>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</si>
  <si>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</si>
  <si>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</si>
  <si>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</si>
  <si>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</si>
  <si>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</si>
  <si>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</si>
  <si>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</si>
  <si>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</si>
  <si>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</si>
  <si>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</si>
  <si>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</si>
  <si>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</si>
  <si>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</si>
  <si>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</si>
  <si>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</si>
  <si>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</si>
  <si>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</si>
  <si>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</si>
  <si>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</si>
  <si>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</si>
  <si>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</si>
  <si>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</si>
  <si>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</si>
  <si>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</si>
  <si>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</si>
  <si>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</si>
  <si>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</si>
  <si>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</si>
  <si>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</si>
  <si>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</si>
  <si>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</si>
  <si>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</si>
  <si>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</si>
  <si>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</si>
  <si>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</si>
  <si>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</si>
  <si>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</si>
  <si>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</si>
  <si>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</si>
  <si>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</si>
  <si>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</si>
  <si>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</si>
  <si>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</si>
  <si>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</si>
  <si>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</si>
  <si>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</si>
  <si>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</si>
  <si>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</si>
  <si>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</si>
  <si>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</si>
  <si>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</si>
  <si>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</si>
  <si>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</si>
  <si>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</si>
  <si>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</si>
  <si>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</si>
  <si>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</si>
  <si>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</si>
  <si>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</si>
  <si>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</si>
  <si>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</si>
  <si>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</si>
  <si>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</si>
  <si>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</si>
  <si>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</si>
  <si>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</si>
  <si>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</si>
  <si>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</si>
  <si>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</si>
  <si>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</si>
  <si>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</si>
  <si>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</si>
  <si>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</si>
  <si>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</si>
  <si>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</si>
  <si>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</si>
  <si>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</si>
  <si>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</si>
  <si>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</si>
  <si>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</si>
  <si>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</si>
  <si>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</si>
  <si>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</si>
  <si>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</si>
  <si>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</si>
  <si>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</si>
  <si>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</si>
  <si>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</si>
  <si>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</si>
  <si>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</si>
  <si>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</si>
  <si>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</si>
  <si>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</si>
  <si>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</si>
  <si>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</si>
  <si>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</si>
  <si>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</si>
  <si>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</si>
  <si>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</si>
  <si>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</si>
  <si>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</si>
  <si>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</si>
  <si>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</si>
  <si>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</si>
  <si>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</si>
  <si>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</si>
  <si>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</si>
  <si>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</si>
  <si>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</si>
  <si>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</si>
  <si>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</si>
  <si>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</si>
  <si>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</si>
  <si>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</si>
  <si>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</si>
  <si>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</si>
  <si>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</si>
  <si>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</si>
  <si>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</si>
  <si>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</si>
  <si>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</si>
  <si>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</si>
  <si>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</si>
  <si>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</si>
  <si>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</si>
  <si>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</si>
  <si>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</si>
  <si>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</si>
  <si>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</si>
  <si>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</si>
  <si>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</si>
  <si>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</si>
  <si>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</si>
  <si>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</si>
  <si>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</si>
  <si>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</si>
  <si>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</si>
  <si>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</si>
  <si>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</si>
  <si>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</si>
  <si>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</si>
  <si>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</si>
  <si>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</si>
  <si>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</si>
  <si>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</si>
  <si>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</si>
  <si>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</si>
  <si>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</si>
  <si>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</si>
  <si>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</si>
  <si>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</si>
  <si>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</si>
  <si>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</si>
  <si>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</si>
  <si>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</si>
  <si>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</si>
  <si>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</si>
  <si>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</si>
  <si>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</si>
  <si>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</si>
  <si>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</si>
  <si>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</si>
  <si>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</si>
  <si>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</si>
  <si>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</si>
  <si>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</si>
  <si>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</si>
  <si>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</si>
  <si>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</si>
  <si>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</si>
  <si>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</si>
  <si>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</si>
  <si>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</si>
  <si>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</si>
  <si>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</si>
  <si>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</si>
  <si>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</si>
  <si>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</si>
  <si>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</si>
  <si>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</si>
  <si>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</si>
  <si>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</si>
  <si>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</si>
  <si>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</si>
  <si>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</si>
  <si>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</si>
  <si>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</si>
  <si>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</si>
  <si>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</si>
  <si>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</si>
  <si>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</si>
  <si>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</si>
  <si>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</si>
  <si>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</si>
  <si>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</si>
  <si>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</si>
  <si>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</si>
  <si>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</si>
  <si>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</si>
  <si>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</si>
  <si>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</si>
  <si>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</si>
  <si>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</si>
  <si>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</si>
  <si>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</si>
  <si>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</si>
  <si>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</si>
  <si>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</si>
  <si>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</si>
  <si>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</si>
  <si>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</si>
  <si>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</si>
  <si>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</si>
  <si>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</si>
  <si>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</si>
  <si>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</si>
  <si>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</si>
  <si>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</si>
  <si>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</si>
  <si>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</si>
  <si>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</si>
  <si>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</si>
  <si>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</si>
  <si>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</si>
  <si>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</si>
  <si>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</si>
  <si>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</si>
  <si>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</si>
  <si>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</si>
  <si>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</si>
  <si>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</si>
  <si>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</si>
  <si>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</si>
  <si>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</si>
  <si>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</si>
  <si>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</si>
  <si>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</si>
  <si>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</si>
  <si>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</si>
  <si>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</si>
  <si>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</si>
  <si>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</si>
  <si>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</si>
  <si>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</si>
  <si>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</si>
  <si>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</si>
  <si>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</si>
  <si>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</si>
  <si>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</si>
  <si>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</si>
  <si>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</si>
  <si>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</si>
  <si>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</si>
  <si>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</si>
  <si>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</si>
  <si>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</si>
  <si>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</si>
  <si>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</si>
  <si>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</si>
  <si>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</si>
  <si>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</si>
  <si>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</si>
  <si>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</si>
  <si>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</si>
  <si>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</si>
  <si>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</si>
  <si>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</si>
  <si>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</si>
  <si>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</si>
  <si>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</si>
  <si>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</si>
  <si>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</si>
  <si>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</si>
  <si>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</si>
  <si>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</si>
  <si>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</si>
  <si>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</si>
  <si>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</si>
  <si>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</si>
  <si>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</si>
  <si>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</si>
  <si>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</si>
  <si>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</si>
  <si>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</si>
  <si>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</si>
  <si>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</si>
  <si>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</si>
  <si>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</si>
  <si>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</si>
  <si>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</si>
  <si>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</si>
  <si>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</si>
  <si>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</si>
  <si>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</si>
  <si>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</si>
  <si>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</si>
  <si>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</si>
  <si>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</si>
  <si>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</si>
  <si>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</si>
  <si>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</si>
  <si>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</si>
  <si>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</si>
  <si>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</si>
  <si>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</si>
  <si>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</si>
  <si>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</si>
  <si>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</si>
  <si>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</si>
  <si>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</si>
  <si>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</si>
  <si>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</si>
  <si>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</si>
  <si>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</si>
  <si>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</si>
  <si>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</si>
  <si>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</si>
  <si>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</si>
  <si>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</si>
  <si>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</si>
  <si>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</si>
  <si>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</si>
  <si>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</si>
  <si>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</si>
  <si>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</si>
  <si>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</si>
  <si>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</si>
  <si>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</si>
  <si>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</si>
  <si>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</si>
  <si>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</si>
  <si>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</si>
  <si>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</si>
  <si>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</si>
  <si>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</si>
  <si>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</si>
  <si>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</si>
  <si>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</si>
  <si>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</si>
  <si>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</si>
  <si>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</si>
  <si>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</si>
  <si>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</si>
  <si>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</si>
  <si>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</si>
  <si>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</si>
  <si>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</si>
  <si>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</si>
  <si>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</si>
  <si>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</si>
  <si>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</si>
  <si>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</si>
  <si>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</si>
  <si>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</si>
  <si>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</si>
  <si>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</si>
  <si>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</si>
  <si>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</si>
  <si>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</si>
  <si>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</si>
  <si>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</si>
  <si>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</si>
  <si>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</si>
  <si>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</si>
  <si>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</si>
  <si>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</si>
  <si>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</si>
  <si>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</si>
  <si>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</si>
  <si>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</si>
  <si>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</si>
  <si>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</si>
  <si>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</si>
  <si>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</si>
  <si>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</si>
  <si>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</si>
  <si>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</si>
  <si>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</si>
  <si>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</si>
  <si>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</si>
  <si>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</si>
  <si>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</si>
  <si>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</si>
  <si>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</si>
  <si>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</si>
  <si>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</si>
  <si>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</si>
  <si>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</si>
  <si>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</si>
  <si>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</si>
  <si>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</si>
  <si>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</si>
  <si>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</si>
  <si>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</si>
  <si>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</si>
  <si>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</si>
  <si>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</si>
  <si>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</si>
  <si>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</si>
  <si>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</si>
  <si>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</si>
  <si>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</si>
  <si>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</si>
  <si>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</si>
  <si>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</si>
  <si>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</si>
  <si>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</si>
  <si>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</si>
  <si>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</si>
  <si>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</si>
  <si>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</si>
  <si>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</si>
  <si>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</si>
  <si>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</si>
  <si>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</si>
  <si>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</si>
  <si>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</si>
  <si>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</si>
  <si>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</si>
  <si>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</si>
  <si>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</si>
  <si>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</si>
  <si>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</si>
  <si>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</si>
  <si>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</si>
  <si>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</si>
  <si>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</si>
  <si>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</si>
  <si>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</si>
  <si>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</si>
  <si>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</si>
  <si>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</si>
  <si>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</si>
  <si>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</si>
  <si>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</si>
  <si>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</si>
  <si>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</si>
  <si>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</si>
  <si>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</si>
  <si>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</si>
  <si>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</si>
  <si>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</si>
  <si>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</si>
  <si>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</si>
  <si>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</si>
  <si>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</si>
  <si>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</si>
  <si>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</si>
  <si>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</si>
  <si>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</si>
  <si>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</si>
  <si>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</si>
  <si>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</si>
  <si>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</si>
  <si>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</si>
  <si>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</si>
  <si>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</si>
  <si>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</si>
  <si>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</si>
  <si>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</si>
  <si>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</si>
  <si>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</si>
  <si>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</si>
  <si>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</si>
  <si>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</si>
  <si>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</si>
  <si>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</si>
  <si>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</si>
  <si>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</si>
  <si>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</si>
  <si>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</si>
  <si>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</si>
  <si>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</si>
  <si>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</si>
  <si>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</si>
  <si>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</si>
  <si>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</si>
  <si>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</si>
  <si>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</si>
  <si>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</si>
  <si>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</si>
  <si>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</si>
  <si>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</si>
  <si>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</si>
  <si>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</si>
  <si>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</si>
  <si>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</si>
  <si>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</si>
  <si>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</si>
  <si>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</si>
  <si>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</si>
  <si>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</si>
  <si>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</si>
  <si>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</si>
  <si>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</si>
  <si>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</si>
  <si>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</si>
  <si>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</si>
  <si>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</si>
  <si>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</si>
  <si>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</si>
  <si>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</si>
  <si>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</si>
  <si>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</si>
  <si>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</si>
  <si>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</si>
  <si>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</si>
  <si>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</si>
  <si>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</si>
  <si>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</si>
  <si>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</si>
  <si>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</si>
  <si>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</si>
  <si>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</si>
  <si>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</si>
  <si>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</si>
  <si>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</si>
  <si>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</si>
  <si>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</si>
  <si>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</si>
  <si>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</si>
  <si>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</si>
  <si>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</si>
  <si>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</si>
  <si>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</si>
  <si>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</si>
  <si>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</si>
  <si>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</si>
  <si>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</si>
  <si>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</si>
  <si>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</si>
  <si>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</si>
  <si>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</si>
  <si>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</si>
  <si>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</si>
  <si>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</si>
  <si>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</si>
  <si>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</si>
  <si>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</si>
  <si>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</si>
  <si>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</si>
  <si>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</si>
  <si>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</si>
  <si>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</si>
  <si>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</si>
  <si>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</si>
  <si>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</si>
  <si>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</si>
  <si>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</si>
  <si>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</si>
  <si>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</si>
  <si>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</si>
  <si>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</si>
  <si>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</si>
  <si>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</si>
  <si>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</si>
  <si>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</si>
  <si>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</si>
  <si>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</si>
  <si>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</si>
  <si>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</si>
  <si>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</si>
  <si>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</si>
  <si>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</si>
  <si>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</si>
  <si>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</si>
  <si>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</si>
  <si>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</si>
  <si>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</si>
  <si>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</si>
  <si>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</si>
  <si>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</si>
  <si>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</si>
  <si>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</si>
  <si>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</si>
  <si>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</si>
  <si>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</si>
  <si>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</si>
  <si>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</si>
  <si>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</si>
  <si>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</si>
  <si>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</si>
  <si>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</si>
  <si>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</si>
  <si>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</si>
  <si>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</si>
  <si>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</si>
  <si>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</si>
  <si>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</si>
  <si>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</si>
  <si>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</si>
  <si>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</si>
  <si>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</si>
  <si>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</si>
  <si>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</si>
  <si>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</si>
  <si>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</si>
  <si>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</si>
  <si>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</si>
  <si>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</si>
  <si>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</si>
  <si>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</si>
  <si>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</si>
  <si>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</si>
  <si>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</si>
  <si>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</si>
  <si>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</si>
  <si>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</si>
  <si>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</si>
  <si>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</si>
  <si>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</si>
  <si>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</si>
  <si>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</si>
  <si>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</si>
  <si>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</si>
  <si>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</si>
  <si>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</si>
  <si>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</si>
  <si>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</si>
  <si>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</si>
  <si>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</si>
  <si>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</si>
  <si>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</si>
  <si>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</si>
  <si>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</si>
  <si>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</si>
  <si>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</si>
  <si>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</si>
  <si>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</si>
  <si>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</si>
  <si>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</si>
  <si>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</si>
  <si>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</si>
  <si>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</si>
  <si>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</si>
  <si>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</si>
  <si>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</si>
  <si>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</si>
  <si>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</si>
  <si>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</si>
  <si>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</si>
  <si>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</si>
  <si>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</si>
  <si>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</si>
  <si>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</si>
  <si>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</si>
  <si>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</si>
  <si>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</si>
  <si>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</si>
  <si>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</si>
  <si>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</si>
  <si>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</si>
  <si>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</si>
  <si>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</si>
  <si>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</si>
  <si>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</si>
  <si>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</si>
  <si>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</si>
  <si>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</si>
  <si>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</si>
  <si>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</si>
  <si>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</si>
  <si>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</si>
  <si>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</si>
  <si>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</si>
  <si>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</si>
  <si>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</si>
  <si>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</si>
  <si>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</si>
  <si>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</si>
  <si>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</si>
  <si>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</si>
  <si>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</si>
  <si>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</si>
  <si>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</si>
  <si>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</si>
  <si>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</si>
  <si>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</si>
  <si>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</si>
  <si>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</si>
  <si>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</si>
  <si>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</si>
  <si>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</si>
  <si>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</si>
  <si>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</si>
  <si>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</si>
  <si>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</si>
  <si>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</si>
  <si>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</si>
  <si>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</si>
  <si>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</si>
  <si>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</si>
  <si>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</si>
  <si>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</si>
  <si>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</si>
  <si>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</si>
  <si>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</si>
  <si>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</si>
  <si>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</si>
  <si>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</si>
  <si>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</si>
  <si>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</si>
  <si>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</si>
  <si>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</si>
  <si>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</si>
  <si>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</si>
  <si>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</si>
  <si>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</si>
  <si>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</si>
  <si>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</si>
  <si>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</si>
  <si>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</si>
  <si>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</si>
  <si>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</si>
  <si>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</si>
  <si>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</si>
  <si>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</si>
  <si>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</si>
  <si>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</si>
  <si>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</si>
  <si>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</si>
  <si>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</si>
  <si>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</si>
  <si>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</si>
  <si>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</si>
  <si>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</si>
  <si>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</si>
  <si>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</si>
  <si>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</si>
  <si>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</si>
  <si>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</si>
  <si>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</si>
  <si>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</si>
  <si>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</si>
  <si>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</si>
  <si>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</si>
  <si>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</si>
  <si>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</si>
  <si>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</si>
  <si>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</si>
  <si>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</si>
  <si>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</si>
  <si>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</si>
  <si>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</si>
  <si>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</si>
  <si>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</si>
  <si>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</si>
  <si>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</si>
  <si>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</si>
  <si>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</si>
  <si>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</si>
  <si>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</si>
  <si>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</si>
  <si>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</si>
  <si>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</si>
  <si>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</si>
  <si>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</si>
  <si>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</si>
  <si>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</si>
  <si>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</si>
  <si>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</si>
  <si>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</si>
  <si>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</si>
  <si>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</si>
  <si>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</si>
  <si>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</si>
  <si>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</si>
  <si>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</si>
  <si>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</si>
  <si>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</si>
  <si>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</si>
  <si>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</si>
  <si>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</si>
  <si>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</si>
  <si>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</si>
  <si>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</si>
  <si>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</si>
  <si>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</si>
  <si>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</si>
  <si>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</si>
  <si>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</si>
  <si>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</si>
  <si>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</si>
  <si>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</si>
  <si>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</si>
  <si>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</si>
  <si>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</si>
  <si>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</si>
  <si>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</si>
  <si>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</si>
  <si>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</si>
  <si>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</si>
  <si>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</si>
  <si>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</si>
  <si>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</si>
  <si>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</si>
  <si>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</si>
  <si>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</si>
  <si>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</si>
  <si>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</si>
  <si>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</si>
  <si>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</si>
  <si>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</si>
  <si>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</si>
  <si>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</si>
  <si>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</si>
  <si>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</si>
  <si>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</si>
  <si>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</si>
  <si>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</si>
  <si>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</si>
  <si>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</si>
  <si>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</si>
  <si>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</si>
  <si>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</si>
  <si>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</si>
  <si>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</si>
  <si>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</si>
  <si>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</si>
  <si>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</si>
  <si>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</si>
  <si>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</si>
  <si>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</si>
  <si>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</si>
  <si>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</si>
  <si>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</si>
  <si>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</si>
  <si>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</si>
  <si>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</si>
  <si>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</si>
  <si>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</si>
  <si>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</si>
  <si>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</si>
  <si>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</si>
  <si>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</si>
  <si>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</si>
  <si>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</si>
  <si>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</si>
  <si>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</si>
  <si>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</si>
  <si>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</si>
  <si>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</si>
  <si>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</si>
  <si>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</si>
  <si>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</si>
  <si>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</si>
  <si>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</si>
  <si>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</si>
  <si>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</si>
  <si>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</si>
  <si>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</si>
  <si>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</si>
  <si>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</si>
  <si>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</si>
  <si>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</si>
  <si>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</si>
  <si>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</si>
  <si>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</si>
  <si>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</si>
  <si>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</si>
  <si>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</si>
  <si>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</si>
  <si>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</si>
  <si>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</si>
  <si>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</si>
  <si>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</si>
  <si>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</si>
  <si>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</si>
  <si>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</si>
  <si>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</si>
  <si>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</si>
  <si>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</si>
  <si>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</si>
  <si>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</si>
  <si>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</si>
  <si>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</si>
  <si>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</si>
  <si>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</si>
  <si>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</si>
  <si>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</si>
  <si>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</si>
  <si>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</si>
  <si>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</si>
  <si>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</si>
  <si>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</si>
  <si>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</si>
  <si>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</si>
  <si>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</si>
  <si>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</si>
  <si>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</si>
  <si>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</si>
  <si>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</si>
  <si>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</si>
  <si>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</si>
  <si>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</si>
  <si>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</si>
  <si>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</si>
  <si>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</si>
  <si>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</si>
  <si>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</si>
  <si>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</si>
  <si>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</si>
  <si>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</si>
  <si>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</si>
  <si>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</si>
  <si>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</si>
  <si>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</si>
  <si>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</si>
  <si>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</si>
  <si>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</si>
  <si>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</si>
  <si>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</si>
  <si>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</si>
  <si>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</si>
  <si>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</si>
  <si>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</si>
  <si>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</si>
  <si>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</si>
  <si>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</si>
  <si>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</si>
  <si>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</si>
  <si>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</si>
  <si>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</si>
  <si>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</si>
  <si>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</si>
  <si>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</si>
  <si>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</si>
  <si>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</si>
  <si>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</si>
  <si>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</si>
  <si>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</si>
  <si>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</si>
  <si>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</si>
  <si>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</si>
  <si>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</si>
  <si>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</si>
  <si>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</si>
  <si>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</si>
  <si>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</si>
  <si>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</si>
  <si>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</si>
  <si>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</si>
  <si>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</si>
  <si>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</si>
  <si>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</si>
  <si>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</si>
  <si>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</si>
  <si>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</si>
  <si>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</si>
  <si>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</si>
  <si>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</si>
  <si>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</si>
  <si>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</si>
  <si>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</si>
  <si>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</si>
  <si>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</si>
  <si>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</si>
  <si>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</si>
  <si>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</si>
  <si>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</si>
  <si>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</si>
  <si>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</si>
  <si>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</si>
  <si>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</si>
  <si>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</si>
  <si>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</si>
  <si>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</si>
  <si>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</si>
  <si>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</si>
  <si>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</si>
  <si>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</si>
  <si>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</si>
  <si>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</si>
  <si>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</si>
  <si>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</si>
  <si>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</si>
  <si>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</si>
  <si>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</si>
  <si>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</si>
  <si>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</si>
  <si>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</si>
  <si>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</si>
  <si>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</si>
  <si>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</si>
  <si>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</si>
  <si>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</si>
  <si>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</si>
  <si>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</si>
  <si>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</si>
  <si>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</si>
  <si>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</si>
  <si>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</si>
  <si>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</si>
  <si>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</si>
  <si>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</si>
  <si>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</si>
  <si>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</si>
  <si>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</si>
  <si>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</si>
  <si>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</si>
  <si>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</si>
  <si>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</si>
  <si>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</si>
  <si>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</si>
  <si>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</si>
  <si>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</si>
  <si>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</si>
  <si>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</si>
  <si>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</si>
  <si>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</si>
  <si>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</si>
  <si>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</si>
  <si>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</si>
  <si>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</si>
  <si>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</si>
  <si>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</si>
  <si>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</si>
  <si>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</si>
  <si>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</si>
  <si>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</si>
  <si>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</si>
  <si>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</si>
  <si>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</si>
  <si>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</si>
  <si>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</si>
  <si>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</si>
  <si>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</si>
  <si>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</si>
  <si>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</si>
  <si>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</si>
  <si>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</si>
  <si>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</si>
  <si>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</si>
  <si>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</si>
  <si>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</si>
  <si>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</si>
  <si>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</si>
  <si>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</si>
  <si>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</si>
  <si>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</si>
  <si>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</si>
  <si>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</si>
  <si>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</si>
  <si>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</si>
  <si>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</si>
  <si>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</si>
  <si>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</si>
  <si>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</si>
  <si>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</si>
  <si>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</si>
  <si>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</si>
  <si>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</si>
  <si>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</si>
  <si>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</si>
  <si>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</si>
  <si>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</si>
  <si>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</si>
  <si>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</si>
  <si>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</si>
  <si>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</si>
  <si>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</si>
  <si>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</si>
  <si>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</si>
  <si>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</si>
  <si>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</si>
  <si>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</si>
  <si>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</si>
  <si>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</si>
  <si>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</si>
  <si>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</si>
  <si>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</si>
  <si>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</si>
  <si>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</si>
  <si>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</si>
  <si>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</si>
  <si>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</si>
  <si>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</si>
  <si>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</si>
  <si>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</si>
  <si>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</si>
  <si>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</si>
  <si>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</si>
  <si>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</si>
  <si>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</si>
  <si>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</si>
  <si>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</si>
  <si>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</si>
  <si>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</si>
  <si>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</si>
  <si>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</si>
  <si>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</si>
  <si>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</si>
  <si>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</si>
  <si>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</si>
  <si>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</si>
  <si>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</si>
  <si>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</si>
  <si>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</si>
  <si>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</si>
  <si>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</si>
  <si>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</si>
  <si>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</si>
  <si>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</si>
  <si>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</si>
  <si>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</si>
  <si>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</si>
  <si>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</si>
  <si>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</si>
  <si>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</si>
  <si>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</si>
  <si>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</si>
  <si>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</si>
  <si>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</si>
  <si>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</si>
  <si>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</si>
  <si>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</si>
  <si>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</si>
  <si>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</si>
  <si>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</si>
  <si>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</si>
  <si>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</si>
  <si>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</si>
  <si>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</si>
  <si>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</si>
  <si>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</si>
  <si>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</si>
  <si>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</si>
  <si>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</si>
  <si>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</si>
  <si>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</si>
  <si>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</si>
  <si>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</si>
  <si>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</si>
  <si>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</si>
  <si>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</si>
  <si>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</si>
  <si>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</si>
  <si>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</si>
  <si>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</si>
  <si>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</si>
  <si>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</si>
  <si>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</si>
  <si>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</si>
  <si>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</si>
  <si>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</si>
  <si>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</si>
  <si>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</si>
  <si>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</si>
  <si>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</si>
  <si>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</si>
  <si>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</si>
  <si>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</si>
  <si>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</si>
  <si>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</si>
  <si>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</si>
  <si>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</si>
  <si>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</si>
  <si>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</si>
  <si>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</si>
  <si>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</si>
  <si>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</si>
  <si>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</si>
  <si>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</si>
  <si>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</si>
  <si>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</si>
  <si>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</si>
  <si>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</si>
  <si>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</si>
  <si>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</si>
  <si>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</si>
  <si>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</si>
  <si>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</si>
  <si>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</si>
  <si>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</si>
  <si>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</si>
  <si>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</si>
  <si>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</si>
  <si>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</si>
  <si>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</si>
  <si>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</si>
  <si>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</si>
  <si>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</si>
  <si>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</si>
  <si>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</si>
  <si>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</si>
  <si>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</si>
  <si>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</si>
  <si>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</si>
  <si>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</si>
  <si>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</si>
  <si>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</si>
  <si>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</si>
  <si>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</si>
  <si>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</si>
  <si>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</si>
  <si>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</si>
  <si>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</si>
  <si>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</si>
  <si>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</si>
  <si>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</si>
  <si>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</si>
  <si>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</si>
  <si>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</si>
  <si>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</si>
  <si>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</si>
  <si>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</si>
  <si>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</si>
  <si>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</si>
  <si>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</si>
  <si>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</si>
  <si>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</si>
  <si>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</si>
  <si>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</si>
  <si>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</si>
  <si>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</si>
  <si>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</si>
  <si>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</si>
  <si>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</si>
  <si>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</si>
  <si>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</si>
  <si>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</si>
  <si>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</si>
  <si>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</si>
  <si>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</si>
  <si>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</si>
  <si>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</si>
  <si>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</si>
  <si>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</si>
  <si>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</si>
  <si>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</si>
  <si>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</si>
  <si>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</si>
  <si>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</si>
  <si>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</si>
  <si>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</si>
  <si>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</si>
  <si>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</si>
  <si>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</si>
  <si>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</si>
  <si>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</si>
  <si>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</si>
  <si>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</si>
  <si>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</si>
  <si>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</si>
  <si>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</si>
  <si>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</si>
  <si>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</si>
  <si>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</si>
  <si>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</si>
  <si>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</si>
  <si>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</si>
  <si>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</si>
  <si>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</si>
  <si>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</si>
  <si>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</si>
  <si>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</si>
  <si>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</si>
  <si>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</si>
  <si>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</si>
  <si>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</si>
  <si>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</si>
  <si>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</si>
  <si>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</si>
  <si>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</si>
  <si>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</si>
  <si>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</si>
  <si>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</si>
  <si>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</si>
  <si>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</si>
  <si>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</si>
  <si>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</si>
  <si>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</si>
  <si>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</si>
  <si>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</si>
  <si>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</si>
  <si>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</si>
  <si>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</si>
  <si>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</si>
  <si>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</si>
  <si>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</si>
  <si>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</si>
  <si>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</si>
  <si>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</si>
  <si>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</si>
  <si>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</si>
  <si>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</si>
  <si>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</si>
  <si>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</si>
  <si>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</si>
  <si>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</si>
  <si>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</si>
  <si>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</si>
  <si>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</si>
  <si>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</si>
  <si>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</si>
  <si>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</si>
  <si>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</si>
  <si>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</si>
  <si>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</si>
  <si>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</si>
  <si>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</si>
  <si>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</si>
  <si>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</si>
  <si>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</si>
  <si>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</si>
  <si>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</si>
  <si>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</si>
  <si>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</si>
  <si>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</si>
  <si>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</si>
  <si>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</si>
  <si>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</si>
  <si>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</si>
  <si>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</si>
  <si>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</si>
  <si>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</si>
  <si>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</si>
  <si>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</si>
  <si>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</si>
  <si>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</si>
  <si>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</si>
  <si>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</si>
  <si>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</si>
  <si>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</si>
  <si>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</si>
  <si>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</si>
  <si>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</si>
  <si>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</si>
  <si>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</si>
  <si>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</si>
  <si>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</si>
  <si>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</si>
  <si>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</si>
  <si>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</si>
  <si>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</si>
  <si>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</si>
  <si>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</si>
  <si>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</si>
  <si>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</si>
  <si>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</si>
  <si>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</si>
  <si>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</si>
  <si>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</si>
  <si>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</si>
  <si>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</si>
  <si>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</si>
  <si>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</si>
  <si>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</si>
  <si>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</si>
  <si>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</si>
  <si>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</si>
  <si>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</si>
  <si>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</si>
  <si>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</si>
  <si>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</si>
  <si>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</si>
  <si>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</si>
  <si>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</si>
  <si>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</si>
  <si>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</si>
  <si>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</si>
  <si>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</si>
  <si>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</si>
  <si>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</si>
  <si>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</si>
  <si>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</si>
  <si>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</si>
  <si>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</si>
  <si>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</si>
  <si>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</si>
  <si>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</si>
  <si>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</si>
  <si>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</si>
  <si>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</si>
  <si>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</si>
  <si>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</si>
  <si>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</si>
  <si>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</si>
  <si>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</si>
  <si>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</si>
  <si>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</si>
  <si>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</si>
  <si>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</si>
  <si>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</si>
  <si>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</si>
  <si>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</si>
  <si>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</si>
  <si>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</si>
  <si>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</si>
  <si>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</si>
  <si>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</si>
  <si>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</si>
  <si>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</si>
  <si>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</si>
  <si>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</si>
  <si>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</si>
  <si>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</si>
  <si>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</si>
  <si>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</si>
  <si>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</si>
  <si>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</si>
  <si>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</si>
  <si>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</si>
  <si>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</si>
  <si>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</si>
  <si>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</si>
  <si>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</si>
  <si>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</si>
  <si>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</si>
  <si>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</si>
  <si>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</si>
  <si>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</si>
  <si>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</si>
  <si>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</si>
  <si>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</si>
  <si>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</si>
  <si>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</si>
  <si>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</si>
  <si>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</si>
  <si>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</si>
  <si>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</si>
  <si>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</si>
  <si>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</si>
  <si>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</si>
  <si>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</si>
  <si>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</si>
  <si>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</si>
  <si>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</si>
  <si>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</si>
  <si>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</si>
  <si>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</si>
  <si>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</si>
  <si>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</si>
  <si>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</si>
  <si>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</si>
  <si>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</si>
  <si>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</si>
  <si>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</si>
  <si>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</si>
  <si>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</si>
  <si>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</si>
  <si>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</si>
  <si>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</si>
  <si>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</si>
  <si>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</si>
  <si>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</si>
  <si>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</si>
  <si>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</si>
  <si>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</si>
  <si>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</si>
  <si>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</si>
  <si>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</si>
  <si>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</si>
  <si>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</si>
  <si>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</si>
  <si>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</si>
  <si>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</si>
  <si>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</si>
  <si>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</si>
  <si>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</si>
  <si>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</si>
  <si>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</si>
  <si>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</si>
  <si>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</si>
  <si>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</si>
  <si>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</si>
  <si>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</si>
  <si>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</si>
  <si>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</si>
  <si>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</si>
  <si>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</si>
  <si>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</si>
  <si>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</si>
  <si>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</si>
  <si>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</si>
  <si>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</si>
  <si>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</si>
  <si>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</si>
  <si>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</si>
  <si>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</si>
  <si>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</si>
  <si>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</si>
  <si>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</si>
  <si>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</si>
  <si>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</si>
  <si>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</si>
  <si>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</si>
  <si>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</si>
  <si>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</si>
  <si>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</si>
  <si>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</si>
  <si>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</si>
  <si>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</si>
  <si>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</si>
  <si>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</si>
  <si>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</si>
  <si>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</si>
  <si>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</si>
  <si>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</si>
  <si>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</si>
  <si>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</si>
  <si>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</si>
  <si>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</si>
  <si>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</si>
  <si>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</si>
  <si>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</si>
  <si>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</si>
  <si>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</si>
  <si>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</si>
  <si>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</si>
  <si>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</si>
  <si>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</si>
  <si>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</si>
  <si>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</si>
  <si>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</si>
  <si>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</si>
  <si>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</si>
  <si>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</si>
  <si>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</si>
  <si>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</si>
  <si>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</si>
  <si>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</si>
  <si>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</si>
  <si>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</si>
  <si>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</si>
  <si>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</si>
  <si>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</si>
  <si>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</si>
  <si>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</si>
  <si>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</si>
  <si>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</si>
  <si>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</si>
  <si>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</si>
  <si>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</si>
  <si>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</si>
  <si>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</si>
  <si>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</si>
  <si>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</si>
  <si>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</si>
  <si>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</si>
  <si>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</si>
  <si>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</si>
  <si>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</si>
  <si>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</si>
  <si>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</si>
  <si>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</si>
  <si>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</si>
  <si>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</si>
  <si>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</si>
  <si>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</si>
  <si>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</si>
  <si>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</si>
  <si>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</si>
  <si>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</si>
  <si>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</si>
  <si>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</si>
  <si>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</si>
  <si>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</si>
  <si>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</si>
  <si>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</si>
  <si>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</si>
  <si>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</si>
  <si>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</si>
  <si>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</si>
  <si>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</si>
  <si>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</si>
  <si>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</si>
  <si>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</si>
  <si>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</si>
  <si>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</si>
  <si>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</si>
  <si>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</si>
  <si>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</si>
  <si>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</si>
  <si>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</si>
  <si>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</si>
  <si>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</si>
  <si>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</si>
  <si>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</si>
  <si>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</si>
  <si>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</si>
  <si>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</si>
  <si>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</si>
  <si>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</si>
  <si>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</si>
  <si>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</si>
  <si>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</si>
  <si>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</si>
  <si>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</si>
  <si>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</si>
  <si>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</si>
  <si>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</si>
  <si>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</si>
  <si>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</si>
  <si>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</si>
  <si>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</si>
  <si>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</si>
  <si>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</si>
  <si>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</si>
  <si>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</si>
  <si>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</si>
  <si>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</si>
  <si>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</si>
  <si>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</si>
  <si>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</si>
  <si>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</si>
  <si>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</si>
  <si>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</si>
  <si>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</si>
  <si>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</si>
  <si>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</si>
  <si>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</si>
  <si>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</si>
  <si>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</si>
  <si>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</si>
  <si>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</si>
  <si>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</si>
  <si>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</si>
  <si>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</si>
  <si>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</si>
  <si>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</si>
  <si>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</si>
  <si>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</si>
  <si>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</si>
  <si>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</si>
  <si>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</si>
  <si>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</si>
  <si>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</si>
  <si>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</si>
  <si>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</si>
  <si>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</si>
  <si>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</si>
  <si>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</si>
  <si>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</si>
  <si>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</si>
  <si>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</si>
  <si>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</si>
  <si>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</si>
  <si>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</si>
  <si>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</si>
  <si>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</si>
  <si>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</si>
  <si>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</si>
  <si>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</si>
  <si>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</si>
  <si>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</si>
  <si>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</si>
  <si>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</si>
  <si>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</si>
  <si>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</si>
  <si>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</si>
  <si>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</si>
  <si>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</si>
  <si>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</si>
  <si>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</si>
  <si>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</si>
  <si>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</si>
  <si>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</si>
  <si>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</si>
  <si>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</si>
  <si>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</si>
  <si>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</si>
  <si>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</si>
  <si>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</si>
  <si>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</si>
  <si>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</si>
  <si>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</si>
  <si>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</si>
  <si>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</si>
  <si>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</si>
  <si>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</si>
  <si>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</si>
  <si>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</si>
  <si>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</si>
  <si>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</si>
  <si>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</si>
  <si>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</si>
  <si>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WhiteC</t>
  </si>
  <si>
    <t>ColorC</t>
  </si>
  <si>
    <t>GreyC</t>
  </si>
  <si>
    <t>PUSH</t>
  </si>
  <si>
    <t>fp0051.jpg</t>
  </si>
  <si>
    <t>glass</t>
  </si>
  <si>
    <t xml:space="preserve">Date </t>
  </si>
  <si>
    <t>Type</t>
  </si>
  <si>
    <t>Note</t>
  </si>
  <si>
    <t>Status</t>
  </si>
  <si>
    <t>broken</t>
  </si>
  <si>
    <t>restock</t>
  </si>
  <si>
    <t>17-4-2026</t>
  </si>
  <si>
    <t>say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</si>
</sst>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5" zoomScaleNormal="25" workbookViewId="0">
      <pane ySplit="1" topLeftCell="A47" activePane="bottomLeft" state="frozen"/>
      <selection pane="bottomLeft" activeCell="H52" sqref="H52"/>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3134</v>
      </c>
      <c r="O1" s="55" t="s">
        <v>3135</v>
      </c>
      <c r="P1" s="55" t="s">
        <v>3136</v>
      </c>
      <c r="Q1" s="55" t="s">
        <v>3143</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3137</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3147</v>
      </c>
      <c r="C52" s="72" t="s">
        <v>2015</v>
      </c>
      <c r="E52" s="72">
        <f>SUMIF(History1!B:B, A52, History1!C:C)</f>
        <v>34</v>
      </c>
      <c r="K52" s="72" t="s">
        <v>3138</v>
      </c>
      <c r="L52" s="70" t="s">
        <v>1063</v>
      </c>
      <c r="Q52" s="57" t="str">
        <f t="shared" si="0"/>
        <v>🟡 MEDIUM</v>
      </c>
    </row>
    <row r="53" spans="1:17" ht="207.6" customHeight="1">
      <c r="A53" s="56" t="s">
        <v>63</v>
      </c>
      <c r="E53" s="72">
        <f>SUMIF(History1!B:B, A53, History1!C:C)</f>
        <v>0</v>
      </c>
      <c r="K53" s="72" t="s">
        <v>2178</v>
      </c>
      <c r="L53" s="70" t="s">
        <v>1064</v>
      </c>
      <c r="Q53" s="57" t="str">
        <f t="shared" si="0"/>
        <v>🔴 LOW</v>
      </c>
    </row>
    <row r="54" spans="1:17" ht="207.6" customHeight="1">
      <c r="A54" s="56" t="s">
        <v>64</v>
      </c>
      <c r="E54" s="72">
        <f>SUMIF(History1!B:B, A54, History1!C:C)</f>
        <v>0</v>
      </c>
      <c r="K54" s="72" t="s">
        <v>2179</v>
      </c>
      <c r="L54" s="57" t="s">
        <v>1065</v>
      </c>
      <c r="Q54" s="57" t="str">
        <f t="shared" si="0"/>
        <v>🔴 LOW</v>
      </c>
    </row>
    <row r="55" spans="1:17" ht="207.6" customHeight="1">
      <c r="A55" s="56" t="s">
        <v>65</v>
      </c>
      <c r="E55" s="72">
        <f>SUMIF(History1!B:B, A55, History1!C:C)</f>
        <v>0</v>
      </c>
      <c r="K55" s="72" t="s">
        <v>2180</v>
      </c>
      <c r="L55" s="57" t="s">
        <v>1066</v>
      </c>
      <c r="Q55" s="57" t="str">
        <f t="shared" si="0"/>
        <v>🔴 LOW</v>
      </c>
    </row>
    <row r="56" spans="1:17" ht="207.6" customHeight="1">
      <c r="A56" s="56" t="s">
        <v>66</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13"/>
  <sheetViews>
    <sheetView tabSelected="1" workbookViewId="0">
      <selection activeCell="E5" sqref="E5"/>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7" width="8.88671875" style="76" customWidth="1"/>
    <col min="8" max="16384" width="8.88671875" style="76"/>
  </cols>
  <sheetData>
    <row r="1" spans="1:6" s="77" customFormat="1" ht="70.8" customHeight="1">
      <c r="A1" s="78" t="s">
        <v>3140</v>
      </c>
      <c r="B1" s="78" t="s">
        <v>0</v>
      </c>
      <c r="C1" s="78" t="s">
        <v>2013</v>
      </c>
      <c r="D1" s="78" t="s">
        <v>3141</v>
      </c>
      <c r="E1" s="78" t="s">
        <v>3142</v>
      </c>
      <c r="F1" s="78" t="s">
        <v>2</v>
      </c>
    </row>
    <row r="2" spans="1:6" ht="55.8" customHeight="1">
      <c r="A2" s="76" t="s">
        <v>3146</v>
      </c>
      <c r="B2" s="76" t="s">
        <v>62</v>
      </c>
      <c r="C2" s="76">
        <v>34</v>
      </c>
      <c r="D2" s="76" t="s">
        <v>3145</v>
      </c>
      <c r="E2" s="76" t="s">
        <v>3144</v>
      </c>
      <c r="F2" s="76" t="s">
        <v>2015</v>
      </c>
    </row>
    <row r="4" spans="1:6" ht="55.8" customHeight="1">
      <c r="A4"/>
      <c r="B4"/>
      <c r="C4"/>
      <c r="D4"/>
      <c r="E4"/>
      <c r="F4"/>
    </row>
    <row r="5" spans="1:6" ht="55.8" customHeight="1">
      <c r="A5"/>
      <c r="B5"/>
      <c r="C5"/>
      <c r="D5"/>
      <c r="E5"/>
      <c r="F5"/>
    </row>
    <row r="6" spans="1:6" ht="55.8" customHeight="1">
      <c r="A6"/>
      <c r="B6"/>
      <c r="C6"/>
      <c r="D6"/>
      <c r="E6"/>
      <c r="F6"/>
    </row>
    <row r="7" spans="1:6" ht="55.8" customHeight="1">
      <c r="A7"/>
      <c r="B7"/>
      <c r="C7"/>
      <c r="D7"/>
      <c r="E7"/>
      <c r="F7"/>
    </row>
    <row r="8" spans="1:6" ht="55.8" customHeight="1">
      <c r="A8"/>
      <c r="B8"/>
      <c r="C8"/>
      <c r="D8"/>
      <c r="E8"/>
      <c r="F8"/>
    </row>
    <row r="9" spans="1:6" ht="55.8" customHeight="1">
      <c r="A9"/>
      <c r="B9"/>
      <c r="C9"/>
      <c r="D9"/>
      <c r="E9"/>
      <c r="F9"/>
    </row>
    <row r="10" spans="1:6" ht="55.8" customHeight="1">
      <c r="A10"/>
      <c r="B10"/>
      <c r="C10"/>
      <c r="D10"/>
      <c r="E10"/>
      <c r="F10"/>
    </row>
    <row r="11" spans="1:6" ht="55.8" customHeight="1">
      <c r="A11"/>
      <c r="B11"/>
      <c r="C11"/>
      <c r="D11"/>
      <c r="E11"/>
      <c r="F11"/>
    </row>
    <row r="12" spans="1:6" ht="55.8" customHeight="1">
      <c r="A12"/>
      <c r="B12"/>
      <c r="C12"/>
      <c r="D12"/>
      <c r="E12"/>
      <c r="F12"/>
    </row>
    <row r="13" spans="1:6" ht="55.8" customHeight="1">
      <c r="A13"/>
      <c r="B13"/>
      <c r="C13"/>
      <c r="D13"/>
      <c r="E13"/>
      <c r="F13"/>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3139</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2026-04-17T14:59:49Z</dcterms:modified>
</cp:coreProperties>
</file>