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D350307-317B-4866-861A-058868E7DB8C}"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<sst xmlns="http://schemas.openxmlformats.org/spreadsheetml/2006/main" count="4014" uniqueCount="3130">
  <si>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</si>
  <si>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</si>
  <si>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</si>
  <si>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</si>
  <si>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</si>
  <si>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</si>
  <si>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</si>
  <si>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</si>
  <si>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</si>
  <si>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</si>
  <si>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</si>
  <si>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</si>
  <si>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</si>
  <si>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</si>
  <si>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</si>
  <si>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</si>
  <si>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</si>
  <si>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</si>
  <si>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</si>
  <si>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</si>
  <si>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</si>
  <si>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</si>
  <si>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</si>
  <si>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</si>
  <si>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</si>
  <si>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</si>
  <si>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</si>
  <si>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</si>
  <si>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</si>
  <si>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</si>
  <si>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</si>
  <si>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</si>
  <si>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</si>
  <si>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</si>
  <si>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</si>
  <si>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</si>
  <si>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</si>
  <si>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</si>
  <si>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</si>
  <si>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</si>
  <si>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</si>
  <si>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</si>
  <si>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</si>
  <si>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</si>
  <si>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</si>
  <si>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</si>
  <si>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</si>
  <si>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</si>
  <si>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</si>
  <si>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</si>
  <si>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</si>
  <si>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</si>
  <si>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</si>
  <si>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</si>
  <si>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</si>
  <si>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</si>
  <si>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</si>
  <si>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</si>
  <si>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</si>
  <si>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</si>
  <si>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</si>
  <si>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</si>
  <si>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</si>
  <si>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</si>
  <si>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</si>
  <si>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</si>
  <si>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</si>
  <si>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</si>
  <si>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</si>
  <si>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</si>
  <si>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</si>
  <si>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</si>
  <si>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</si>
  <si>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</si>
  <si>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</si>
  <si>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</si>
  <si>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</si>
  <si>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</si>
  <si>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</si>
  <si>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</si>
  <si>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</si>
  <si>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</si>
  <si>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</si>
  <si>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</si>
  <si>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</si>
  <si>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</si>
  <si>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</si>
  <si>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</si>
  <si>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</si>
  <si>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</si>
  <si>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</si>
  <si>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</si>
  <si>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</si>
  <si>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</si>
  <si>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</si>
  <si>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</si>
  <si>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</si>
  <si>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</si>
  <si>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</si>
  <si>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</si>
  <si>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</si>
  <si>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</si>
  <si>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</si>
  <si>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</si>
  <si>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</si>
  <si>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</si>
  <si>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</si>
  <si>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</si>
  <si>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</si>
  <si>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</si>
  <si>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</si>
  <si>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</si>
  <si>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</si>
  <si>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</si>
  <si>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</si>
  <si>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</si>
  <si>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</si>
  <si>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</si>
  <si>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</si>
  <si>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</si>
  <si>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</si>
  <si>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</si>
  <si>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</si>
  <si>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</si>
  <si>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</si>
  <si>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</si>
  <si>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</si>
  <si>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</si>
  <si>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</si>
  <si>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</si>
  <si>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</si>
  <si>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</si>
  <si>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</si>
  <si>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</si>
  <si>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</si>
  <si>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</si>
  <si>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</si>
  <si>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</si>
  <si>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</si>
  <si>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</si>
  <si>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</si>
  <si>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</si>
  <si>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</si>
  <si>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</si>
  <si>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</si>
  <si>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</si>
  <si>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</si>
  <si>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</si>
  <si>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</si>
  <si>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</si>
  <si>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</si>
  <si>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</si>
  <si>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</si>
  <si>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</si>
  <si>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</si>
  <si>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</si>
  <si>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</si>
  <si>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</si>
  <si>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</si>
  <si>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</si>
  <si>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</si>
  <si>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</si>
  <si>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</si>
  <si>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</si>
  <si>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</si>
  <si>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</si>
  <si>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</si>
  <si>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</si>
  <si>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</si>
  <si>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</si>
  <si>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</si>
  <si>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</si>
  <si>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</si>
  <si>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</si>
  <si>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</si>
  <si>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</si>
  <si>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</si>
  <si>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</si>
  <si>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</si>
  <si>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</si>
  <si>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</si>
  <si>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</si>
  <si>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</si>
  <si>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</si>
  <si>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</si>
  <si>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</si>
  <si>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</si>
  <si>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</si>
  <si>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</si>
  <si>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</si>
  <si>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</si>
  <si>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</si>
  <si>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</si>
  <si>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</si>
  <si>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</si>
  <si>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</si>
  <si>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</si>
  <si>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</si>
  <si>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</si>
  <si>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</si>
  <si>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</si>
  <si>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</si>
  <si>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</si>
  <si>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</si>
  <si>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</si>
  <si>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</si>
  <si>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</si>
  <si>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</si>
  <si>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</si>
  <si>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</si>
  <si>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</si>
  <si>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</si>
  <si>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</si>
  <si>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</si>
  <si>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</si>
  <si>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</si>
  <si>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</si>
  <si>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</si>
  <si>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</si>
  <si>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</si>
  <si>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</si>
  <si>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</si>
  <si>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</si>
  <si>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</si>
  <si>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</si>
  <si>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</si>
  <si>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</si>
  <si>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</si>
  <si>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</si>
  <si>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</si>
  <si>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</si>
  <si>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</si>
  <si>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</si>
  <si>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</si>
  <si>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</si>
  <si>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</si>
  <si>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</si>
  <si>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</si>
  <si>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</si>
  <si>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</si>
  <si>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</si>
  <si>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</si>
  <si>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</si>
  <si>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</si>
  <si>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</si>
  <si>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</si>
  <si>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</si>
  <si>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</si>
  <si>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</si>
  <si>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</si>
  <si>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</si>
  <si>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</si>
  <si>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</si>
  <si>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</si>
  <si>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</si>
  <si>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</si>
  <si>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</si>
  <si>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</si>
  <si>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</si>
  <si>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</si>
  <si>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</si>
  <si>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</si>
  <si>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</si>
  <si>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</si>
  <si>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</si>
  <si>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</si>
  <si>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</si>
  <si>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</si>
  <si>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</si>
  <si>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</si>
  <si>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</si>
  <si>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</si>
  <si>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</si>
  <si>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</si>
  <si>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</si>
  <si>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</si>
  <si>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</si>
  <si>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</si>
  <si>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</si>
  <si>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</si>
  <si>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</si>
  <si>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</si>
  <si>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</si>
  <si>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</si>
  <si>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</si>
  <si>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</si>
  <si>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</si>
  <si>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</si>
  <si>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</si>
  <si>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</si>
  <si>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</si>
  <si>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</si>
  <si>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</si>
  <si>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</si>
  <si>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</si>
  <si>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</si>
  <si>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</si>
  <si>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</si>
  <si>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</si>
  <si>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</si>
  <si>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</si>
  <si>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</si>
  <si>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</si>
  <si>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</si>
  <si>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</si>
  <si>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</si>
  <si>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</si>
  <si>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</si>
  <si>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</si>
  <si>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</si>
  <si>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</si>
  <si>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</si>
  <si>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</si>
  <si>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</si>
  <si>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</si>
  <si>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</si>
  <si>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</si>
  <si>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</si>
  <si>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</si>
  <si>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</si>
  <si>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</si>
  <si>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</si>
  <si>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</si>
  <si>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</si>
  <si>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</si>
  <si>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</si>
  <si>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</si>
  <si>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</si>
  <si>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</si>
  <si>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</si>
  <si>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</si>
  <si>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</si>
  <si>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</si>
  <si>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</si>
  <si>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</si>
  <si>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</si>
  <si>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</si>
  <si>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</si>
  <si>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</si>
  <si>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</si>
  <si>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</si>
  <si>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</si>
  <si>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</si>
  <si>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</si>
  <si>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</si>
  <si>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</si>
  <si>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</si>
  <si>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</si>
  <si>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</si>
  <si>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</si>
  <si>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</si>
  <si>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</si>
  <si>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</si>
  <si>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</si>
  <si>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</si>
  <si>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</si>
  <si>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</si>
  <si>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</si>
  <si>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</si>
  <si>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</si>
  <si>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</si>
  <si>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</si>
  <si>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</si>
  <si>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</si>
  <si>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</si>
  <si>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</si>
  <si>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</si>
  <si>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</si>
  <si>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</si>
  <si>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</si>
  <si>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</si>
  <si>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</si>
  <si>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</si>
  <si>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</si>
  <si>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</si>
  <si>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</si>
  <si>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</si>
  <si>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</si>
  <si>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</si>
  <si>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</si>
  <si>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</si>
  <si>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</si>
  <si>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</si>
  <si>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</si>
  <si>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</si>
  <si>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</si>
  <si>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</si>
  <si>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</si>
  <si>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</si>
  <si>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</si>
  <si>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</si>
  <si>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</si>
  <si>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</si>
  <si>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</si>
  <si>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</si>
  <si>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</si>
  <si>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</si>
  <si>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</si>
  <si>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</si>
  <si>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</si>
  <si>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</si>
  <si>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</si>
  <si>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</si>
  <si>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</si>
  <si>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</si>
  <si>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</si>
  <si>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</si>
  <si>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</si>
  <si>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</si>
  <si>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</si>
  <si>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</si>
  <si>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</si>
  <si>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</si>
  <si>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</si>
  <si>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</si>
  <si>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</si>
  <si>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</si>
  <si>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</si>
  <si>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</si>
  <si>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</si>
  <si>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</si>
  <si>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</si>
  <si>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</si>
  <si>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</si>
  <si>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</si>
  <si>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</si>
  <si>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</si>
  <si>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</si>
  <si>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</si>
  <si>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</si>
  <si>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</si>
  <si>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</si>
  <si>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</si>
  <si>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</si>
  <si>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</si>
  <si>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</si>
  <si>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</si>
  <si>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</si>
  <si>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</si>
  <si>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</si>
  <si>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</si>
  <si>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</si>
  <si>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</si>
  <si>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</si>
  <si>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</si>
  <si>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</si>
  <si>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</si>
  <si>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</si>
  <si>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</si>
  <si>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</si>
  <si>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</si>
  <si>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</si>
  <si>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</si>
  <si>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</si>
  <si>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</si>
  <si>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</si>
  <si>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</si>
  <si>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</si>
  <si>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</si>
  <si>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</si>
  <si>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</si>
  <si>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</si>
  <si>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</si>
  <si>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</si>
  <si>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</si>
  <si>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</si>
  <si>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</si>
  <si>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</si>
  <si>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</si>
  <si>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</si>
  <si>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</si>
  <si>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</si>
  <si>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</si>
  <si>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</si>
  <si>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</si>
  <si>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</si>
  <si>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</si>
  <si>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</si>
  <si>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</si>
  <si>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</si>
  <si>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</si>
  <si>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</si>
  <si>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</si>
  <si>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</si>
  <si>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</si>
  <si>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</si>
  <si>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</si>
  <si>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</si>
  <si>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</si>
  <si>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</si>
  <si>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</si>
  <si>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</si>
  <si>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</si>
  <si>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</si>
  <si>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</si>
  <si>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</si>
  <si>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</si>
  <si>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</si>
  <si>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</si>
  <si>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</si>
  <si>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</si>
  <si>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</si>
  <si>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</si>
  <si>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</si>
  <si>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</si>
  <si>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</si>
  <si>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</si>
  <si>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</si>
  <si>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</si>
  <si>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</si>
  <si>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</si>
  <si>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</si>
  <si>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</si>
  <si>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</si>
  <si>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</si>
  <si>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</si>
  <si>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</si>
  <si>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</si>
  <si>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</si>
  <si>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</si>
  <si>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</si>
  <si>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</si>
  <si>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</si>
  <si>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</si>
  <si>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</si>
  <si>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</si>
  <si>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</si>
  <si>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</si>
  <si>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</si>
  <si>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</si>
  <si>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</si>
  <si>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</si>
  <si>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</si>
  <si>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</si>
  <si>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</si>
  <si>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</si>
  <si>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</si>
  <si>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</si>
  <si>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</si>
  <si>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</si>
  <si>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</si>
  <si>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</si>
  <si>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</si>
  <si>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</si>
  <si>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</si>
  <si>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</si>
  <si>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</si>
  <si>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</si>
  <si>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</si>
  <si>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</si>
  <si>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</si>
  <si>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</si>
  <si>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</si>
  <si>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</si>
  <si>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</si>
  <si>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</si>
  <si>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</si>
  <si>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</si>
  <si>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</si>
  <si>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</si>
  <si>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</si>
  <si>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</si>
  <si>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</si>
  <si>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</si>
  <si>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</si>
  <si>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</si>
  <si>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</si>
  <si>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</si>
  <si>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</si>
  <si>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</si>
  <si>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</si>
  <si>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</si>
  <si>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</si>
  <si>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</si>
  <si>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</si>
  <si>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</si>
  <si>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</si>
  <si>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</si>
  <si>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</si>
  <si>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</si>
  <si>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</si>
  <si>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</si>
  <si>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</si>
  <si>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</si>
  <si>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</si>
  <si>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</si>
  <si>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</si>
  <si>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</si>
  <si>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</si>
  <si>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</si>
  <si>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</si>
  <si>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</si>
  <si>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</si>
  <si>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</si>
  <si>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</si>
  <si>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</si>
  <si>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</si>
  <si>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</si>
  <si>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</si>
  <si>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</si>
  <si>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</si>
  <si>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</si>
  <si>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</si>
  <si>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</si>
  <si>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</si>
  <si>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</si>
  <si>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</si>
  <si>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</si>
  <si>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</si>
  <si>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</si>
  <si>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</si>
  <si>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</si>
  <si>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</si>
  <si>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</si>
  <si>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</si>
  <si>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</si>
  <si>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</si>
  <si>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</si>
  <si>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</si>
  <si>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</si>
  <si>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</si>
  <si>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</si>
  <si>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</si>
  <si>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</si>
  <si>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</si>
  <si>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</si>
  <si>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</si>
  <si>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</si>
  <si>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</si>
  <si>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</si>
  <si>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</si>
  <si>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</si>
  <si>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</si>
  <si>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</si>
  <si>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</si>
  <si>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</si>
  <si>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</si>
  <si>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</si>
  <si>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</si>
  <si>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</si>
  <si>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</si>
  <si>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</si>
  <si>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</si>
  <si>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</si>
  <si>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</si>
  <si>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</si>
  <si>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</si>
  <si>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</si>
  <si>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</si>
  <si>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</si>
  <si>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</si>
  <si>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</si>
  <si>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</si>
  <si>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</si>
  <si>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</si>
  <si>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</si>
  <si>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</si>
  <si>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</si>
  <si>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</si>
  <si>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</si>
  <si>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</si>
  <si>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</si>
  <si>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</si>
  <si>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</si>
  <si>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</si>
  <si>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</si>
  <si>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</si>
  <si>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</si>
  <si>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</si>
  <si>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</si>
  <si>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</si>
  <si>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</si>
  <si>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</si>
  <si>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</si>
  <si>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</si>
  <si>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</si>
  <si>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</si>
  <si>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</si>
  <si>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</si>
  <si>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</si>
  <si>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</si>
  <si>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</si>
  <si>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</si>
  <si>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</si>
  <si>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</si>
  <si>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</si>
  <si>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</si>
  <si>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</si>
  <si>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</si>
  <si>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</si>
  <si>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</si>
  <si>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</si>
  <si>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</si>
  <si>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</si>
  <si>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</si>
  <si>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</si>
  <si>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</si>
  <si>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</si>
  <si>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</si>
  <si>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</si>
  <si>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</si>
  <si>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</si>
  <si>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</si>
  <si>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</si>
  <si>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</si>
  <si>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</si>
  <si>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</si>
  <si>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</si>
  <si>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</si>
  <si>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</si>
  <si>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</si>
  <si>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</si>
  <si>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</si>
  <si>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</si>
  <si>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</si>
  <si>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</si>
  <si>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</si>
  <si>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</si>
  <si>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</si>
  <si>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</si>
  <si>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</si>
  <si>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</si>
  <si>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</si>
  <si>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</si>
  <si>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</si>
  <si>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</si>
  <si>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</si>
  <si>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</si>
  <si>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</si>
  <si>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</si>
  <si>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</si>
  <si>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</si>
  <si>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</si>
  <si>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</si>
  <si>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</si>
  <si>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</si>
  <si>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</si>
  <si>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</si>
  <si>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</si>
  <si>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</si>
  <si>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</si>
  <si>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</si>
  <si>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</si>
  <si>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</si>
  <si>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</si>
  <si>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</si>
  <si>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</si>
  <si>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</si>
  <si>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</si>
  <si>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</si>
  <si>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</si>
  <si>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</si>
  <si>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</si>
  <si>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</si>
  <si>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</si>
  <si>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</si>
  <si>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</si>
  <si>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</si>
  <si>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</si>
  <si>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</si>
  <si>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</si>
  <si>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</si>
  <si>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</si>
  <si>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</si>
  <si>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</si>
  <si>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</si>
  <si>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</si>
  <si>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</si>
  <si>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</si>
  <si>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</si>
  <si>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</si>
  <si>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</si>
  <si>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</si>
  <si>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</si>
  <si>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</si>
  <si>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</si>
  <si>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</si>
  <si>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</si>
  <si>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</si>
  <si>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</si>
  <si>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</si>
  <si>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</si>
  <si>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</si>
  <si>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</si>
  <si>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</si>
  <si>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</si>
  <si>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</si>
  <si>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</si>
  <si>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</si>
  <si>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</si>
  <si>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</si>
  <si>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</si>
  <si>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</si>
  <si>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</si>
  <si>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</si>
  <si>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</si>
  <si>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</si>
  <si>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</si>
  <si>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</si>
  <si>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</si>
  <si>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</si>
  <si>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</si>
  <si>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</si>
  <si>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</si>
  <si>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</si>
  <si>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</si>
  <si>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</si>
  <si>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</si>
  <si>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</si>
  <si>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</si>
  <si>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</si>
  <si>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</si>
  <si>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</si>
  <si>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</si>
  <si>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</si>
  <si>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</si>
  <si>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</si>
  <si>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</si>
  <si>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</si>
  <si>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</si>
  <si>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</si>
  <si>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</si>
  <si>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</si>
  <si>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</si>
  <si>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</si>
  <si>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</si>
  <si>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</si>
  <si>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</si>
  <si>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</si>
  <si>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</si>
  <si>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</si>
  <si>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</si>
  <si>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</si>
  <si>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</si>
  <si>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</si>
  <si>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</si>
  <si>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</si>
  <si>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</si>
  <si>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</si>
  <si>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</si>
  <si>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</si>
  <si>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</si>
  <si>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</si>
  <si>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</si>
  <si>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</si>
  <si>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</si>
  <si>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</si>
  <si>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</si>
  <si>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</si>
  <si>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</si>
  <si>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</si>
  <si>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</si>
  <si>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</si>
  <si>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</si>
  <si>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</si>
  <si>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</si>
  <si>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</si>
  <si>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</si>
  <si>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</si>
  <si>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</si>
  <si>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</si>
  <si>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</si>
  <si>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</si>
  <si>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</si>
  <si>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</si>
  <si>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</si>
  <si>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</si>
  <si>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</si>
  <si>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</si>
  <si>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</si>
  <si>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</si>
  <si>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</si>
  <si>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</si>
  <si>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</si>
  <si>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</si>
  <si>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</si>
  <si>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</si>
  <si>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</si>
  <si>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</si>
  <si>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</si>
  <si>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</si>
  <si>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</si>
  <si>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</si>
  <si>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</si>
  <si>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</si>
  <si>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</si>
  <si>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</si>
  <si>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</si>
  <si>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</si>
  <si>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</si>
  <si>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</si>
  <si>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</si>
  <si>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</si>
  <si>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</si>
  <si>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</si>
  <si>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</si>
  <si>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</si>
  <si>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</si>
  <si>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</si>
  <si>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</si>
  <si>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</si>
  <si>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</si>
  <si>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</si>
  <si>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</si>
  <si>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</si>
  <si>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</si>
  <si>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</si>
  <si>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</si>
  <si>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</si>
  <si>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</si>
  <si>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</si>
  <si>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</si>
  <si>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</si>
  <si>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</si>
  <si>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</si>
  <si>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</si>
  <si>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</si>
  <si>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</si>
  <si>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</si>
  <si>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</si>
  <si>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</si>
  <si>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</si>
  <si>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</si>
  <si>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</si>
  <si>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</si>
  <si>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</si>
  <si>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</si>
  <si>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</si>
  <si>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</si>
  <si>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</si>
  <si>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</si>
  <si>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</si>
  <si>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</si>
  <si>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</si>
  <si>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</si>
  <si>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</si>
  <si>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</si>
  <si>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</si>
  <si>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</si>
  <si>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</si>
  <si>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</si>
  <si>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</si>
  <si>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</si>
  <si>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</si>
  <si>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</si>
  <si>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</si>
  <si>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</si>
  <si>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</si>
  <si>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</si>
  <si>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</si>
  <si>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</si>
  <si>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</si>
  <si>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</si>
  <si>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</si>
  <si>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</si>
  <si>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</si>
  <si>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</si>
  <si>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</si>
  <si>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</si>
  <si>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</si>
  <si>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</si>
  <si>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</si>
  <si>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</si>
  <si>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</si>
  <si>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</si>
  <si>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</si>
  <si>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</si>
  <si>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</si>
  <si>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</si>
  <si>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</si>
  <si>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</si>
  <si>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</si>
  <si>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</si>
  <si>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</si>
  <si>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</si>
  <si>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</si>
  <si>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</si>
  <si>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</si>
  <si>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</si>
  <si>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</si>
  <si>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</si>
  <si>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</si>
  <si>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</si>
  <si>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</si>
  <si>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</si>
  <si>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</si>
  <si>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</si>
  <si>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</si>
  <si>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</si>
  <si>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</si>
  <si>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</si>
  <si>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</si>
  <si>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</si>
  <si>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</si>
  <si>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</si>
  <si>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</si>
  <si>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</si>
  <si>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</si>
  <si>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</si>
  <si>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</si>
  <si>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</si>
  <si>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</si>
  <si>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</si>
  <si>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</si>
  <si>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</si>
  <si>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</si>
  <si>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</si>
  <si>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</si>
  <si>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</si>
  <si>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</si>
  <si>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</si>
  <si>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</si>
  <si>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</si>
  <si>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</si>
  <si>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</si>
  <si>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</si>
  <si>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</si>
  <si>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</si>
  <si>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</si>
  <si>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</si>
  <si>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</si>
  <si>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</si>
  <si>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</si>
  <si>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</si>
  <si>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</si>
  <si>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</si>
  <si>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</si>
  <si>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</si>
  <si>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</si>
  <si>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</si>
  <si>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</si>
  <si>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</si>
  <si>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</si>
  <si>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</si>
  <si>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</si>
  <si>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</si>
  <si>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</si>
  <si>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</si>
  <si>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</si>
  <si>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</si>
  <si>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</si>
  <si>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</si>
  <si>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</si>
  <si>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</si>
  <si>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</si>
  <si>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</si>
  <si>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</si>
  <si>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</si>
  <si>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</si>
  <si>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</si>
  <si>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</si>
  <si>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</si>
  <si>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</si>
  <si>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</si>
  <si>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</si>
  <si>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</si>
  <si>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</si>
  <si>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</si>
  <si>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</si>
  <si>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</si>
  <si>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</si>
  <si>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</si>
  <si>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</si>
  <si>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</si>
  <si>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</si>
  <si>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</si>
  <si>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</si>
  <si>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</si>
  <si>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</si>
  <si>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</si>
  <si>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</si>
  <si>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</si>
  <si>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</si>
  <si>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</si>
  <si>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</si>
  <si>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</si>
  <si>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</si>
  <si>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</si>
  <si>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</si>
  <si>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</si>
  <si>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</si>
  <si>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</si>
  <si>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</si>
  <si>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</si>
  <si>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</si>
  <si>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</si>
  <si>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</si>
  <si>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</si>
  <si>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</si>
  <si>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</si>
  <si>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</si>
  <si>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</si>
  <si>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</si>
  <si>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</si>
  <si>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</si>
  <si>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</si>
  <si>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</si>
  <si>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</si>
  <si>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</si>
  <si>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</si>
  <si>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</si>
  <si>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</si>
  <si>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</si>
  <si>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</si>
  <si>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</si>
  <si>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</si>
  <si>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</si>
  <si>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</si>
  <si>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</si>
  <si>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</si>
  <si>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</si>
  <si>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</si>
  <si>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</si>
  <si>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</si>
  <si>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</si>
  <si>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</si>
  <si>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</si>
  <si>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</si>
  <si>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</si>
  <si>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</si>
  <si>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</si>
  <si>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</si>
  <si>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</si>
  <si>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</si>
  <si>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</si>
  <si>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</si>
  <si>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</si>
  <si>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</si>
  <si>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</si>
  <si>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</si>
  <si>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</si>
  <si>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</si>
  <si>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</si>
  <si>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</si>
  <si>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</si>
  <si>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</si>
  <si>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</si>
  <si>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</si>
  <si>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</si>
  <si>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</si>
  <si>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</si>
  <si>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</si>
  <si>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</si>
  <si>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</si>
  <si>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</si>
  <si>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</si>
  <si>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</si>
  <si>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</si>
  <si>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</si>
  <si>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</si>
  <si>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</si>
  <si>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</si>
  <si>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</si>
  <si>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</si>
  <si>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</si>
  <si>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</si>
  <si>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</si>
  <si>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</si>
  <si>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</si>
  <si>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</si>
  <si>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</si>
  <si>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</si>
  <si>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</si>
  <si>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</si>
  <si>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</si>
  <si>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</si>
  <si>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</si>
  <si>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</si>
  <si>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</si>
  <si>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</si>
  <si>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</si>
  <si>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</si>
  <si>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</si>
  <si>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</si>
  <si>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</si>
  <si>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</si>
  <si>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</si>
  <si>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</si>
  <si>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</si>
  <si>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</si>
  <si>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</si>
  <si>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</si>
  <si>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</si>
  <si>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</si>
  <si>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</si>
  <si>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</si>
  <si>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</si>
  <si>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</si>
  <si>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</si>
  <si>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</si>
  <si>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</si>
  <si>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</si>
  <si>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</si>
  <si>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</si>
  <si>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</si>
  <si>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</si>
  <si>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</si>
  <si>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</si>
  <si>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</si>
  <si>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</si>
  <si>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</si>
  <si>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</si>
  <si>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</si>
  <si>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</si>
  <si>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</si>
  <si>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</si>
  <si>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</si>
  <si>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</si>
  <si>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</si>
  <si>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</si>
  <si>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</si>
  <si>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</si>
  <si>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</si>
  <si>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</si>
  <si>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</si>
  <si>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</si>
  <si>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</si>
  <si>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</si>
  <si>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</si>
  <si>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</si>
  <si>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</si>
  <si>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</si>
  <si>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</si>
  <si>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</si>
  <si>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</si>
  <si>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</si>
  <si>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</si>
  <si>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</si>
  <si>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</si>
  <si>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</si>
  <si>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</si>
  <si>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</si>
  <si>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</si>
  <si>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</si>
  <si>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</si>
  <si>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</si>
  <si>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</si>
  <si>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</si>
  <si>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</si>
  <si>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</si>
  <si>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</si>
  <si>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</si>
  <si>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</si>
  <si>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</si>
  <si>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</si>
  <si>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</si>
  <si>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</si>
  <si>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</si>
  <si>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</si>
  <si>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</si>
  <si>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</si>
  <si>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</si>
  <si>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</si>
  <si>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</si>
  <si>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</si>
  <si>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</si>
  <si>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</si>
  <si>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</si>
  <si>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</si>
  <si>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</si>
  <si>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</si>
  <si>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</si>
  <si>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</si>
  <si>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</si>
  <si>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</si>
  <si>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</si>
  <si>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</si>
  <si>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</si>
  <si>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</si>
  <si>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</si>
  <si>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</si>
  <si>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</si>
  <si>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</si>
  <si>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</si>
  <si>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</si>
  <si>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</si>
  <si>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</si>
  <si>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</si>
  <si>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</si>
  <si>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</si>
  <si>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</si>
  <si>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</si>
  <si>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</si>
  <si>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</si>
  <si>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</si>
  <si>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</si>
  <si>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</si>
  <si>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</si>
  <si>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</si>
  <si>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</si>
  <si>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</si>
  <si>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</si>
  <si>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</si>
  <si>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</si>
  <si>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</si>
  <si>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</si>
  <si>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</si>
  <si>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</si>
  <si>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</si>
  <si>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</si>
  <si>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</si>
  <si>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</si>
  <si>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</si>
  <si>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</si>
  <si>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</si>
  <si>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</si>
  <si>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</si>
  <si>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</si>
  <si>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</si>
  <si>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</si>
  <si>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</si>
  <si>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</si>
  <si>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</si>
  <si>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</si>
  <si>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</si>
  <si>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</si>
  <si>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</si>
  <si>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</si>
  <si>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</si>
  <si>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</si>
  <si>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</si>
  <si>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</si>
  <si>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</si>
  <si>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</si>
  <si>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</si>
  <si>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</si>
  <si>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</si>
  <si>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</si>
  <si>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</si>
  <si>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</si>
  <si>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</si>
  <si>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</si>
  <si>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</si>
  <si>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</si>
  <si>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</si>
  <si>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</si>
  <si>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</si>
  <si>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</si>
  <si>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</si>
  <si>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</si>
  <si>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</si>
  <si>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</si>
  <si>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</si>
  <si>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</si>
  <si>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</si>
  <si>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</si>
  <si>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</si>
  <si>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</si>
  <si>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</si>
  <si>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</si>
  <si>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</si>
  <si>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</si>
  <si>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</si>
  <si>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</si>
  <si>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</si>
  <si>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</si>
  <si>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</si>
  <si>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</si>
  <si>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</si>
  <si>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</si>
  <si>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</si>
  <si>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</si>
  <si>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</si>
  <si>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</si>
  <si>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</si>
  <si>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</si>
  <si>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</si>
  <si>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</si>
  <si>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</si>
  <si>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</si>
  <si>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</si>
  <si>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</si>
  <si>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</si>
  <si>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</si>
  <si>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</si>
  <si>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</si>
  <si>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</si>
  <si>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</si>
  <si>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</si>
  <si>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</si>
  <si>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</si>
  <si>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</si>
  <si>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</si>
  <si>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</si>
  <si>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</si>
  <si>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</si>
  <si>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</si>
  <si>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</si>
  <si>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</si>
  <si>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</si>
  <si>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</si>
  <si>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</si>
  <si>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</si>
  <si>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</si>
  <si>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</si>
  <si>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</si>
  <si>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</si>
  <si>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</si>
  <si>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</si>
  <si>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</si>
  <si>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</si>
  <si>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</si>
  <si>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</si>
  <si>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</si>
  <si>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</si>
  <si>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</si>
  <si>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</si>
  <si>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</si>
  <si>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</si>
  <si>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</si>
  <si>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</si>
  <si>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</si>
  <si>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</si>
  <si>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</si>
  <si>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</si>
  <si>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</si>
  <si>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</si>
  <si>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</si>
  <si>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</si>
  <si>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</si>
  <si>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</si>
  <si>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</si>
  <si>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</si>
  <si>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</si>
  <si>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</si>
  <si>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</si>
  <si>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</si>
  <si>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</si>
  <si>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</si>
  <si>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</si>
  <si>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</si>
  <si>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</si>
  <si>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</si>
  <si>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</si>
  <si>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</si>
  <si>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</si>
  <si>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</si>
  <si>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</si>
  <si>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</si>
  <si>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</si>
  <si>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</si>
  <si>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</si>
  <si>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</si>
  <si>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</si>
  <si>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</si>
  <si>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</si>
  <si>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</si>
  <si>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</si>
  <si>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</si>
  <si>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</si>
  <si>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</si>
  <si>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</si>
  <si>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</si>
  <si>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</si>
  <si>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</si>
  <si>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</si>
  <si>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</si>
  <si>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</si>
  <si>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</si>
  <si>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</si>
  <si>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</si>
  <si>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</si>
  <si>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</si>
  <si>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</si>
  <si>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</si>
  <si>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</si>
  <si>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</si>
  <si>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</si>
  <si>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</si>
  <si>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</si>
  <si>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</si>
  <si>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</si>
  <si>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</si>
  <si>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</si>
  <si>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</si>
  <si>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</si>
  <si>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</si>
  <si>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</si>
  <si>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</si>
  <si>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</si>
  <si>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</si>
  <si>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</si>
  <si>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</si>
  <si>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</si>
  <si>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</si>
  <si>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</si>
  <si>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</si>
  <si>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</si>
  <si>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</si>
  <si>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</si>
  <si>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</si>
  <si>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</si>
  <si>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</si>
  <si>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</si>
  <si>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</si>
  <si>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</si>
  <si>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</si>
  <si>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</si>
  <si>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</si>
  <si>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</si>
  <si>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</si>
  <si>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</si>
  <si>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</si>
  <si>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</si>
  <si>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</si>
  <si>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</si>
  <si>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</si>
  <si>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</si>
  <si>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</si>
  <si>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</si>
  <si>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</si>
  <si>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</si>
  <si>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</si>
  <si>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</si>
  <si>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</si>
  <si>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</si>
  <si>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</si>
  <si>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</si>
  <si>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</si>
  <si>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</si>
  <si>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</si>
  <si>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</si>
  <si>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</si>
  <si>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</si>
  <si>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</si>
  <si>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</si>
  <si>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</si>
  <si>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</si>
  <si>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</si>
  <si>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</si>
  <si>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</si>
  <si>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</si>
  <si>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</si>
  <si>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</si>
  <si>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</si>
  <si>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</si>
  <si>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</si>
  <si>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</si>
  <si>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</si>
  <si>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</si>
  <si>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</si>
  <si>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</si>
  <si>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</si>
  <si>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</si>
  <si>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</si>
  <si>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</si>
  <si>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</si>
  <si>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</si>
  <si>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</si>
  <si>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</si>
  <si>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</si>
  <si>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</si>
  <si>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</si>
  <si>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</si>
  <si>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</si>
  <si>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</si>
  <si>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</si>
  <si>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</si>
  <si>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</si>
  <si>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</si>
  <si>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</si>
  <si>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</si>
  <si>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</si>
  <si>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</si>
  <si>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</si>
  <si>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</si>
  <si>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</si>
  <si>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</si>
  <si>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</si>
  <si>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</si>
  <si>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</si>
  <si>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</si>
  <si>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</si>
  <si>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</si>
  <si>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</si>
  <si>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</si>
  <si>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</si>
  <si>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</si>
  <si>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</si>
  <si>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</si>
  <si>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</si>
  <si>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</si>
  <si>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</si>
  <si>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</si>
  <si>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</si>
  <si>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</si>
  <si>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</si>
  <si>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</si>
  <si>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</si>
  <si>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</si>
  <si>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</si>
  <si>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</si>
  <si>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</si>
  <si>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</si>
  <si>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</si>
  <si>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</si>
  <si>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</si>
  <si>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</si>
  <si>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</si>
  <si>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</si>
  <si>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</si>
  <si>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</si>
  <si>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</si>
  <si>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</si>
  <si>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</si>
  <si>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</si>
  <si>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</si>
  <si>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</si>
  <si>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</si>
  <si>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</si>
  <si>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</si>
  <si>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</si>
  <si>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</si>
  <si>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</si>
  <si>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</si>
  <si>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</si>
  <si>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</si>
  <si>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</si>
  <si>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</si>
  <si>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</si>
  <si>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</si>
  <si>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</si>
  <si>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</si>
  <si>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</si>
  <si>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</si>
  <si>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</si>
  <si>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</si>
  <si>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</si>
  <si>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</si>
  <si>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</si>
  <si>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</si>
  <si>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</si>
  <si>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</si>
  <si>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</si>
  <si>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</si>
  <si>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</si>
  <si>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</si>
  <si>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</si>
  <si>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</si>
  <si>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</si>
  <si>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</si>
  <si>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</si>
  <si>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</si>
  <si>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</si>
  <si>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</si>
  <si>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</si>
  <si>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</si>
  <si>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</si>
  <si>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</si>
  <si>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</si>
  <si>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</si>
  <si>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</si>
  <si>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</si>
  <si>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</si>
  <si>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</si>
  <si>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</si>
  <si>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</si>
  <si>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</si>
  <si>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</si>
  <si>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</si>
  <si>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</si>
  <si>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</si>
  <si>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</si>
  <si>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</si>
  <si>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</si>
  <si>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</si>
  <si>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</si>
  <si>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</si>
  <si>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</si>
  <si>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</si>
  <si>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</si>
  <si>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</si>
  <si>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</si>
  <si>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</si>
  <si>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</si>
  <si>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</si>
  <si>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</si>
  <si>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</si>
  <si>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</si>
  <si>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</si>
  <si>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</si>
  <si>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</si>
  <si>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</si>
  <si>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</si>
  <si>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</si>
  <si>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</si>
  <si>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</si>
  <si>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</si>
  <si>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</si>
  <si>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</si>
  <si>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</si>
  <si>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</si>
  <si>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</si>
  <si>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</si>
  <si>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</si>
  <si>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</si>
  <si>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</si>
  <si>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</si>
  <si>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</si>
  <si>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</si>
  <si>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</si>
  <si>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</si>
  <si>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</si>
  <si>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</si>
  <si>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</si>
  <si>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</si>
  <si>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</si>
  <si>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</si>
  <si>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</si>
  <si>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</si>
  <si>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</si>
  <si>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</si>
  <si>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</si>
  <si>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</si>
  <si>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</si>
  <si>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</si>
  <si>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</si>
  <si>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</si>
  <si>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</si>
  <si>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</si>
  <si>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</si>
  <si>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</si>
  <si>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</si>
  <si>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</si>
  <si>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</si>
  <si>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</si>
  <si>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</si>
  <si>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</si>
  <si>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</si>
  <si>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</si>
  <si>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</si>
  <si>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</si>
  <si>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</si>
  <si>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</si>
  <si>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</si>
  <si>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</si>
  <si>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</si>
  <si>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</si>
  <si>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</si>
  <si>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</si>
  <si>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</si>
  <si>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</si>
  <si>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</si>
  <si>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</si>
  <si>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</si>
  <si>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</si>
  <si>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</si>
  <si>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</si>
  <si>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</si>
  <si>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</si>
  <si>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</si>
  <si>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</si>
  <si>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</si>
  <si>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</si>
  <si>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</si>
  <si>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</si>
  <si>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</si>
  <si>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</si>
  <si>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</si>
  <si>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</si>
  <si>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</si>
  <si>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</si>
  <si>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</si>
  <si>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</si>
  <si>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</si>
  <si>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</si>
  <si>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</si>
  <si>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</si>
  <si>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</si>
  <si>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</si>
  <si>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</si>
  <si>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</si>
  <si>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</si>
  <si>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</si>
  <si>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</si>
  <si>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</si>
  <si>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</si>
  <si>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</si>
  <si>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</si>
  <si>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</si>
  <si>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</si>
  <si>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</si>
  <si>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</si>
  <si>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</si>
  <si>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</si>
  <si>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</si>
  <si>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</si>
  <si>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</si>
  <si>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</si>
  <si>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</si>
  <si>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</si>
  <si>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</si>
  <si>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</si>
  <si>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</si>
  <si>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</si>
  <si>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</si>
  <si>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</si>
  <si>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</si>
  <si>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</si>
  <si>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</si>
  <si>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</si>
  <si>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</si>
  <si>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</si>
  <si>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</si>
  <si>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</si>
  <si>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</si>
  <si>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</si>
  <si>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</si>
  <si>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</si>
  <si>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</si>
  <si>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</si>
  <si>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</si>
  <si>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</si>
  <si>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</si>
  <si>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</si>
  <si>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</si>
  <si>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</si>
  <si>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</si>
  <si>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</si>
  <si>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</si>
  <si>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</si>
  <si>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</si>
  <si>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</si>
  <si>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</si>
  <si>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</si>
  <si>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</si>
  <si>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</si>
  <si>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</si>
  <si>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</si>
  <si>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</si>
  <si>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</si>
  <si>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</si>
  <si>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</si>
  <si>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</si>
  <si>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</si>
  <si>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</si>
  <si>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</si>
  <si>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</si>
  <si>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</si>
  <si>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</si>
  <si>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</si>
  <si>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</si>
  <si>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</si>
  <si>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</si>
  <si>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</si>
  <si>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</si>
  <si>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</si>
  <si>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</si>
  <si>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</si>
  <si>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</si>
  <si>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</si>
  <si>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</si>
  <si>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</si>
  <si>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</si>
  <si>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</si>
  <si>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</si>
  <si>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</si>
  <si>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</si>
  <si>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</si>
  <si>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</si>
  <si>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</si>
  <si>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</si>
  <si>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</si>
  <si>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</si>
  <si>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</si>
  <si>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</si>
  <si>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</si>
  <si>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</si>
  <si>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</si>
  <si>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</si>
  <si>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</si>
  <si>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</si>
  <si>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</si>
  <si>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</si>
  <si>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</si>
  <si>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</si>
  <si>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</si>
  <si>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</si>
  <si>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</si>
  <si>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</si>
  <si>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</si>
  <si>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</si>
  <si>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</si>
  <si>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</si>
  <si>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</si>
  <si>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</si>
  <si>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</si>
  <si>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</si>
  <si>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</si>
  <si>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</si>
  <si>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</si>
  <si>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</si>
  <si>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</si>
  <si>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</si>
  <si>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</si>
  <si>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</si>
  <si>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</si>
  <si>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</si>
  <si>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</si>
  <si>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</si>
  <si>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</si>
  <si>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</si>
  <si>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</si>
  <si>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</si>
  <si>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</si>
  <si>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</si>
  <si>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</si>
  <si>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</si>
  <si>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</si>
  <si>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</si>
  <si>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</si>
  <si>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</si>
  <si>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</si>
  <si>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</si>
  <si>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</si>
  <si>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</si>
  <si>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</si>
  <si>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</si>
  <si>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</si>
  <si>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</si>
  <si>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</si>
  <si>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</si>
  <si>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</si>
  <si>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</si>
  <si>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</si>
  <si>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</si>
  <si>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</si>
  <si>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</si>
  <si>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</si>
  <si>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</si>
  <si>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</si>
  <si>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</si>
  <si>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</si>
  <si>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</si>
  <si>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</si>
  <si>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</si>
  <si>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</si>
  <si>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</si>
  <si>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</si>
  <si>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</si>
  <si>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</si>
  <si>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</si>
  <si>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</si>
  <si>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</si>
  <si>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</si>
  <si>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</si>
  <si>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</si>
  <si>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</si>
  <si>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</si>
  <si>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</si>
  <si>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</si>
  <si>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</si>
  <si>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</si>
  <si>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</si>
  <si>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</si>
  <si>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</si>
  <si>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</si>
  <si>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</si>
  <si>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</si>
  <si>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</si>
  <si>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</si>
  <si>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</si>
  <si>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</si>
  <si>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</si>
  <si>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</si>
  <si>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</si>
  <si>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</si>
  <si>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</si>
  <si>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</si>
  <si>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</si>
  <si>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</si>
  <si>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</si>
  <si>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</si>
  <si>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</si>
  <si>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</si>
  <si>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</si>
  <si>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</si>
  <si>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</si>
  <si>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</si>
  <si>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</si>
  <si>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</si>
  <si>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</si>
  <si>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</si>
  <si>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</si>
  <si>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</si>
  <si>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</si>
  <si>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</si>
  <si>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</si>
  <si>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</si>
  <si>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</si>
  <si>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</si>
  <si>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</si>
  <si>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</si>
  <si>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</si>
  <si>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</si>
  <si>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</si>
  <si>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</si>
  <si>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</si>
  <si>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</si>
  <si>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</si>
  <si>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</si>
  <si>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</si>
  <si>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</si>
  <si>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</si>
  <si>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</si>
  <si>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</si>
  <si>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</si>
  <si>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</si>
  <si>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</si>
  <si>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</si>
  <si>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</si>
  <si>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</si>
  <si>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</si>
  <si>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</si>
  <si>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</si>
  <si>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</si>
  <si>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</si>
  <si>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</si>
  <si>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</si>
  <si>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</si>
  <si>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</si>
  <si>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</si>
  <si>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</si>
  <si>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</si>
  <si>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</si>
  <si>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</si>
  <si>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</si>
  <si>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</si>
  <si>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</si>
  <si>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</si>
  <si>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</si>
  <si>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</si>
  <si>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</si>
  <si>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</si>
  <si>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</si>
  <si>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</si>
  <si>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</si>
  <si>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</si>
  <si>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</si>
  <si>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</si>
  <si>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</si>
  <si>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</si>
  <si>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</si>
  <si>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</si>
  <si>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</si>
  <si>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</si>
  <si>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</si>
  <si>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</si>
  <si>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</si>
  <si>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</si>
  <si>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</si>
  <si>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</si>
  <si>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</si>
  <si>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</si>
  <si>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</si>
  <si>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</si>
  <si>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</si>
  <si>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</si>
  <si>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</si>
  <si>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</si>
  <si>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</si>
  <si>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</si>
  <si>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</si>
  <si>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</si>
  <si>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</si>
  <si>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</si>
  <si>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</si>
  <si>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</si>
  <si>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</si>
  <si>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</si>
  <si>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</si>
  <si>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</si>
  <si>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</si>
  <si>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</si>
  <si>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</si>
  <si>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</si>
  <si>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</si>
  <si>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</si>
  <si>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</si>
  <si>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</si>
  <si>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</si>
  <si>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</si>
  <si>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</si>
  <si>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</si>
  <si>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</si>
  <si>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</si>
  <si>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</si>
  <si>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</si>
  <si>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</si>
  <si>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</si>
  <si>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</si>
  <si>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</si>
  <si>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</si>
  <si>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</si>
  <si>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</si>
  <si>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</si>
  <si>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</si>
  <si>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</si>
  <si>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</si>
  <si>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</si>
  <si>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</si>
  <si>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</si>
  <si>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</si>
  <si>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</si>
  <si>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</si>
  <si>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</si>
  <si>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</si>
  <si>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</si>
  <si>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</si>
  <si>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</si>
  <si>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</si>
  <si>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</si>
  <si>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</si>
  <si>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</si>
  <si>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</si>
  <si>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</si>
  <si>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</si>
  <si>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</si>
  <si>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</si>
  <si>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</si>
  <si>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</si>
  <si>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</si>
  <si>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</si>
  <si>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</si>
  <si>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</si>
  <si>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</si>
  <si>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</si>
  <si>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</si>
  <si>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</si>
  <si>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</si>
  <si>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</si>
  <si>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</si>
  <si>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</si>
  <si>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</si>
  <si>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</si>
  <si>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</si>
  <si>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</si>
  <si>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</si>
  <si>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</si>
  <si>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</si>
  <si>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</si>
  <si>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</si>
  <si>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</si>
  <si>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</si>
  <si>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</si>
  <si>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</si>
  <si>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</si>
  <si>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</si>
  <si>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</si>
  <si>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</si>
  <si>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</si>
  <si>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</si>
  <si>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</si>
  <si>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</si>
  <si>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</si>
  <si>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</si>
  <si>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</si>
  <si>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</si>
  <si>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</si>
  <si>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</si>
  <si>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</si>
  <si>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</si>
  <si>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</si>
  <si>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</si>
  <si>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</si>
  <si>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</si>
  <si>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</si>
  <si>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</si>
  <si>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</si>
  <si>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</si>
  <si>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</si>
  <si>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</si>
  <si>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</si>
  <si>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</si>
  <si>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</si>
  <si>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</si>
  <si>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</si>
  <si>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</si>
  <si>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</si>
  <si>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</si>
  <si>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</si>
  <si>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</si>
  <si>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</si>
  <si>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</si>
  <si>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</si>
  <si>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</si>
  <si>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</si>
  <si>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</si>
  <si>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</si>
  <si>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</si>
  <si>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</si>
  <si>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</si>
  <si>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</si>
  <si>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</si>
  <si>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</si>
  <si>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</si>
  <si>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</si>
  <si>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</si>
  <si>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</si>
  <si>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</si>
  <si>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</si>
  <si>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</si>
  <si>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</si>
  <si>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</si>
  <si>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</si>
  <si>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</si>
  <si>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</si>
  <si>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</si>
  <si>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</si>
  <si>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</si>
  <si>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</si>
  <si>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</si>
  <si>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</si>
  <si>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</si>
  <si>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</si>
  <si>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</si>
  <si>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</si>
  <si>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</si>
  <si>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</si>
  <si>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</si>
  <si>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</si>
  <si>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</si>
  <si>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</si>
  <si>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</si>
  <si>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</si>
  <si>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</si>
  <si>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</si>
  <si>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</si>
  <si>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</si>
  <si>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</si>
  <si>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</si>
  <si>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</si>
  <si>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</si>
  <si>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</si>
  <si>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</si>
  <si>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</si>
  <si>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</si>
  <si>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</si>
  <si>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</si>
  <si>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</si>
  <si>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</si>
  <si>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</si>
  <si>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</si>
  <si>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</si>
  <si>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</si>
  <si>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</si>
  <si>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</si>
  <si>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</si>
  <si>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</si>
  <si>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</si>
  <si>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</si>
  <si>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</si>
  <si>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</si>
  <si>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</si>
  <si>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</si>
  <si>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</si>
  <si>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</si>
  <si>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</si>
  <si>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</si>
  <si>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</si>
  <si>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</si>
  <si>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</si>
  <si>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</si>
  <si>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</si>
  <si>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</si>
  <si>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</si>
  <si>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</si>
  <si>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</si>
  <si>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</si>
  <si>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</si>
  <si>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</si>
  <si>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</si>
  <si>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</si>
  <si>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</si>
  <si>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</si>
  <si>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</si>
  <si>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</si>
  <si>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</si>
  <si>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</si>
  <si>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</si>
  <si>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</si>
  <si>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</si>
  <si>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</si>
  <si>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</si>
  <si>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</si>
  <si>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</si>
  <si>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</si>
  <si>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</si>
  <si>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</si>
  <si>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</si>
  <si>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</si>
  <si>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</si>
  <si>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</si>
  <si>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</si>
  <si>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</si>
  <si>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</si>
  <si>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</si>
  <si>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</si>
  <si>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</si>
  <si>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</si>
  <si>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</si>
  <si>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</si>
  <si>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</si>
  <si>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</si>
  <si>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</si>
  <si>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</si>
  <si>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</si>
  <si>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</si>
  <si>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</si>
  <si>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</si>
  <si>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</si>
  <si>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</si>
  <si>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</si>
  <si>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</si>
  <si>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</si>
  <si>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</si>
  <si>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</si>
  <si>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</si>
  <si>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</si>
  <si>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</si>
  <si>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</si>
  <si>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</si>
  <si>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</si>
  <si>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</si>
  <si>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</si>
  <si>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</si>
  <si>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</si>
  <si>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</si>
  <si>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</si>
  <si>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</si>
  <si>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</si>
  <si>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</si>
  <si>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</si>
  <si>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</si>
  <si>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</si>
  <si>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</si>
  <si>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</si>
  <si>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</si>
  <si>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</si>
  <si>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</si>
  <si>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</si>
  <si>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</si>
  <si>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</si>
  <si>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</si>
  <si>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</si>
  <si>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</si>
  <si>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</si>
  <si>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</si>
  <si>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</si>
  <si>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</si>
  <si>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</si>
  <si>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</si>
  <si>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</si>
  <si>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</si>
  <si>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</si>
  <si>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</si>
  <si>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</si>
  <si>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</si>
  <si>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</si>
  <si>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</si>
  <si>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</si>
  <si>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</si>
  <si>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</si>
  <si>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</si>
  <si>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</si>
  <si>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</si>
  <si>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</si>
  <si>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</si>
  <si>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</si>
  <si>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</si>
  <si>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</si>
  <si>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</si>
  <si>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</si>
  <si>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</si>
  <si>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</si>
  <si>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</si>
  <si>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</si>
  <si>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</si>
  <si>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</si>
  <si>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</si>
  <si>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</si>
  <si>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</si>
  <si>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</si>
  <si>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</si>
  <si>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</si>
  <si>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</si>
  <si>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</si>
  <si>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</si>
  <si>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</si>
  <si>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</si>
  <si>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</si>
  <si>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</si>
  <si>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</si>
  <si>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</si>
  <si>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</si>
  <si>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</si>
  <si>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</si>
  <si>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</si>
  <si>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</si>
  <si>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</si>
  <si>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</si>
  <si>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</si>
  <si>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</si>
  <si>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</si>
  <si>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</si>
  <si>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</si>
  <si>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</si>
  <si>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</si>
  <si>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</si>
  <si>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</si>
  <si>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</si>
  <si>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</si>
  <si>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</si>
  <si>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</si>
  <si>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</si>
  <si>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</si>
  <si>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</si>
  <si>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</si>
  <si>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</si>
  <si>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</si>
  <si>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</si>
  <si>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</si>
  <si>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</si>
  <si>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</si>
  <si>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</si>
  <si>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</si>
  <si>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</si>
  <si>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</si>
  <si>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</si>
  <si>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</si>
  <si>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</si>
  <si>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</si>
  <si>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</si>
  <si>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</si>
  <si>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</si>
  <si>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</si>
  <si>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</si>
  <si>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</si>
  <si>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</si>
  <si>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</si>
  <si>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</si>
  <si>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</si>
  <si>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</si>
  <si>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</si>
  <si>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</si>
  <si>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</si>
  <si>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</si>
  <si>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</si>
  <si>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</si>
  <si>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</si>
  <si>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</si>
  <si>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</si>
  <si>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</si>
  <si>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</si>
  <si>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</si>
  <si>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</si>
  <si>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</si>
  <si>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</si>
  <si>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</si>
  <si>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</si>
  <si>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</si>
  <si>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</si>
  <si>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</si>
  <si>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</si>
  <si>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</si>
  <si>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</si>
  <si>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</si>
  <si>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</si>
  <si>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</si>
  <si>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</si>
  <si>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</si>
  <si>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</si>
  <si>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</si>
  <si>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</si>
  <si>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</si>
  <si>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</si>
  <si>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</si>
  <si>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</si>
  <si>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</si>
  <si>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</si>
  <si>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</si>
  <si>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</si>
  <si>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</si>
  <si>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</si>
  <si>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</si>
  <si>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</si>
  <si>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</si>
  <si>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</si>
  <si>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</si>
  <si>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</si>
  <si>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</si>
  <si>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</si>
  <si>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</si>
  <si>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</si>
  <si>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</si>
  <si>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</si>
  <si>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</si>
  <si>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</si>
  <si>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</si>
  <si>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</si>
  <si>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</si>
  <si>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</si>
  <si>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</si>
  <si>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</si>
  <si>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</si>
  <si>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</si>
  <si>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</si>
  <si>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</si>
  <si>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</si>
  <si>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</si>
  <si>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</si>
  <si>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</si>
  <si>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</si>
  <si>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</si>
  <si>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</si>
  <si>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</si>
  <si>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</si>
  <si>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</si>
  <si>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</si>
  <si>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</si>
  <si>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</si>
  <si>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</si>
  <si>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</si>
  <si>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</si>
  <si>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</si>
  <si>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</si>
  <si>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</si>
  <si>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</si>
  <si>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</si>
  <si>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</si>
  <si>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</si>
  <si>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</si>
  <si>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</si>
  <si>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</si>
  <si>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</si>
  <si>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</si>
  <si>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</si>
  <si>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</si>
  <si>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</si>
  <si>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</si>
  <si>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</si>
  <si>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</si>
  <si>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</si>
  <si>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</si>
  <si>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</si>
  <si>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</si>
  <si>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</si>
  <si>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</si>
  <si>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</si>
  <si>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</si>
  <si>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</si>
  <si>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</si>
  <si>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</si>
  <si>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</si>
  <si>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</si>
  <si>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</si>
  <si>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</si>
  <si>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</si>
  <si>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</si>
  <si>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</si>
  <si>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</si>
  <si>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</si>
  <si>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</si>
  <si>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</si>
  <si>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</si>
  <si>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</si>
  <si>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</si>
  <si>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</si>
  <si>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</si>
  <si>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</si>
  <si>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</si>
  <si>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</si>
  <si>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</si>
  <si>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</si>
  <si>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</si>
  <si>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</si>
  <si>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</si>
  <si>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</si>
  <si>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</si>
  <si>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</si>
  <si>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</si>
  <si>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</si>
  <si>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</si>
  <si>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</si>
  <si>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</si>
  <si>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</si>
  <si>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</si>
  <si>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</si>
  <si>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</si>
  <si>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</si>
  <si>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</si>
  <si>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</si>
  <si>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</si>
  <si>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</si>
  <si>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</si>
  <si>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</si>
  <si>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</si>
  <si>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</si>
  <si>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</si>
  <si>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</si>
  <si>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</si>
  <si>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</si>
  <si>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</si>
  <si>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</si>
  <si>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</si>
  <si>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</si>
  <si>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</si>
  <si>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</si>
  <si>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</si>
  <si>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</si>
  <si>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</si>
  <si>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</si>
  <si>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</si>
  <si>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</si>
  <si>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</si>
  <si>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</si>
  <si>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</si>
  <si>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</si>
  <si>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</si>
  <si>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</si>
  <si>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</si>
  <si>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</si>
  <si>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</si>
  <si>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</si>
  <si>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</si>
  <si>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</si>
  <si>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</si>
  <si>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</si>
  <si>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</si>
  <si>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</si>
  <si>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</si>
  <si>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</si>
  <si>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</si>
  <si>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</si>
  <si>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</si>
  <si>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</si>
  <si>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</si>
  <si>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</si>
  <si>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</si>
  <si>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</si>
  <si>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</si>
  <si>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</si>
  <si>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</si>
  <si>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</si>
  <si>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</si>
  <si>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</si>
  <si>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</si>
  <si>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</si>
  <si>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</si>
  <si>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</si>
  <si>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</si>
  <si>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</si>
  <si>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</si>
  <si>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</si>
  <si>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</si>
  <si>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</si>
  <si>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</si>
  <si>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</si>
  <si>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</si>
  <si>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</si>
  <si>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</si>
  <si>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</si>
  <si>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</si>
  <si>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</si>
  <si>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</si>
  <si>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</si>
  <si>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</si>
  <si>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</si>
  <si>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</si>
  <si>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</si>
  <si>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</si>
  <si>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</si>
  <si>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</si>
  <si>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</si>
  <si>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</si>
  <si>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</si>
  <si>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</si>
  <si>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</si>
  <si>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</si>
  <si>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</si>
  <si>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</si>
  <si>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</si>
  <si>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</si>
  <si>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</si>
  <si>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</si>
  <si>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</si>
  <si>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</si>
  <si>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</si>
  <si>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</si>
  <si>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</si>
  <si>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</si>
  <si>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</si>
  <si>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</si>
  <si>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</si>
  <si>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</si>
  <si>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</si>
  <si>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</si>
  <si>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</si>
  <si>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</si>
  <si>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</si>
  <si>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</si>
  <si>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</si>
  <si>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</si>
  <si>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</si>
  <si>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</si>
  <si>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</si>
  <si>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</si>
  <si>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</si>
  <si>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</si>
  <si>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</si>
  <si>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</si>
  <si>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</si>
  <si>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</si>
  <si>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</si>
  <si>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</si>
  <si>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</si>
  <si>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</si>
  <si>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</si>
  <si>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</si>
  <si>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</si>
  <si>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</si>
  <si>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</si>
  <si>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</si>
  <si>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</si>
  <si>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</si>
  <si>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</si>
  <si>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</si>
  <si>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</si>
  <si>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</si>
  <si>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</si>
  <si>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</si>
  <si>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</si>
  <si>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</si>
  <si>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</si>
  <si>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</si>
  <si>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</si>
  <si>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</si>
  <si>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</si>
  <si>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</si>
  <si>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</si>
  <si>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</si>
  <si>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</si>
  <si>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</si>
  <si>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</si>
  <si>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</si>
  <si>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</si>
  <si>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</si>
  <si>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</si>
  <si>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</si>
  <si>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</si>
  <si>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</si>
  <si>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</si>
  <si>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</si>
  <si>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</si>
  <si>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</si>
  <si>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</si>
  <si>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</si>
  <si>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</si>
  <si>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</si>
  <si>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</si>
  <si>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</si>
  <si>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</si>
  <si>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</si>
  <si>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</si>
  <si>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</si>
  <si>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</si>
  <si>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</si>
  <si>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</si>
  <si>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</si>
  <si>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</si>
  <si>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</si>
  <si>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</si>
  <si>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</si>
  <si>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</si>
  <si>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</si>
  <si>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</si>
  <si>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</si>
  <si>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</si>
  <si>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</si>
  <si>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</si>
  <si>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</si>
  <si>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</si>
  <si>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</si>
  <si>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</si>
  <si>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</si>
  <si>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</si>
  <si>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</si>
  <si>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</si>
  <si>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</si>
  <si>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</si>
  <si>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</si>
  <si>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</si>
  <si>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</si>
  <si>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</si>
  <si>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</si>
  <si>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</si>
  <si>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</si>
  <si>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</si>
  <si>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</si>
  <si>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</si>
  <si>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</si>
  <si>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</si>
  <si>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</si>
  <si>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</si>
  <si>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</si>
  <si>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</si>
  <si>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</si>
  <si>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</si>
  <si>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</si>
  <si>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</si>
  <si>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</si>
  <si>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</si>
  <si>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</si>
  <si>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</si>
  <si>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</si>
  <si>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</si>
  <si>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</si>
  <si>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</si>
  <si>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</si>
  <si>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</si>
  <si>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</si>
  <si>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</si>
  <si>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</si>
  <si>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</si>
  <si>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</si>
  <si>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</si>
  <si>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</si>
  <si>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</si>
  <si>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</si>
  <si>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</si>
  <si>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</si>
  <si>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</si>
  <si>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</si>
  <si>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</si>
  <si>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</si>
  <si>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</si>
  <si>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</si>
  <si>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</si>
  <si>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</si>
  <si>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</si>
  <si>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</si>
  <si>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</si>
  <si>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</si>
  <si>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</si>
  <si>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</si>
  <si>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</si>
  <si>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</si>
  <si>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</si>
  <si>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</si>
  <si>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</si>
  <si>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</si>
  <si>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</si>
  <si>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</si>
  <si>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</si>
  <si>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</si>
  <si>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</si>
  <si>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</si>
  <si>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</si>
  <si>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</si>
  <si>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</si>
  <si>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</si>
  <si>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</si>
  <si>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</si>
  <si>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</si>
  <si>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</si>
  <si>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</si>
  <si>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</si>
  <si>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</si>
  <si>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</si>
  <si>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</si>
  <si>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</si>
  <si>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</si>
  <si>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</si>
  <si>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</si>
  <si>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</si>
  <si>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</si>
  <si>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</si>
  <si>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</si>
  <si>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</si>
  <si>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</si>
  <si>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</si>
  <si>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</si>
  <si>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</si>
  <si>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</si>
  <si>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</si>
  <si>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</si>
  <si>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</si>
  <si>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</si>
  <si>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</si>
  <si>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</si>
  <si>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</si>
  <si>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</si>
  <si>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</si>
  <si>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</si>
  <si>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</si>
  <si>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</si>
  <si>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</si>
  <si>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</si>
  <si>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</si>
  <si>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</si>
  <si>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</si>
  <si>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</si>
  <si>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</si>
  <si>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</si>
  <si>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</si>
  <si>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</si>
  <si>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</si>
  <si>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</si>
  <si>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</si>
  <si>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</si>
  <si>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</si>
  <si>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</si>
  <si>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</si>
  <si>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</si>
  <si>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</si>
  <si>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</si>
  <si>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</si>
  <si>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</si>
  <si>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</si>
  <si>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</si>
  <si>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</si>
  <si>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</si>
  <si>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</si>
  <si>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</si>
  <si>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</si>
  <si>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</si>
  <si>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</si>
  <si>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</si>
  <si>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</si>
  <si>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</si>
  <si>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</si>
  <si>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</si>
  <si>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</si>
  <si>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</si>
  <si>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</si>
  <si>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</si>
  <si>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</si>
  <si>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</si>
  <si>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</si>
  <si>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</si>
  <si>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</si>
  <si>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</si>
  <si>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</si>
  <si>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</si>
  <si>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</si>
  <si>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</si>
  <si>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</si>
  <si>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</si>
  <si>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</si>
  <si>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</si>
  <si>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</si>
  <si>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</si>
  <si>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</si>
  <si>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</si>
  <si>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</si>
  <si>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</si>
  <si>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</si>
  <si>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</si>
  <si>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</si>
  <si>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</si>
  <si>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</si>
  <si>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</si>
  <si>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</si>
  <si>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</si>
  <si>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</si>
  <si>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</si>
  <si>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</si>
  <si>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</si>
  <si>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</si>
  <si>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</si>
  <si>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</si>
  <si>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</si>
  <si>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</si>
  <si>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</si>
  <si>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</si>
  <si>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</si>
  <si>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</si>
  <si>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</si>
  <si>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</si>
  <si>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</si>
  <si>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</si>
  <si>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</si>
  <si>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</si>
  <si>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</si>
  <si>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</si>
  <si>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</si>
  <si>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</si>
  <si>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</si>
  <si>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</si>
  <si>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</si>
  <si>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</si>
  <si>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</si>
  <si>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</si>
  <si>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</si>
  <si>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</si>
  <si>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</si>
  <si>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</si>
  <si>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</si>
  <si>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</si>
  <si>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</si>
  <si>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</si>
  <si>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</si>
  <si>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</si>
  <si>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</si>
  <si>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</si>
  <si>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</si>
  <si>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</si>
  <si>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</si>
  <si>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</si>
  <si>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</si>
  <si>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</si>
  <si>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</si>
  <si>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</si>
  <si>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</si>
  <si>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</si>
  <si>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</si>
  <si>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</si>
  <si>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</si>
  <si>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</si>
  <si>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</si>
  <si>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</si>
  <si>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</si>
  <si>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</si>
  <si>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</si>
  <si>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</si>
  <si>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</si>
  <si>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</si>
  <si>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</si>
  <si>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</si>
  <si>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</si>
  <si>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</si>
  <si>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</si>
  <si>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</si>
  <si>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</si>
  <si>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</si>
  <si>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</si>
  <si>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</si>
  <si>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</si>
  <si>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</si>
  <si>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</si>
  <si>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</si>
  <si>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</si>
  <si>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</si>
  <si>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</si>
  <si>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</si>
  <si>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</si>
  <si>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</si>
  <si>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</si>
  <si>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</si>
  <si>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</si>
  <si>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</si>
  <si>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</si>
  <si>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</si>
  <si>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</si>
  <si>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</si>
  <si>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</si>
  <si>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</si>
  <si>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</si>
  <si>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</si>
  <si>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</si>
  <si>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</si>
  <si>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</si>
  <si>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</si>
  <si>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</si>
  <si>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</si>
  <si>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</si>
  <si>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</si>
  <si>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</si>
  <si>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</si>
  <si>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</si>
  <si>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</si>
  <si>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</si>
  <si>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</si>
  <si>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</si>
  <si>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</si>
  <si>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</si>
  <si>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</si>
  <si>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</si>
  <si>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</si>
  <si>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</si>
  <si>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</si>
  <si>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</si>
  <si>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</si>
  <si>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</si>
  <si>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</si>
  <si>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</si>
  <si>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</si>
  <si>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</si>
  <si>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</si>
  <si>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</si>
  <si>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</si>
  <si>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</si>
  <si>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</si>
  <si>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</si>
  <si>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</si>
  <si>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</si>
  <si>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</si>
  <si>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</si>
  <si>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</si>
  <si>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</si>
  <si>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</si>
  <si>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</si>
  <si>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</si>
  <si>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</si>
  <si>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</si>
  <si>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</si>
  <si>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</si>
  <si>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</si>
  <si>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</si>
  <si>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</si>
  <si>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</si>
  <si>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</si>
  <si>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</si>
  <si>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</si>
  <si>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</si>
  <si>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</si>
  <si>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</si>
  <si>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</si>
  <si>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</si>
  <si>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</si>
  <si>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</si>
  <si>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</si>
  <si>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</si>
  <si>
    <t>Vase-15</t>
  </si>
  <si>
    <t>Stand-1</t>
  </si>
  <si>
    <t>Stands</t>
  </si>
  <si>
    <t>house-candle</t>
  </si>
  <si>
    <t>Vase</t>
  </si>
  <si>
    <t>pink</t>
  </si>
  <si>
    <t>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</si>
</sst>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printerSettings" Target="../printerSettings/printerSettings1.bin"/><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23" activePane="bottomLeft" state="frozen"/>
      <selection pane="bottomLeft" activeCell="H125" sqref="H125"/>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B116" s="73" t="s">
        <v>3123</v>
      </c>
      <c r="C116" s="72" t="s">
        <v>3100</v>
      </c>
      <c r="E116" s="83">
        <f>SUMIF(History1!B:B, A116, History1!C:C)</f>
        <v>16</v>
      </c>
      <c r="F116" s="72" t="s">
        <v>3090</v>
      </c>
      <c r="H116" s="72" t="s">
        <v>2981</v>
      </c>
      <c r="J116" s="72" t="s">
        <v>3111</v>
      </c>
      <c r="K116" s="72" t="str">
        <f t="shared" si="0"/>
        <v>fp0115.jpeg</v>
      </c>
      <c r="L116" s="57" t="s">
        <v>1127</v>
      </c>
    </row>
    <row r="117" spans="1:12" ht="207.6" customHeight="1">
      <c r="A117" s="56" t="s">
        <v>127</v>
      </c>
      <c r="B117" s="73" t="s">
        <v>3124</v>
      </c>
      <c r="C117" s="72" t="s">
        <v>3125</v>
      </c>
      <c r="E117" s="83">
        <f>SUMIF(History1!B:B, A117, History1!C:C)</f>
        <v>30</v>
      </c>
      <c r="F117" s="72" t="s">
        <v>3090</v>
      </c>
      <c r="H117" s="72" t="s">
        <v>2981</v>
      </c>
      <c r="J117" s="72" t="s">
        <v>3111</v>
      </c>
      <c r="K117" s="72" t="str">
        <f t="shared" si="0"/>
        <v>fp0116.jpeg</v>
      </c>
      <c r="L117" s="57" t="s">
        <v>1128</v>
      </c>
    </row>
    <row r="118" spans="1:12" ht="207.6" customHeight="1">
      <c r="A118" s="56" t="s">
        <v>128</v>
      </c>
      <c r="B118" s="73" t="s">
        <v>3126</v>
      </c>
      <c r="C118" s="72" t="s">
        <v>3042</v>
      </c>
      <c r="E118" s="83">
        <f>SUMIF(History1!B:B, A118, History1!C:C)</f>
        <v>0</v>
      </c>
      <c r="F118" s="72" t="s">
        <v>3101</v>
      </c>
      <c r="H118" s="72" t="s">
        <v>2981</v>
      </c>
      <c r="J118" s="72" t="s">
        <v>3111</v>
      </c>
      <c r="K118" s="72" t="str">
        <f t="shared" si="0"/>
        <v>fp0117.jpeg</v>
      </c>
      <c r="L118" s="57" t="s">
        <v>1129</v>
      </c>
    </row>
    <row r="119" spans="1:12" ht="207.6" customHeight="1">
      <c r="A119" s="56" t="s">
        <v>129</v>
      </c>
      <c r="B119" s="73" t="s">
        <v>3127</v>
      </c>
      <c r="C119" s="72" t="s">
        <v>2987</v>
      </c>
      <c r="E119" s="83">
        <f>SUMIF(History1!B:B, A119, History1!C:C)</f>
        <v>0</v>
      </c>
      <c r="F119" s="72" t="s">
        <v>3090</v>
      </c>
      <c r="H119" s="72" t="s">
        <v>2981</v>
      </c>
      <c r="J119" s="72" t="s">
        <v>3111</v>
      </c>
      <c r="K119" s="72" t="str">
        <f t="shared" si="0"/>
        <v>fp0118.jpeg</v>
      </c>
      <c r="L119" s="57" t="s">
        <v>1130</v>
      </c>
    </row>
    <row r="120" spans="1:12" ht="207.6" customHeight="1">
      <c r="A120" s="56" t="s">
        <v>130</v>
      </c>
      <c r="B120" s="73" t="s">
        <v>3127</v>
      </c>
      <c r="C120" s="72" t="s">
        <v>2987</v>
      </c>
      <c r="E120" s="83">
        <f>SUMIF(History1!B:B, A120, History1!C:C)</f>
        <v>0</v>
      </c>
      <c r="F120" s="72" t="s">
        <v>3128</v>
      </c>
      <c r="H120" s="72" t="s">
        <v>2981</v>
      </c>
      <c r="J120" s="72" t="s">
        <v>3111</v>
      </c>
      <c r="K120" s="72" t="str">
        <f t="shared" si="0"/>
        <v>fp0119.jpeg</v>
      </c>
      <c r="L120" s="57" t="s">
        <v>1131</v>
      </c>
    </row>
    <row r="121" spans="1:12" ht="207.6" customHeight="1">
      <c r="A121" s="56" t="s">
        <v>131</v>
      </c>
      <c r="B121" s="73" t="s">
        <v>3129</v>
      </c>
      <c r="C121" s="72" t="s">
        <v>3048</v>
      </c>
      <c r="E121" s="83">
        <f>SUMIF(History1!B:B, A121, History1!C:C)</f>
        <v>0</v>
      </c>
      <c r="F121" s="72" t="s">
        <v>3105</v>
      </c>
      <c r="H121" s="72" t="s">
        <v>2981</v>
      </c>
      <c r="J121" s="72" t="s">
        <v>3107</v>
      </c>
      <c r="K121" s="72" t="str">
        <f t="shared" si="0"/>
        <v>fp0120.jpeg</v>
      </c>
      <c r="L121" s="57" t="s">
        <v>1132</v>
      </c>
    </row>
    <row r="122" spans="1:12" ht="207.6" customHeight="1">
      <c r="A122" s="56" t="s">
        <v>132</v>
      </c>
      <c r="B122" s="73" t="s">
        <v>3129</v>
      </c>
      <c r="C122" s="72" t="s">
        <v>3048</v>
      </c>
      <c r="E122" s="83">
        <f>SUMIF(History1!B:B, A122, History1!C:C)</f>
        <v>0</v>
      </c>
      <c r="F122" s="72" t="s">
        <v>3105</v>
      </c>
      <c r="H122" s="72" t="s">
        <v>2981</v>
      </c>
      <c r="K122" s="72" t="str">
        <f t="shared" si="0"/>
        <v>fp0121.jpeg</v>
      </c>
      <c r="L122" s="57" t="s">
        <v>1133</v>
      </c>
    </row>
    <row r="123" spans="1:12" ht="207.6" customHeight="1">
      <c r="A123" s="56" t="s">
        <v>133</v>
      </c>
      <c r="B123" s="73" t="s">
        <v>3129</v>
      </c>
      <c r="C123" s="72" t="s">
        <v>3048</v>
      </c>
      <c r="E123" s="83">
        <f>SUMIF(History1!B:B, A123, History1!C:C)</f>
        <v>0</v>
      </c>
      <c r="F123" s="72" t="s">
        <v>3105</v>
      </c>
      <c r="H123" s="72" t="s">
        <v>2981</v>
      </c>
      <c r="K123" s="72" t="str">
        <f t="shared" si="0"/>
        <v>fp0122.jpeg</v>
      </c>
      <c r="L123" s="70" t="s">
        <v>1134</v>
      </c>
    </row>
    <row r="124" spans="1:12" ht="207.6" customHeight="1">
      <c r="A124" s="56" t="s">
        <v>134</v>
      </c>
      <c r="B124" s="73" t="s">
        <v>3129</v>
      </c>
      <c r="C124" s="72" t="s">
        <v>3048</v>
      </c>
      <c r="E124" s="83">
        <f>SUMIF(History1!B:B, A124, History1!C:C)</f>
        <v>0</v>
      </c>
      <c r="F124" s="72" t="s">
        <v>3069</v>
      </c>
      <c r="H124" s="72" t="s">
        <v>2981</v>
      </c>
      <c r="K124" s="72" t="str">
        <f t="shared" si="0"/>
        <v>fp0123.jpeg</v>
      </c>
      <c r="L124" s="57" t="s">
        <v>1135</v>
      </c>
    </row>
    <row r="125" spans="1:12" ht="207.6" customHeight="1">
      <c r="A125" s="56" t="s">
        <v>135</v>
      </c>
      <c r="B125" s="73" t="s">
        <v>3129</v>
      </c>
      <c r="C125" s="72" t="s">
        <v>3048</v>
      </c>
      <c r="E125" s="83">
        <f>SUMIF(History1!B:B, A125, History1!C:C)</f>
        <v>0</v>
      </c>
      <c r="F125" s="72" t="s">
        <v>3069</v>
      </c>
      <c r="H125" s="72" t="s">
        <v>2981</v>
      </c>
      <c r="J125" s="72">
        <v>6</v>
      </c>
      <c r="K125" s="72" t="str">
        <f t="shared" si="0"/>
        <v>fp0124.jpeg</v>
      </c>
      <c r="L125" s="57" t="s">
        <v>1136</v>
      </c>
    </row>
    <row r="126" spans="1:12" ht="207.6" customHeight="1">
      <c r="A126" s="56" t="s">
        <v>136</v>
      </c>
      <c r="B126" s="73" t="s">
        <v>3129</v>
      </c>
      <c r="C126" s="72" t="s">
        <v>3048</v>
      </c>
      <c r="E126" s="83">
        <f>SUMIF(History1!B:B, A126, History1!C:C)</f>
        <v>0</v>
      </c>
      <c r="F126" s="72" t="s">
        <v>3069</v>
      </c>
      <c r="H126" s="72" t="s">
        <v>2981</v>
      </c>
      <c r="J126" s="72">
        <v>5</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s>
  <pageMargins left="0.7" right="0.7" top="0.75" bottom="0.75" header="0.3" footer="0.3"/>
  <pageSetup orientation="portrait" r:id="rId1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9" zoomScale="68" workbookViewId="0">
      <selection activeCell="C69" sqref="C69"/>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t="str">
        <f>_xlfn.XLOOKUP(TRIM(B66), Inventory!A:A, Inventory!C:C, "")</f>
        <v>Ceramic vases</v>
      </c>
    </row>
    <row r="67" spans="1:6" ht="55.8" customHeight="1">
      <c r="A67" s="78" t="s">
        <v>3066</v>
      </c>
      <c r="B67" s="78" t="s">
        <v>127</v>
      </c>
      <c r="C67" s="78">
        <v>30</v>
      </c>
      <c r="D67" s="78" t="s">
        <v>2985</v>
      </c>
      <c r="E67" s="78" t="s">
        <v>2986</v>
      </c>
      <c r="F67" s="78" t="str">
        <f>_xlfn.XLOOKUP(TRIM(B67), Inventory!A:A, Inventory!C:C, "")</f>
        <v>Stands</v>
      </c>
    </row>
    <row r="68" spans="1:6" ht="55.8" customHeight="1">
      <c r="A68" s="78" t="s">
        <v>3066</v>
      </c>
      <c r="B68" s="78" t="s">
        <v>128</v>
      </c>
      <c r="C68" s="78">
        <v>0</v>
      </c>
      <c r="D68" s="78" t="s">
        <v>2985</v>
      </c>
      <c r="E68" s="78" t="s">
        <v>2986</v>
      </c>
      <c r="F68" s="78" t="str">
        <f>_xlfn.XLOOKUP(TRIM(B68), Inventory!A:A, Inventory!C:C, "")</f>
        <v>Others</v>
      </c>
    </row>
    <row r="69" spans="1:6" ht="55.8" customHeight="1">
      <c r="A69" s="78" t="s">
        <v>3066</v>
      </c>
      <c r="B69" s="78" t="s">
        <v>129</v>
      </c>
      <c r="D69" s="78" t="s">
        <v>2985</v>
      </c>
      <c r="E69" s="78" t="s">
        <v>2986</v>
      </c>
      <c r="F69" s="78" t="str">
        <f>_xlfn.XLOOKUP(TRIM(B69), Inventory!A:A, Inventory!C:C, "")</f>
        <v>Small-Vases</v>
      </c>
    </row>
    <row r="70" spans="1:6" ht="55.8" customHeight="1">
      <c r="A70" s="78" t="s">
        <v>3066</v>
      </c>
      <c r="B70" s="78" t="s">
        <v>130</v>
      </c>
      <c r="D70" s="78" t="s">
        <v>2985</v>
      </c>
      <c r="E70" s="78" t="s">
        <v>2986</v>
      </c>
      <c r="F70" s="78" t="str">
        <f>_xlfn.XLOOKUP(TRIM(B70), Inventory!A:A, Inventory!C:C, "")</f>
        <v>Small-Vases</v>
      </c>
    </row>
    <row r="71" spans="1:6" ht="55.8" customHeight="1">
      <c r="A71" s="78" t="s">
        <v>3066</v>
      </c>
      <c r="B71" s="78" t="s">
        <v>131</v>
      </c>
      <c r="D71" s="78" t="s">
        <v>2985</v>
      </c>
      <c r="E71" s="78" t="s">
        <v>2986</v>
      </c>
      <c r="F71" s="78" t="str">
        <f>_xlfn.XLOOKUP(TRIM(B71), Inventory!A:A, Inventory!C:C, "")</f>
        <v xml:space="preserve">Holder Finger Candle </v>
      </c>
    </row>
    <row r="72" spans="1:6" ht="55.8" customHeight="1">
      <c r="A72" s="78" t="s">
        <v>3066</v>
      </c>
      <c r="B72" s="78" t="s">
        <v>132</v>
      </c>
      <c r="D72" s="78" t="s">
        <v>2985</v>
      </c>
      <c r="E72" s="78" t="s">
        <v>2986</v>
      </c>
      <c r="F72" s="78" t="str">
        <f>_xlfn.XLOOKUP(TRIM(B72), Inventory!A:A, Inventory!C:C, "")</f>
        <v xml:space="preserve">Holder Finger Candle </v>
      </c>
    </row>
    <row r="73" spans="1:6" ht="55.8" customHeight="1">
      <c r="A73" s="78" t="s">
        <v>3066</v>
      </c>
      <c r="B73" s="78" t="s">
        <v>133</v>
      </c>
      <c r="D73" s="78" t="s">
        <v>2985</v>
      </c>
      <c r="E73" s="78" t="s">
        <v>2986</v>
      </c>
      <c r="F73" s="78" t="str">
        <f>_xlfn.XLOOKUP(TRIM(B73), Inventory!A:A, Inventory!C:C, "")</f>
        <v xml:space="preserve">Holder Finger Candle </v>
      </c>
    </row>
    <row r="74" spans="1:6" ht="55.8" customHeight="1">
      <c r="A74" s="78" t="s">
        <v>3066</v>
      </c>
      <c r="B74" s="78" t="s">
        <v>134</v>
      </c>
      <c r="D74" s="78" t="s">
        <v>2985</v>
      </c>
      <c r="E74" s="78" t="s">
        <v>2986</v>
      </c>
      <c r="F74" s="78" t="str">
        <f>_xlfn.XLOOKUP(TRIM(B74), Inventory!A:A, Inventory!C:C, "")</f>
        <v xml:space="preserve">Holder Finger Candle </v>
      </c>
    </row>
    <row r="75" spans="1:6" ht="55.8" customHeight="1">
      <c r="A75" s="78" t="s">
        <v>3066</v>
      </c>
      <c r="B75" s="78" t="s">
        <v>135</v>
      </c>
      <c r="D75" s="78" t="s">
        <v>2985</v>
      </c>
      <c r="E75" s="78" t="s">
        <v>2986</v>
      </c>
      <c r="F75" s="78" t="str">
        <f>_xlfn.XLOOKUP(TRIM(B75), Inventory!A:A, Inventory!C:C, "")</f>
        <v xml:space="preserve">Holder Finger Candle </v>
      </c>
    </row>
    <row r="76" spans="1:6" ht="55.8" customHeight="1">
      <c r="A76" s="78" t="s">
        <v>3066</v>
      </c>
      <c r="B76" s="78" t="s">
        <v>136</v>
      </c>
      <c r="D76" s="78" t="s">
        <v>2985</v>
      </c>
      <c r="E76" s="78" t="s">
        <v>2986</v>
      </c>
      <c r="F76" s="78" t="str">
        <f>_xlfn.XLOOKUP(TRIM(B76), Inventory!A:A, Inventory!C:C, "")</f>
        <v xml:space="preserve">Holder Finger Candle </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2026-04-19T15:48:27Z</dcterms:modified>
</cp:coreProperties>
</file>