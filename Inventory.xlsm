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836EBC2E-329D-49A8-B61E-E9395490A3A9}" xr6:coauthVersionLast="47" xr6:coauthVersionMax="47" xr10:uidLastSave="{00000000-0000-0000-0000-000000000000}"/>
  <bookViews>
    <workbookView xWindow="2304" yWindow="1392"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<sst xmlns="http://schemas.openxmlformats.org/spreadsheetml/2006/main" count="2080" uniqueCount="2040">
  <si>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</si>
  <si>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</si>
  <si>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</si>
  <si>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</si>
  <si>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</si>
  <si>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</si>
  <si>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</si>
  <si>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</si>
  <si>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</si>
  <si>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</si>
  <si>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</si>
  <si>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</si>
  <si>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</si>
  <si>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</si>
  <si>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</si>
  <si>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</si>
  <si>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</si>
  <si>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</si>
  <si>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</si>
  <si>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</si>
  <si>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</si>
  <si>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</si>
  <si>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</si>
  <si>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</si>
  <si>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</si>
  <si>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</si>
  <si>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</si>
  <si>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</si>
  <si>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</si>
  <si>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</si>
  <si>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</si>
  <si>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</si>
  <si>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</si>
  <si>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</si>
  <si>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</si>
  <si>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</si>
  <si>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</si>
  <si>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</si>
  <si>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</si>
  <si>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</si>
  <si>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</si>
  <si>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</si>
  <si>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</si>
  <si>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</si>
  <si>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</si>
  <si>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</si>
  <si>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</si>
  <si>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</si>
  <si>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</si>
  <si>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</si>
  <si>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</si>
  <si>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</si>
  <si>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</si>
  <si>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</si>
  <si>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</si>
  <si>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</si>
  <si>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</si>
  <si>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</si>
  <si>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</si>
  <si>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</si>
  <si>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</si>
  <si>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</si>
  <si>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</si>
  <si>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</si>
  <si>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</si>
  <si>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</si>
  <si>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</si>
  <si>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</si>
  <si>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</si>
  <si>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</si>
  <si>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</si>
  <si>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</si>
  <si>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</si>
  <si>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</si>
  <si>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</si>
  <si>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</si>
  <si>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</si>
  <si>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</si>
  <si>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</si>
  <si>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</si>
  <si>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</si>
  <si>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</si>
  <si>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</si>
  <si>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</si>
  <si>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</si>
  <si>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</si>
  <si>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</si>
  <si>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</si>
  <si>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</si>
  <si>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</si>
  <si>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</si>
  <si>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</si>
  <si>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</si>
  <si>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</si>
  <si>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</si>
  <si>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</si>
  <si>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</si>
  <si>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</si>
  <si>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</si>
  <si>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</si>
  <si>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</si>
  <si>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</si>
  <si>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</si>
  <si>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</si>
  <si>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</si>
  <si>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</si>
  <si>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</si>
  <si>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</si>
  <si>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</si>
  <si>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</si>
  <si>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</si>
  <si>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</si>
  <si>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</si>
  <si>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</si>
  <si>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</si>
  <si>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</si>
  <si>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</si>
  <si>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</si>
  <si>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</si>
  <si>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</si>
  <si>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</si>
  <si>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</si>
  <si>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</si>
  <si>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</si>
  <si>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</si>
  <si>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</si>
  <si>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</si>
  <si>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</si>
  <si>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</si>
  <si>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</si>
  <si>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</si>
  <si>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</si>
  <si>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</si>
  <si>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</si>
  <si>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</si>
  <si>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</si>
  <si>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</si>
  <si>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</si>
  <si>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</si>
  <si>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</si>
  <si>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</si>
  <si>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</si>
  <si>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</si>
  <si>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</si>
  <si>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</si>
  <si>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</si>
  <si>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</si>
  <si>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</si>
  <si>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</si>
  <si>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</si>
  <si>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</si>
  <si>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</si>
  <si>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</si>
  <si>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</si>
  <si>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</si>
  <si>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</si>
  <si>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</si>
  <si>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</si>
  <si>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</si>
  <si>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</si>
  <si>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</si>
  <si>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</si>
  <si>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</si>
  <si>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</si>
  <si>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</si>
  <si>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</si>
  <si>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</si>
  <si>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</si>
  <si>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</si>
  <si>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</si>
  <si>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</si>
  <si>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</si>
  <si>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</si>
  <si>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</si>
  <si>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</si>
  <si>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</si>
  <si>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</si>
  <si>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</si>
  <si>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</si>
  <si>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</si>
  <si>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</si>
  <si>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</si>
  <si>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</si>
  <si>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</si>
  <si>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</si>
  <si>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</si>
  <si>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</si>
  <si>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</si>
  <si>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</si>
  <si>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</si>
  <si>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</si>
  <si>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</si>
  <si>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</si>
  <si>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</si>
  <si>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</si>
  <si>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</si>
  <si>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</si>
  <si>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</si>
  <si>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</si>
  <si>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</si>
  <si>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</si>
  <si>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</si>
  <si>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</si>
  <si>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</si>
  <si>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</si>
  <si>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</si>
  <si>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</si>
  <si>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</si>
  <si>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</si>
  <si>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</si>
  <si>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</si>
  <si>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</si>
  <si>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</si>
  <si>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</si>
  <si>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</si>
  <si>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</si>
  <si>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</si>
  <si>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</si>
  <si>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</si>
  <si>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</si>
  <si>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</si>
  <si>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</si>
  <si>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</si>
  <si>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</si>
  <si>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</si>
  <si>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</si>
  <si>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</si>
  <si>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</si>
  <si>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</si>
  <si>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</si>
  <si>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</si>
  <si>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</si>
  <si>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</si>
  <si>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</si>
  <si>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</si>
  <si>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</si>
  <si>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</si>
  <si>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</si>
  <si>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</si>
  <si>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</si>
  <si>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</si>
  <si>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</si>
  <si>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</si>
  <si>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</si>
  <si>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</si>
  <si>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</si>
  <si>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</si>
  <si>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</si>
  <si>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</si>
  <si>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</si>
  <si>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</si>
  <si>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</si>
  <si>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</si>
  <si>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</si>
  <si>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</si>
  <si>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</si>
  <si>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</si>
  <si>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</si>
  <si>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</si>
  <si>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</si>
  <si>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</si>
  <si>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</si>
  <si>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</si>
  <si>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</si>
  <si>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</si>
  <si>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</si>
  <si>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</si>
  <si>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</si>
  <si>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</si>
  <si>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</si>
  <si>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</si>
  <si>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</si>
  <si>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</si>
  <si>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</si>
  <si>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</si>
  <si>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</si>
  <si>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</si>
  <si>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</si>
  <si>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</si>
  <si>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</si>
  <si>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</si>
  <si>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</si>
  <si>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</si>
  <si>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</si>
  <si>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</si>
  <si>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</si>
  <si>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</si>
  <si>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</si>
  <si>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</si>
  <si>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</si>
  <si>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</si>
  <si>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</si>
  <si>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</si>
  <si>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</si>
  <si>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</si>
  <si>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</si>
  <si>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</si>
  <si>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</si>
  <si>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</si>
  <si>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</si>
  <si>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</si>
  <si>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</si>
  <si>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</si>
  <si>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</si>
  <si>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</si>
  <si>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</si>
  <si>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</si>
  <si>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</si>
  <si>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</si>
  <si>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</si>
  <si>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</si>
  <si>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</si>
  <si>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</si>
  <si>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</si>
  <si>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</si>
  <si>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</si>
  <si>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</si>
  <si>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</si>
  <si>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</si>
  <si>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</si>
  <si>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</si>
  <si>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</si>
  <si>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</si>
  <si>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</si>
  <si>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</si>
  <si>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</si>
  <si>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</si>
  <si>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</si>
  <si>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</si>
  <si>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</si>
  <si>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</si>
  <si>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</si>
  <si>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</si>
  <si>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</si>
  <si>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</si>
  <si>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</si>
  <si>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</si>
  <si>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</si>
  <si>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</si>
  <si>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</si>
  <si>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</si>
  <si>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</si>
  <si>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</si>
  <si>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</si>
  <si>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</si>
  <si>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</si>
  <si>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</si>
  <si>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</si>
  <si>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</si>
  <si>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</si>
  <si>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</si>
  <si>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</si>
  <si>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</si>
  <si>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</si>
  <si>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</si>
  <si>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</si>
  <si>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</si>
  <si>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</si>
  <si>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</si>
  <si>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</si>
  <si>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</si>
  <si>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</si>
  <si>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</si>
  <si>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</si>
  <si>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</si>
  <si>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</si>
  <si>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</si>
  <si>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</si>
  <si>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</si>
  <si>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</si>
  <si>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</si>
  <si>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</si>
  <si>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</si>
  <si>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</si>
  <si>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</si>
  <si>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</si>
  <si>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</si>
  <si>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</si>
  <si>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</si>
  <si>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</si>
  <si>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</si>
  <si>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</si>
  <si>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</si>
  <si>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</si>
  <si>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</si>
  <si>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</si>
  <si>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</si>
  <si>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</si>
  <si>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</si>
  <si>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</si>
  <si>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</si>
  <si>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</si>
  <si>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</si>
  <si>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</si>
  <si>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</si>
  <si>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</si>
  <si>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</si>
  <si>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</si>
  <si>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</si>
  <si>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</si>
  <si>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</si>
  <si>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</si>
  <si>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</si>
  <si>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</si>
  <si>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</si>
  <si>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</si>
  <si>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</si>
  <si>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</si>
  <si>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</si>
  <si>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</si>
  <si>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</si>
  <si>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</si>
  <si>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</si>
  <si>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</si>
  <si>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</si>
  <si>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</si>
  <si>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</si>
  <si>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</si>
  <si>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</si>
  <si>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</si>
  <si>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</si>
  <si>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</si>
  <si>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</si>
  <si>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</si>
  <si>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</si>
  <si>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</si>
  <si>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</si>
  <si>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</si>
  <si>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</si>
  <si>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</si>
  <si>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</si>
  <si>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</si>
  <si>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</si>
  <si>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</si>
  <si>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</si>
  <si>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</si>
  <si>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</si>
  <si>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</si>
  <si>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</si>
  <si>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</si>
  <si>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</si>
  <si>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</si>
  <si>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</si>
  <si>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</si>
  <si>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</si>
  <si>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</si>
  <si>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</si>
  <si>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</si>
  <si>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</si>
  <si>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</si>
  <si>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</si>
  <si>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</si>
  <si>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</si>
  <si>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</si>
  <si>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</si>
  <si>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</si>
  <si>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</si>
  <si>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</si>
  <si>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</si>
  <si>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</si>
  <si>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</si>
  <si>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</si>
  <si>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</si>
  <si>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</si>
  <si>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</si>
  <si>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</si>
  <si>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</si>
  <si>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</si>
  <si>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</si>
  <si>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</si>
  <si>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</si>
  <si>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</si>
  <si>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</si>
  <si>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</si>
  <si>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</si>
  <si>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</si>
  <si>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</si>
  <si>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</si>
  <si>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</si>
  <si>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</si>
  <si>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</si>
  <si>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</si>
  <si>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</si>
  <si>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</si>
  <si>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</si>
  <si>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</si>
  <si>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</si>
  <si>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</si>
  <si>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</si>
  <si>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</si>
  <si>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</si>
  <si>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</si>
  <si>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</si>
  <si>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</si>
  <si>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</si>
  <si>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</si>
  <si>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</si>
  <si>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</si>
  <si>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</si>
  <si>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</si>
  <si>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</si>
  <si>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</si>
  <si>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</si>
  <si>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</si>
  <si>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</si>
  <si>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</si>
  <si>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</si>
  <si>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</si>
  <si>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</si>
  <si>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</si>
  <si>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</si>
  <si>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</si>
  <si>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</si>
  <si>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</si>
  <si>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</si>
  <si>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</si>
  <si>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</si>
  <si>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</si>
  <si>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</si>
  <si>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</si>
  <si>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</si>
  <si>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</si>
  <si>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</si>
  <si>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</si>
  <si>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</si>
  <si>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</si>
  <si>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</si>
  <si>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</si>
  <si>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</si>
  <si>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</si>
  <si>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</si>
  <si>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</si>
  <si>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</si>
  <si>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</si>
  <si>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</si>
  <si>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</si>
  <si>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</si>
  <si>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</si>
  <si>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</si>
  <si>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</si>
  <si>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</si>
  <si>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</si>
  <si>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</si>
  <si>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</si>
  <si>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</si>
  <si>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</si>
  <si>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</si>
  <si>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</si>
  <si>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</si>
  <si>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</si>
  <si>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</si>
  <si>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</si>
  <si>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</si>
  <si>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</si>
  <si>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</si>
  <si>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</si>
  <si>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</si>
  <si>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</si>
  <si>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</si>
  <si>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</si>
  <si>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</si>
  <si>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</si>
  <si>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</si>
  <si>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</si>
  <si>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</si>
  <si>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</si>
  <si>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</si>
  <si>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</si>
  <si>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</si>
  <si>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</si>
  <si>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</si>
  <si>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</si>
  <si>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</si>
  <si>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</si>
  <si>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</si>
  <si>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</si>
  <si>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</si>
  <si>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</si>
  <si>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</si>
  <si>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</si>
  <si>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</si>
  <si>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</si>
  <si>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</si>
  <si>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</si>
  <si>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</si>
  <si>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</si>
  <si>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</si>
  <si>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</si>
  <si>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</si>
  <si>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</si>
  <si>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</si>
  <si>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</si>
  <si>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</si>
  <si>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</si>
  <si>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</si>
  <si>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</si>
  <si>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</si>
  <si>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</si>
  <si>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</si>
  <si>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</si>
  <si>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</si>
  <si>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</si>
  <si>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</si>
  <si>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</si>
  <si>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</si>
  <si>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</si>
  <si>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</si>
  <si>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</si>
  <si>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</si>
  <si>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</si>
  <si>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</si>
  <si>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</si>
  <si>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</si>
  <si>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</si>
  <si>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</si>
  <si>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</si>
  <si>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</si>
  <si>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</si>
  <si>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</si>
  <si>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</si>
  <si>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</si>
  <si>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</si>
  <si>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</si>
  <si>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</si>
  <si>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</si>
  <si>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</si>
  <si>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</si>
  <si>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</si>
  <si>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</si>
  <si>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</si>
  <si>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</si>
  <si>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</si>
  <si>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</si>
  <si>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</si>
  <si>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</si>
  <si>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</si>
  <si>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</si>
  <si>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</si>
  <si>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</si>
  <si>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</si>
  <si>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</si>
  <si>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</si>
  <si>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</si>
  <si>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</si>
  <si>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</si>
  <si>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</si>
  <si>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</si>
  <si>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</si>
  <si>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</si>
  <si>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</si>
  <si>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</si>
  <si>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</si>
  <si>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</si>
  <si>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</si>
  <si>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</si>
  <si>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</si>
  <si>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</si>
  <si>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</si>
  <si>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</si>
  <si>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</si>
  <si>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</si>
  <si>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</si>
  <si>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</si>
  <si>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</si>
  <si>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</si>
  <si>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</si>
  <si>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</si>
  <si>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</si>
  <si>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</si>
  <si>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</si>
  <si>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</si>
  <si>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</si>
  <si>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</si>
  <si>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</si>
  <si>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</si>
  <si>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</si>
  <si>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</si>
  <si>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</si>
  <si>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</si>
  <si>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</si>
  <si>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</si>
  <si>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</si>
  <si>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</si>
  <si>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</si>
  <si>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</si>
  <si>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</si>
  <si>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</si>
  <si>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</si>
  <si>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</si>
  <si>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</si>
  <si>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</si>
  <si>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</si>
  <si>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</si>
  <si>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</si>
  <si>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</si>
  <si>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</si>
  <si>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</si>
  <si>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</si>
  <si>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</si>
  <si>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</si>
  <si>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</si>
  <si>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</si>
  <si>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</si>
  <si>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</si>
  <si>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</si>
  <si>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</si>
  <si>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</si>
  <si>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</si>
  <si>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</si>
  <si>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</si>
  <si>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</si>
  <si>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</si>
  <si>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</si>
  <si>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</si>
  <si>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</si>
  <si>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</si>
  <si>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</si>
  <si>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</si>
  <si>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</si>
  <si>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</si>
  <si>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</si>
  <si>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</si>
  <si>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</si>
  <si>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</si>
  <si>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</si>
  <si>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</si>
  <si>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</si>
  <si>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</si>
  <si>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</si>
  <si>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</si>
  <si>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</si>
  <si>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</si>
  <si>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</si>
  <si>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</si>
  <si>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</si>
  <si>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</si>
  <si>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</si>
  <si>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</si>
  <si>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</si>
  <si>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</si>
  <si>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</si>
  <si>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</si>
  <si>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</si>
  <si>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</si>
  <si>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</si>
  <si>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</si>
  <si>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</si>
  <si>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</si>
  <si>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</si>
  <si>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</si>
  <si>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</si>
  <si>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</si>
  <si>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</si>
  <si>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</si>
  <si>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</si>
  <si>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</si>
  <si>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</si>
  <si>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</si>
  <si>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</si>
  <si>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</si>
  <si>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</si>
  <si>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</si>
  <si>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</si>
  <si>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</si>
  <si>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</si>
  <si>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</si>
  <si>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</si>
  <si>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</si>
  <si>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</si>
  <si>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</si>
  <si>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</si>
  <si>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</si>
  <si>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</si>
  <si>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</si>
  <si>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</si>
  <si>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</si>
  <si>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</si>
  <si>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</si>
  <si>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</si>
  <si>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</si>
  <si>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</si>
  <si>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</si>
  <si>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</si>
  <si>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</si>
  <si>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</si>
  <si>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</si>
  <si>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</si>
  <si>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</si>
  <si>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</si>
  <si>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</si>
  <si>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</si>
  <si>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</si>
  <si>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</si>
  <si>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</si>
  <si>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</si>
  <si>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</si>
  <si>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</si>
  <si>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</si>
  <si>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</si>
  <si>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</si>
  <si>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</si>
  <si>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</si>
  <si>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</si>
  <si>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</si>
  <si>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</si>
  <si>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</si>
  <si>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</si>
  <si>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</si>
  <si>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</si>
  <si>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</si>
  <si>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</si>
  <si>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</si>
  <si>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</si>
  <si>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</si>
  <si>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</si>
  <si>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</si>
  <si>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</si>
  <si>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</si>
  <si>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</si>
  <si>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</si>
  <si>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</si>
  <si>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</si>
  <si>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</si>
  <si>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</si>
  <si>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</si>
  <si>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</si>
  <si>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</si>
  <si>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</si>
  <si>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</si>
  <si>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</si>
  <si>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</si>
  <si>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</si>
  <si>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</si>
  <si>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</si>
  <si>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</si>
  <si>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</si>
  <si>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</si>
  <si>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</si>
  <si>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</si>
  <si>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</si>
  <si>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</si>
  <si>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</si>
  <si>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</si>
  <si>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</si>
  <si>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</si>
  <si>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</si>
  <si>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</si>
  <si>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</si>
  <si>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</si>
  <si>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</si>
  <si>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</si>
  <si>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</si>
  <si>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</si>
  <si>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</si>
  <si>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</si>
  <si>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</si>
  <si>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</si>
  <si>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</si>
  <si>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</si>
  <si>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</si>
  <si>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</si>
  <si>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</si>
  <si>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</si>
  <si>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</si>
  <si>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</si>
  <si>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</si>
  <si>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</si>
  <si>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</si>
  <si>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</si>
  <si>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</si>
  <si>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</si>
  <si>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</si>
  <si>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</si>
  <si>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</si>
  <si>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</si>
  <si>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</si>
  <si>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</si>
  <si>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</si>
  <si>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</si>
  <si>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</si>
  <si>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</si>
  <si>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</si>
  <si>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</si>
  <si>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</si>
  <si>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</si>
  <si>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</si>
  <si>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</si>
  <si>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</si>
  <si>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</si>
  <si>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</si>
  <si>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</si>
  <si>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</si>
  <si>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</si>
  <si>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</si>
  <si>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</si>
  <si>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</si>
  <si>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</si>
  <si>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</si>
  <si>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</si>
  <si>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</si>
  <si>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</si>
  <si>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</si>
  <si>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</si>
  <si>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</si>
  <si>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</si>
  <si>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</si>
  <si>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</si>
  <si>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</si>
  <si>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</si>
  <si>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</si>
  <si>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</si>
  <si>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</si>
  <si>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</si>
  <si>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</si>
  <si>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</si>
  <si>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</si>
  <si>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</si>
  <si>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</si>
  <si>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</si>
  <si>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</si>
  <si>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</si>
  <si>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</si>
  <si>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</si>
  <si>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</si>
  <si>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</si>
  <si>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</si>
  <si>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</si>
  <si>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</si>
  <si>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</si>
  <si>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</si>
  <si>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</si>
  <si>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</si>
  <si>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</si>
  <si>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</si>
  <si>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</si>
  <si>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</si>
  <si>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</si>
  <si>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</si>
  <si>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</si>
  <si>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</si>
  <si>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</si>
  <si>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</si>
  <si>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</si>
  <si>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</si>
  <si>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</si>
  <si>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</si>
  <si>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</si>
  <si>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</si>
  <si>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</si>
  <si>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</si>
  <si>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</si>
  <si>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</si>
  <si>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</si>
  <si>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</si>
  <si>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</si>
  <si>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</si>
  <si>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</si>
  <si>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</si>
  <si>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</si>
  <si>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</si>
  <si>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</si>
  <si>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</si>
  <si>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</si>
  <si>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</si>
  <si>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</si>
  <si>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</si>
  <si>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</si>
  <si>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</si>
  <si>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</si>
  <si>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</si>
  <si>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</si>
  <si>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</si>
  <si>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</si>
  <si>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</si>
  <si>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</si>
  <si>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</si>
  <si>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</si>
  <si>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</si>
  <si>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</si>
  <si>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</si>
  <si>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</si>
  <si>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</si>
  <si>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</si>
  <si>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</si>
  <si>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</si>
  <si>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</si>
  <si>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</si>
  <si>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</si>
  <si>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</si>
  <si>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</si>
  <si>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</si>
  <si>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</si>
  <si>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</si>
  <si>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</si>
  <si>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</si>
  <si>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</si>
  <si>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</si>
  <si>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</si>
  <si>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</si>
  <si>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</si>
  <si>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</si>
  <si>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</si>
  <si>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</si>
  <si>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</si>
  <si>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</si>
  <si>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</si>
  <si>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</si>
  <si>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</si>
  <si>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</si>
  <si>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</si>
  <si>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</si>
  <si>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</si>
  <si>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</si>
  <si>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</si>
  <si>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</si>
  <si>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</si>
  <si>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</si>
  <si>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</si>
  <si>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</si>
  <si>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</si>
  <si>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</si>
  <si>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</si>
  <si>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</si>
  <si>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</si>
  <si>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</si>
  <si>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</si>
  <si>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</si>
  <si>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</si>
  <si>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</si>
  <si>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</si>
  <si>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</si>
  <si>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</si>
  <si>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</si>
  <si>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</si>
  <si>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</si>
  <si>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</si>
  <si>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</si>
  <si>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</si>
  <si>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</si>
  <si>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</si>
  <si>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</si>
  <si>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</si>
  <si>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</si>
  <si>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</si>
  <si>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</si>
  <si>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</si>
  <si>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</si>
  <si>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</si>
  <si>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</si>
  <si>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</si>
  <si>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</si>
  <si>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</si>
  <si>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</si>
  <si>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</si>
  <si>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</si>
  <si>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</si>
  <si>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</si>
  <si>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</si>
  <si>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</si>
  <si>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</si>
  <si>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</si>
  <si>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</si>
  <si>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</si>
  <si>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</si>
  <si>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</si>
  <si>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</si>
  <si>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</si>
  <si>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</si>
  <si>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</si>
  <si>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</si>
  <si>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</si>
  <si>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</si>
  <si>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</si>
  <si>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</si>
  <si>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</si>
  <si>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</si>
  <si>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</si>
  <si>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</si>
  <si>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</si>
  <si>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</si>
  <si>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</si>
  <si>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</si>
  <si>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</si>
  <si>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</si>
  <si>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</si>
  <si>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</si>
  <si>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</si>
  <si>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</si>
  <si>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</si>
  <si>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</si>
  <si>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</si>
  <si>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</si>
  <si>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</si>
  <si>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</si>
  <si>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</si>
  <si>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</si>
  <si>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</si>
  <si>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</si>
  <si>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</si>
  <si>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</si>
  <si>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</si>
  <si>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</si>
  <si>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</si>
  <si>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</si>
  <si>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</si>
  <si>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</si>
  <si>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</si>
  <si>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</si>
  <si>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</si>
  <si>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</si>
  <si>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</si>
  <si>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</si>
  <si>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</si>
  <si>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</si>
  <si>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</si>
  <si>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</si>
  <si>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</si>
  <si>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</si>
  <si>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</si>
  <si>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</si>
  <si>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</si>
  <si>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</si>
  <si>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</si>
  <si>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</si>
  <si>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</si>
  <si>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</si>
  <si>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</si>
  <si>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</si>
  <si>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</si>
  <si>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</si>
  <si>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</si>
  <si>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</si>
  <si>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</si>
  <si>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</si>
  <si>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</si>
  <si>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</si>
  <si>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</si>
  <si>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</si>
  <si>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</si>
  <si>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</si>
  <si>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</si>
  <si>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</si>
  <si>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</si>
  <si>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</si>
  <si>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</si>
  <si>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</si>
  <si>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</si>
  <si>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</si>
  <si>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</si>
  <si>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</si>
  <si>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</si>
  <si>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</si>
  <si>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</si>
  <si>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</si>
  <si>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</si>
  <si>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</si>
  <si>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</si>
  <si>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</si>
  <si>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</si>
  <si>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</si>
  <si>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</si>
  <si>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</si>
  <si>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</si>
  <si>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</si>
  <si>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</si>
  <si>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</si>
  <si>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</si>
  <si>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</si>
  <si>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</si>
  <si>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</si>
  <si>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</si>
  <si>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</si>
  <si>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</si>
  <si>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</si>
  <si>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</si>
  <si>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</si>
  <si>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</si>
  <si>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</si>
  <si>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</si>
  <si>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</si>
  <si>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</si>
  <si>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</si>
  <si>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</si>
  <si>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</si>
  <si>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</si>
  <si>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</si>
  <si>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</si>
  <si>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</si>
  <si>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</si>
  <si>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</si>
  <si>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</si>
  <si>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</si>
  <si>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</si>
  <si>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</si>
  <si>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</si>
  <si>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</si>
  <si>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</si>
  <si>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</si>
  <si>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</si>
  <si>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</si>
  <si>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</si>
  <si>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</si>
  <si>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</si>
  <si>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</si>
  <si>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</si>
  <si>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</si>
  <si>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</si>
  <si>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</si>
  <si>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</si>
  <si>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</si>
  <si>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</si>
  <si>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</si>
  <si>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</si>
  <si>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</si>
  <si>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</si>
  <si>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</si>
  <si>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</si>
  <si>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</si>
  <si>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</si>
  <si>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</si>
  <si>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</si>
  <si>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</si>
  <si>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</si>
  <si>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</si>
  <si>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</si>
  <si>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</si>
  <si>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</si>
  <si>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</si>
  <si>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</si>
  <si>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</si>
  <si>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</si>
  <si>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</si>
  <si>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</si>
  <si>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</si>
  <si>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</si>
  <si>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</si>
  <si>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</si>
  <si>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</si>
  <si>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</si>
  <si>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</si>
  <si>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</si>
  <si>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</si>
  <si>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</si>
  <si>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</si>
  <si>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</si>
  <si>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</si>
  <si>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</si>
  <si>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</si>
  <si>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</si>
  <si>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</si>
  <si>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</si>
  <si>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</si>
  <si>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</si>
  <si>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</si>
  <si>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</si>
  <si>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</si>
  <si>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</si>
  <si>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</si>
  <si>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</si>
  <si>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</si>
  <si>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</si>
  <si>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</si>
  <si>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</si>
  <si>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</si>
  <si>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</si>
  <si>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</si>
  <si>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</si>
  <si>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</si>
  <si>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</si>
  <si>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</si>
  <si>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</si>
  <si>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</si>
  <si>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</si>
  <si>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</si>
  <si>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</si>
  <si>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</si>
  <si>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</si>
  <si>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</si>
  <si>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</si>
  <si>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</si>
  <si>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</si>
  <si>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</si>
  <si>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</si>
  <si>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</si>
  <si>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</si>
  <si>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</si>
  <si>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</si>
  <si>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</si>
  <si>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</si>
  <si>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</si>
  <si>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</si>
  <si>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</si>
  <si>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</si>
  <si>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</si>
  <si>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</si>
  <si>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</si>
  <si>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</si>
  <si>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</si>
  <si>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</si>
  <si>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</si>
  <si>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</si>
  <si>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</si>
  <si>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</si>
  <si>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</si>
  <si>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</si>
  <si>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</si>
  <si>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</si>
  <si>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</si>
  <si>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</si>
  <si>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</si>
  <si>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</si>
  <si>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</si>
  <si>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</si>
  <si>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</si>
  <si>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</si>
  <si>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</si>
  <si>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</si>
  <si>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</si>
  <si>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</si>
  <si>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</si>
  <si>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</si>
  <si>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</si>
  <si>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</si>
  <si>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</si>
  <si>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</si>
  <si>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</si>
  <si>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</si>
  <si>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</si>
  <si>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</si>
  <si>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</si>
  <si>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</si>
  <si>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</si>
  <si>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</si>
  <si>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</si>
  <si>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</si>
  <si>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</si>
  <si>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</si>
  <si>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</si>
  <si>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</si>
  <si>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</si>
  <si>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</si>
  <si>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</si>
  <si>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</si>
  <si>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</si>
  <si>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</si>
  <si>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</si>
  <si>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</si>
  <si>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</si>
  <si>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</si>
  <si>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</si>
  <si>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</si>
  <si>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</si>
  <si>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</si>
  <si>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</si>
  <si>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</si>
  <si>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</si>
  <si>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</si>
  <si>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</si>
  <si>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</si>
  <si>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</si>
  <si>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</si>
  <si>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</si>
  <si>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</si>
  <si>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</si>
  <si>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</si>
  <si>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</si>
  <si>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</si>
  <si>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</si>
  <si>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</si>
  <si>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</si>
  <si>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</si>
  <si>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</si>
  <si>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</si>
  <si>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</si>
  <si>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</si>
  <si>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</si>
  <si>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</si>
  <si>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</si>
  <si>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</si>
  <si>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</si>
  <si>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</si>
  <si>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</si>
  <si>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</si>
  <si>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</si>
  <si>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</si>
  <si>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</si>
  <si>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</si>
  <si>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</si>
  <si>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</si>
  <si>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</si>
  <si>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</si>
  <si>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</si>
  <si>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</si>
  <si>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</si>
  <si>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</si>
  <si>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</si>
  <si>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</si>
  <si>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</si>
  <si>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</si>
  <si>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</si>
  <si>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</si>
  <si>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</si>
  <si>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</si>
  <si>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</si>
  <si>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</si>
  <si>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</si>
  <si>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</si>
  <si>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</si>
  <si>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</si>
  <si>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</si>
  <si>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</si>
  <si>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</si>
  <si>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</si>
  <si>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</si>
  <si>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</si>
  <si>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</si>
  <si>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</si>
  <si>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</si>
  <si>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</si>
  <si>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</si>
  <si>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</si>
  <si>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</si>
  <si>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</si>
  <si>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</si>
  <si>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</si>
  <si>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</si>
  <si>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</si>
  <si>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</si>
  <si>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</si>
  <si>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</si>
  <si>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</si>
  <si>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</si>
  <si>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</si>
  <si>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</si>
  <si>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</si>
  <si>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</si>
  <si>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</si>
  <si>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</si>
  <si>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</si>
  <si>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</si>
  <si>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</si>
  <si>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</si>
  <si>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</si>
  <si>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</si>
  <si>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</si>
  <si>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</si>
  <si>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</si>
  <si>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</si>
  <si>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</si>
  <si>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</si>
  <si>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</si>
  <si>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</si>
  <si>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</si>
  <si>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</si>
  <si>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</si>
  <si>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</si>
  <si>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</si>
  <si>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</si>
  <si>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</si>
  <si>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</si>
  <si>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</si>
  <si>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</si>
  <si>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</si>
  <si>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</si>
  <si>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</si>
  <si>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</si>
  <si>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</si>
  <si>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</si>
  <si>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</si>
  <si>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</si>
  <si>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</si>
  <si>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</si>
  <si>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</si>
  <si>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</si>
  <si>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</si>
  <si>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</si>
  <si>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</si>
  <si>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</si>
  <si>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</si>
  <si>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</si>
  <si>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</si>
  <si>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</si>
  <si>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</si>
  <si>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</si>
  <si>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</si>
  <si>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</si>
  <si>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</si>
  <si>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</si>
  <si>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</si>
  <si>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</si>
  <si>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</si>
  <si>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</si>
  <si>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</si>
  <si>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</si>
  <si>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</si>
  <si>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</si>
  <si>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</si>
  <si>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</si>
  <si>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</si>
  <si>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</si>
  <si>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</si>
  <si>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</si>
  <si>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</si>
  <si>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</si>
  <si>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</si>
  <si>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</si>
  <si>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</si>
  <si>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</si>
  <si>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</si>
  <si>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</si>
  <si>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</si>
  <si>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</si>
  <si>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</si>
  <si>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</si>
  <si>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</si>
  <si>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</si>
  <si>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</si>
  <si>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</si>
  <si>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</si>
  <si>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</si>
  <si>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</si>
  <si>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</si>
  <si>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</si>
  <si>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</si>
  <si>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</si>
  <si>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</si>
  <si>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</si>
  <si>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</si>
  <si>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</si>
  <si>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</si>
  <si>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</si>
  <si>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</si>
  <si>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</si>
  <si>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</si>
  <si>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</si>
  <si>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</si>
  <si>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</si>
  <si>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</si>
  <si>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</si>
  <si>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</si>
  <si>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</si>
  <si>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</si>
  <si>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</si>
  <si>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</si>
  <si>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</si>
  <si>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</si>
  <si>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</si>
  <si>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</si>
  <si>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</si>
  <si>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</si>
  <si>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</si>
  <si>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</si>
  <si>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</si>
  <si>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</si>
  <si>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</si>
  <si>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</si>
  <si>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</si>
  <si>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</si>
  <si>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</si>
  <si>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</si>
  <si>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</si>
  <si>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</si>
  <si>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</si>
  <si>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</si>
  <si>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</si>
  <si>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</si>
  <si>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</si>
  <si>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</si>
  <si>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</si>
  <si>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</si>
  <si>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</si>
  <si>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</si>
  <si>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</si>
  <si>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</si>
  <si>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</si>
  <si>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</si>
  <si>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</si>
  <si>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</si>
  <si>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</si>
  <si>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</si>
  <si>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</si>
  <si>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</si>
  <si>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</si>
  <si>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</si>
  <si>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</si>
  <si>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</si>
  <si>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</si>
  <si>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</si>
  <si>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</si>
  <si>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</si>
  <si>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</si>
  <si>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</si>
  <si>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</si>
  <si>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</si>
  <si>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</si>
  <si>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</si>
  <si>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</si>
  <si>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</si>
  <si>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</si>
  <si>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</si>
  <si>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</si>
  <si>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</si>
  <si>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</si>
  <si>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</si>
  <si>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</si>
  <si>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</si>
  <si>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</si>
  <si>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</si>
  <si>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</si>
  <si>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</si>
  <si>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</si>
  <si>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</si>
  <si>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</si>
  <si>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</si>
  <si>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</si>
  <si>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</si>
  <si>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</si>
  <si>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</si>
  <si>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</si>
  <si>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</si>
  <si>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</si>
  <si>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</si>
  <si>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</si>
  <si>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</si>
  <si>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</si>
  <si>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</si>
  <si>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</si>
  <si>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</si>
  <si>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</si>
  <si>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</si>
  <si>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</si>
  <si>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</si>
  <si>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</si>
  <si>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</si>
  <si>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</si>
  <si>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</si>
  <si>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</si>
  <si>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</si>
  <si>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</si>
  <si>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</si>
  <si>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</si>
  <si>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</si>
  <si>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</si>
  <si>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</si>
  <si>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</si>
  <si>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</si>
  <si>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</si>
  <si>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</si>
  <si>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</si>
  <si>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</si>
  <si>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</si>
  <si>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</si>
  <si>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</si>
  <si>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</si>
  <si>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</si>
  <si>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</si>
  <si>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</si>
  <si>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</si>
  <si>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</si>
  <si>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</si>
  <si>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</si>
  <si>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</si>
  <si>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</si>
  <si>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</si>
  <si>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</si>
  <si>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</si>
  <si>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</si>
  <si>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</si>
  <si>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</si>
  <si>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</si>
  <si>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</si>
  <si>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</si>
  <si>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</si>
  <si>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</si>
  <si>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</si>
  <si>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</si>
  <si>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</si>
  <si>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</si>
  <si>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</si>
  <si>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</si>
  <si>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</si>
  <si>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</si>
  <si>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</si>
  <si>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</si>
  <si>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</si>
  <si>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</si>
  <si>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</si>
  <si>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</si>
  <si>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</si>
  <si>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</si>
  <si>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</si>
  <si>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</si>
  <si>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</si>
  <si>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</si>
  <si>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</si>
  <si>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</si>
  <si>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</si>
  <si>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</si>
  <si>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</si>
  <si>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</si>
  <si>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</si>
  <si>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</si>
  <si>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</si>
  <si>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</si>
  <si>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</si>
  <si>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</si>
  <si>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</si>
  <si>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</si>
  <si>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</si>
  <si>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</si>
  <si>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</si>
  <si>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</si>
  <si>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</si>
  <si>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</si>
  <si>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</si>
  <si>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</si>
  <si>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</si>
  <si>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</si>
  <si>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</si>
  <si>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</si>
  <si>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</si>
  <si>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</si>
  <si>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</si>
  <si>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</si>
  <si>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</si>
  <si>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</si>
  <si>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</si>
  <si>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</si>
  <si>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</si>
  <si>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</si>
  <si>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</si>
  <si>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</si>
  <si>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</si>
  <si>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</si>
  <si>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</si>
  <si>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</si>
  <si>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</si>
  <si>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</si>
  <si>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</si>
  <si>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</si>
  <si>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</si>
  <si>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</si>
  <si>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</si>
  <si>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</si>
  <si>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</si>
  <si>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</si>
  <si>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</si>
  <si>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</si>
  <si>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</si>
  <si>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</si>
  <si>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</si>
  <si>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</si>
  <si>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</si>
  <si>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</si>
  <si>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</si>
  <si>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</si>
  <si>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</si>
  <si>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</si>
  <si>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</si>
  <si>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</si>
  <si>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</si>
  <si>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</si>
  <si>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</si>
  <si>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</si>
  <si>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</si>
  <si>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</si>
  <si>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</si>
  <si>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</si>
  <si>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</si>
  <si>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</si>
  <si>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</si>
  <si>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</si>
  <si>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</si>
  <si>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</si>
  <si>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</si>
  <si>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</si>
  <si>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</si>
  <si>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</si>
  <si>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</si>
  <si>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</si>
  <si>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</si>
  <si>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</si>
  <si>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</si>
  <si>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</si>
  <si>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</si>
  <si>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</si>
  <si>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</si>
  <si>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</si>
  <si>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</si>
  <si>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</si>
  <si>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</si>
  <si>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</si>
  <si>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</si>
  <si>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</si>
  <si>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</si>
  <si>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</si>
  <si>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</si>
  <si>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</si>
  <si>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</si>
  <si>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</si>
  <si>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</si>
  <si>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</si>
  <si>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</si>
  <si>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</si>
  <si>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</si>
  <si>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</si>
  <si>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</si>
  <si>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</si>
  <si>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</si>
  <si>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</si>
  <si>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</si>
  <si>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</si>
  <si>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</si>
  <si>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</si>
  <si>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</si>
  <si>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</si>
  <si>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</si>
  <si>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</si>
  <si>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</si>
  <si>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</si>
  <si>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</si>
  <si>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</si>
  <si>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</si>
  <si>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</si>
  <si>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</si>
  <si>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</si>
  <si>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</si>
  <si>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</si>
  <si>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</si>
  <si>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</si>
  <si>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</si>
  <si>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</si>
  <si>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</si>
  <si>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</si>
  <si>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</si>
  <si>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</si>
  <si>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</si>
  <si>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</si>
  <si>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</si>
  <si>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</si>
  <si>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</si>
  <si>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</si>
  <si>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</si>
  <si>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</si>
  <si>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</si>
  <si>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</si>
  <si>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</si>
  <si>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</si>
  <si>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</si>
  <si>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</si>
  <si>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</si>
  <si>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</si>
  <si>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</si>
  <si>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</si>
  <si>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</si>
  <si>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</si>
  <si>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</si>
  <si>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</si>
  <si>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</si>
  <si>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</si>
  <si>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</si>
  <si>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</si>
  <si>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</si>
  <si>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</si>
  <si>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</si>
  <si>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</si>
  <si>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</si>
  <si>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</si>
  <si>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</si>
  <si>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</si>
  <si>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</si>
  <si>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</si>
  <si>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</si>
  <si>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</si>
  <si>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</si>
  <si>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</si>
  <si>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</si>
  <si>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</si>
  <si>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</si>
  <si>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</si>
  <si>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</si>
  <si>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</si>
  <si>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</si>
  <si>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</si>
  <si>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</si>
  <si>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</si>
  <si>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</si>
  <si>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</si>
  <si>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</si>
  <si>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</si>
  <si>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</si>
  <si>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</si>
  <si>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</si>
  <si>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</si>
  <si>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</si>
  <si>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</si>
  <si>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</si>
  <si>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</si>
  <si>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</si>
  <si>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</si>
  <si>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</si>
  <si>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</si>
  <si>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</si>
  <si>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</si>
  <si>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</si>
  <si>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</si>
  <si>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</si>
  <si>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</si>
  <si>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</si>
  <si>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</si>
  <si>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</si>
  <si>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</si>
  <si>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</si>
  <si>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</si>
  <si>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</si>
  <si>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</si>
  <si>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</si>
  <si>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</si>
  <si>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</si>
  <si>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</si>
  <si>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</si>
  <si>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</si>
  <si>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</si>
  <si>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</si>
  <si>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</si>
  <si>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</si>
  <si>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</si>
  <si>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</si>
  <si>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</si>
  <si>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</si>
  <si>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</si>
  <si>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</si>
  <si>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</si>
  <si>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</si>
  <si>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</si>
  <si>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</si>
  <si>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</si>
  <si>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</si>
  <si>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</si>
  <si>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</si>
  <si>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</si>
  <si>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</si>
  <si>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</si>
  <si>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</si>
  <si>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</si>
  <si>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</si>
  <si>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</si>
  <si>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</si>
  <si>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</si>
  <si>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</si>
  <si>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</si>
  <si>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</si>
  <si>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</si>
  <si>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</si>
  <si>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</si>
  <si>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</si>
  <si>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</si>
  <si>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</si>
  <si>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</si>
  <si>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</si>
  <si>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</si>
  <si>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</si>
  <si>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</si>
  <si>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</si>
  <si>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</si>
  <si>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</si>
  <si>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</si>
  <si>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</si>
  <si>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</si>
  <si>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</si>
  <si>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</si>
  <si>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</si>
  <si>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</si>
  <si>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</si>
  <si>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</si>
  <si>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</si>
  <si>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</si>
  <si>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</si>
  <si>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</si>
  <si>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</si>
  <si>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</si>
  <si>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</si>
  <si>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</si>
  <si>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</si>
  <si>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</si>
  <si>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</si>
  <si>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</si>
  <si>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</si>
  <si>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</si>
  <si>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</si>
  <si>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</si>
  <si>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</si>
  <si>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</si>
  <si>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</si>
  <si>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</si>
  <si>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</si>
  <si>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</si>
  <si>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</si>
  <si>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</si>
  <si>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</si>
  <si>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</si>
  <si>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</si>
  <si>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</si>
  <si>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</si>
  <si>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</si>
  <si>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</si>
  <si>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</si>
  <si>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</si>
  <si>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</si>
  <si>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</si>
  <si>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</si>
  <si>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</si>
  <si>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</si>
  <si>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</si>
  <si>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</si>
  <si>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</si>
  <si>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</si>
  <si>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</si>
  <si>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</si>
  <si>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</si>
  <si>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</si>
  <si>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</si>
  <si>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</si>
  <si>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</si>
  <si>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</si>
  <si>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</si>
  <si>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</si>
  <si>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</si>
  <si>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</si>
  <si>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</si>
  <si>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</si>
  <si>
    <t>fp0001.jpg</t>
  </si>
  <si>
    <t>fp0002.jpg</t>
  </si>
  <si>
    <t>rose</t>
  </si>
  <si>
    <t>flower</t>
  </si>
  <si>
    <t>25cm</t>
  </si>
  <si>
    <t>red</t>
  </si>
  <si>
    <t>a1</t>
  </si>
  <si>
    <t>s</t>
  </si>
  <si>
    <t>best flower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</si>
</sst>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2.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5.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1.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3.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4.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32.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9" name="Picture 8">
          <a:extLst>
            <a:ext uri="{FF2B5EF4-FFF2-40B4-BE49-F238E27FC236}">
              <a16:creationId xmlns:a16="http://schemas.microsoft.com/office/drawing/2014/main" id="{A72E9BFB-8D9F-DE92-D5A0-78898D0411C2}"/>
            </a:ext>
          </a:extLst>
        </xdr:cNvPr>
        <xdr:cNvPicPr>
          <a:picLocks noChangeAspect="1"/>
        </xdr:cNvPicPr>
      </xdr:nvPicPr>
      <xdr:blipFill>
        <a:blip xmlns:r="http://schemas.openxmlformats.org/officeDocument/2006/relationships" r:link="rId495"/>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6"/>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7"/>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44" name="Picture 43">
          <a:extLst>
            <a:ext uri="{FF2B5EF4-FFF2-40B4-BE49-F238E27FC236}">
              <a16:creationId xmlns:a16="http://schemas.microsoft.com/office/drawing/2014/main" id="{D0D48316-BC39-F07F-82CF-5649FDA15661}"/>
            </a:ext>
          </a:extLst>
        </xdr:cNvPr>
        <xdr:cNvPicPr>
          <a:picLocks noChangeAspect="1"/>
        </xdr:cNvPicPr>
      </xdr:nvPicPr>
      <xdr:blipFill>
        <a:blip xmlns:r="http://schemas.openxmlformats.org/officeDocument/2006/relationships" r:link="rId499"/>
        <a:stretch>
          <a:fillRect/>
        </a:stretch>
      </xdr:blipFill>
      <xdr:spPr>
        <a:xfrm>
          <a:off x="28917900" y="1394460"/>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5" name="Picture 4">
          <a:extLst>
            <a:ext uri="{FF2B5EF4-FFF2-40B4-BE49-F238E27FC236}">
              <a16:creationId xmlns:a16="http://schemas.microsoft.com/office/drawing/2014/main" id="{441EDFBC-5E33-90CD-9B93-35353F57E4A4}"/>
            </a:ext>
          </a:extLst>
        </xdr:cNvPr>
        <xdr:cNvPicPr>
          <a:picLocks noChangeAspect="1"/>
        </xdr:cNvPicPr>
      </xdr:nvPicPr>
      <xdr:blipFill>
        <a:blip xmlns:r="http://schemas.openxmlformats.org/officeDocument/2006/relationships" r:link="rId500"/>
        <a:stretch>
          <a:fillRect/>
        </a:stretch>
      </xdr:blipFill>
      <xdr:spPr>
        <a:xfrm>
          <a:off x="28917900" y="403098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G3" sqref="G3"/>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2033</v>
      </c>
      <c r="C2" s="57" t="s">
        <v>2034</v>
      </c>
      <c r="D2" s="57" t="s">
        <v>2035</v>
      </c>
      <c r="E2" s="57">
        <v>25</v>
      </c>
      <c r="F2" s="57" t="s">
        <v>2036</v>
      </c>
      <c r="G2" s="57" t="s">
        <v>2038</v>
      </c>
      <c r="H2" s="57" t="s">
        <v>2037</v>
      </c>
      <c r="I2" s="57" t="s">
        <v>2038</v>
      </c>
      <c r="J2" s="57" t="s">
        <v>2039</v>
      </c>
      <c r="K2" s="57" t="s">
        <v>2031</v>
      </c>
      <c r="L2" s="70" t="s">
        <v>1013</v>
      </c>
    </row>
    <row r="3" spans="1:14" ht="207.6" customHeight="1">
      <c r="A3" s="56" t="s">
        <v>13</v>
      </c>
      <c r="B3" s="57" t="s">
        <v>2033</v>
      </c>
      <c r="C3" s="57" t="s">
        <v>2033</v>
      </c>
      <c r="D3" s="57" t="s">
        <v>2033</v>
      </c>
      <c r="E3" s="57" t="s">
        <v>2033</v>
      </c>
      <c r="F3" s="57" t="s">
        <v>2033</v>
      </c>
      <c r="G3" s="57" t="s">
        <v>2033</v>
      </c>
      <c r="H3" s="57" t="s">
        <v>2033</v>
      </c>
      <c r="I3" s="57" t="s">
        <v>2033</v>
      </c>
      <c r="J3" s="57" t="s">
        <v>2033</v>
      </c>
      <c r="K3" s="57" t="s">
        <v>2032</v>
      </c>
      <c r="L3" s="58" t="s">
        <v>1014</v>
      </c>
    </row>
    <row r="4" spans="1:14" ht="207.6" customHeight="1">
      <c r="A4" s="56" t="s">
        <v>14</v>
      </c>
      <c r="B4" s="57" t="s">
        <v>2033</v>
      </c>
      <c r="C4" s="57" t="s">
        <v>2033</v>
      </c>
      <c r="D4" s="57" t="s">
        <v>2033</v>
      </c>
      <c r="E4" s="57" t="s">
        <v>2033</v>
      </c>
      <c r="F4" s="57" t="s">
        <v>2033</v>
      </c>
      <c r="G4" s="57" t="s">
        <v>2033</v>
      </c>
      <c r="H4" s="57" t="s">
        <v>2033</v>
      </c>
      <c r="I4" s="57" t="s">
        <v>2033</v>
      </c>
      <c r="J4" s="57" t="s">
        <v>2033</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57"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2028</v>
      </c>
      <c r="E1" s="52" t="s">
        <v>2029</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t="str">
        <f>IFERROR(VLOOKUP(B14,Inventory!A:K,10,FALSE),"")</f>
        <v>rose</v>
      </c>
      <c r="D14" s="64"/>
      <c r="E14" s="63" t="str">
        <f>IFERROR(VLOOKUP(B14,Inventory!A:K,3,FALSE),"")</f>
        <v>rose</v>
      </c>
      <c r="F14" s="63" t="str">
        <f>IFERROR(VLOOKUP(B14,Inventory!A:K,4,FALSE),"")</f>
        <v>rose</v>
      </c>
      <c r="G14" s="63"/>
      <c r="H14" s="63" t="str">
        <f>IFERROR(VLOOKUP(B14,Inventory!A:K,2,FALSE),"")</f>
        <v>rose</v>
      </c>
      <c r="I14" s="27"/>
    </row>
    <row r="15" spans="1:13" ht="55.8" customHeight="1">
      <c r="A15" s="1"/>
      <c r="B15" s="62" t="s">
        <v>12</v>
      </c>
      <c r="C15" s="65" t="str">
        <f>IFERROR(VLOOKUP(B15,Inventory!A:K,10,FALSE),"")</f>
        <v>best flower</v>
      </c>
      <c r="D15" s="64"/>
      <c r="E15" s="63" t="str">
        <f>IFERROR(VLOOKUP(B15,Inventory!A:K,3,FALSE),"")</f>
        <v>flower</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2026-04-05T19:03:02Z</dcterms:modified>
</cp:coreProperties>
</file>