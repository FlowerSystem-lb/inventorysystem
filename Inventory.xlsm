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1CAD9CAB-D237-432B-891F-09A5952989D2}"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<sst xmlns="http://schemas.openxmlformats.org/spreadsheetml/2006/main" count="2052" uniqueCount="2032">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</sst>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B2" sqref="B2"/>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L2" s="70" t="s">
        <v>1013</v>
      </c>
      <c r="N2" s="70"/>
    </row>
    <row r="3" spans="1:14" ht="207.6" customHeight="1">
      <c r="A3" s="56" t="s">
        <v>13</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f>IFERROR(VLOOKUP(B15,Inventory!A:K,3,FALSE),"")</f>
        <v>0</v>
      </c>
      <c r="F15" s="63">
        <f>IFERROR(VLOOKUP(B15,Inventory!A:K,4,FALSE),"")</f>
        <v>0</v>
      </c>
      <c r="G15" s="63"/>
      <c r="H15" s="63">
        <f>IFERROR(VLOOKUP(B15,Inventory!A:K,2,FALSE),"")</f>
        <v>0</v>
      </c>
      <c r="I15" s="27"/>
    </row>
    <row r="16" spans="1:13" ht="55.8" customHeight="1">
      <c r="A16" s="1"/>
      <c r="B16" s="62" t="s">
        <v>2031</v>
      </c>
      <c r="C16" s="65">
        <f>IFERROR(VLOOKUP(B16,Inventory!A:K,10,FALSE),"")</f>
        <v>0</v>
      </c>
      <c r="D16" s="64"/>
      <c r="E16" s="63">
        <f>IFERROR(VLOOKUP(B16,Inventory!A:K,3,FALSE),"")</f>
        <v>0</v>
      </c>
      <c r="F16" s="63">
        <f>IFERROR(VLOOKUP(B16,Inventory!A:K,4,FALSE),"")</f>
        <v>0</v>
      </c>
      <c r="G16" s="63"/>
      <c r="H16" s="63">
        <f>IFERROR(VLOOKUP(B16,Inventory!A:K,2,FALSE),"")</f>
        <v>0</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2026-04-11T09:39:48Z</dcterms:modified>
</cp:coreProperties>
</file>