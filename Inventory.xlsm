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3273189-C49D-425E-91B3-FEC2BD4F68AC}"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<sst xmlns="http://schemas.openxmlformats.org/spreadsheetml/2006/main" count="4530" uniqueCount="3268">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</sst>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1">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topLeftCell="I1" zoomScale="40" zoomScaleNormal="40" workbookViewId="0">
      <pane ySplit="1" topLeftCell="A134" activePane="bottomLeft" state="frozen"/>
      <selection pane="bottomLeft" activeCell="J137" sqref="J137"/>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2971</v>
      </c>
      <c r="N1" s="69" t="s">
        <v>2972</v>
      </c>
      <c r="O1" s="69" t="s">
        <v>2973</v>
      </c>
      <c r="P1" s="69" t="s">
        <v>3262</v>
      </c>
      <c r="Q1" s="69" t="s">
        <v>3263</v>
      </c>
    </row>
    <row r="2" spans="1:27" ht="207.6" customHeight="1">
      <c r="A2" s="55" t="s">
        <v>207</v>
      </c>
      <c r="B2" s="67" t="s">
        <v>3140</v>
      </c>
      <c r="C2" s="71" t="s">
        <v>3133</v>
      </c>
      <c r="E2" s="72">
        <f>SUMIF(History1!B:B, A2, History1!C:C)</f>
        <v>228</v>
      </c>
      <c r="F2" s="71" t="s">
        <v>3061</v>
      </c>
      <c r="H2" s="71" t="s">
        <v>2980</v>
      </c>
      <c r="J2" s="71" t="s">
        <v>3261</v>
      </c>
      <c r="K2" s="71" t="str">
        <f t="shared" ref="K2:K16" si="0">LOWER(A2)&amp;".jpeg"</f>
        <v>fp0196.jpeg</v>
      </c>
      <c r="L2" s="73" t="s">
        <v>1208</v>
      </c>
    </row>
    <row r="3" spans="1:27" ht="207.6" customHeight="1">
      <c r="A3" s="55" t="s">
        <v>111</v>
      </c>
      <c r="B3" s="67" t="s">
        <v>3141</v>
      </c>
      <c r="C3" s="71" t="s">
        <v>3155</v>
      </c>
      <c r="E3" s="72">
        <f>SUMIF(History1!B:B, A3, History1!C:C)</f>
        <v>27</v>
      </c>
      <c r="F3" s="71" t="s">
        <v>3061</v>
      </c>
      <c r="H3" s="71" t="s">
        <v>2980</v>
      </c>
      <c r="J3" s="71" t="s">
        <v>3055</v>
      </c>
      <c r="K3" s="71" t="str">
        <f t="shared" si="0"/>
        <v>fp0100.jpeg</v>
      </c>
      <c r="L3" s="73" t="s">
        <v>1112</v>
      </c>
    </row>
    <row r="4" spans="1:27" ht="207.6" customHeight="1">
      <c r="A4" s="55" t="s">
        <v>112</v>
      </c>
      <c r="B4" s="67" t="s">
        <v>3142</v>
      </c>
      <c r="C4" s="71" t="s">
        <v>3155</v>
      </c>
      <c r="E4" s="72">
        <f>SUMIF(History1!B:B, A4, History1!C:C)</f>
        <v>13</v>
      </c>
      <c r="F4" s="71" t="s">
        <v>3061</v>
      </c>
      <c r="H4" s="71" t="s">
        <v>2980</v>
      </c>
      <c r="J4" s="71" t="s">
        <v>3064</v>
      </c>
      <c r="K4" s="71" t="str">
        <f t="shared" si="0"/>
        <v>fp0101.jpeg</v>
      </c>
      <c r="L4" s="73" t="s">
        <v>1113</v>
      </c>
      <c r="Z4" s="87"/>
      <c r="AA4" s="87"/>
    </row>
    <row r="5" spans="1:27" ht="207.6" customHeight="1">
      <c r="A5" s="55" t="s">
        <v>113</v>
      </c>
      <c r="B5" s="67" t="s">
        <v>3143</v>
      </c>
      <c r="C5" s="71" t="s">
        <v>3155</v>
      </c>
      <c r="E5" s="72">
        <f>SUMIF(History1!B:B, A5, History1!C:C)</f>
        <v>11</v>
      </c>
      <c r="F5" s="71" t="s">
        <v>3061</v>
      </c>
      <c r="H5" s="71" t="s">
        <v>2980</v>
      </c>
      <c r="J5" s="71" t="s">
        <v>3055</v>
      </c>
      <c r="K5" s="71" t="str">
        <f t="shared" si="0"/>
        <v>fp0102.jpeg</v>
      </c>
      <c r="L5" s="73" t="s">
        <v>1114</v>
      </c>
    </row>
    <row r="6" spans="1:27" ht="207.6" customHeight="1">
      <c r="A6" s="55" t="s">
        <v>114</v>
      </c>
      <c r="B6" s="67" t="s">
        <v>3144</v>
      </c>
      <c r="C6" s="71" t="s">
        <v>3155</v>
      </c>
      <c r="E6" s="72">
        <f>SUMIF(History1!B:B, A6, History1!C:C)</f>
        <v>15</v>
      </c>
      <c r="F6" s="71" t="s">
        <v>3062</v>
      </c>
      <c r="H6" s="71" t="s">
        <v>2980</v>
      </c>
      <c r="J6" s="71" t="s">
        <v>3063</v>
      </c>
      <c r="K6" s="71" t="str">
        <f t="shared" si="0"/>
        <v>fp0103.jpeg</v>
      </c>
      <c r="L6" s="73" t="s">
        <v>1115</v>
      </c>
    </row>
    <row r="7" spans="1:27" ht="207.6" customHeight="1">
      <c r="A7" s="55" t="s">
        <v>118</v>
      </c>
      <c r="B7" s="67" t="s">
        <v>3145</v>
      </c>
      <c r="C7" s="71" t="s">
        <v>3155</v>
      </c>
      <c r="E7" s="72">
        <f>SUMIF(History1!B:B, A7, History1!C:C)</f>
        <v>16</v>
      </c>
      <c r="F7" s="71" t="s">
        <v>3062</v>
      </c>
      <c r="H7" s="71" t="s">
        <v>2980</v>
      </c>
      <c r="J7" s="71" t="s">
        <v>3064</v>
      </c>
      <c r="K7" s="71" t="str">
        <f t="shared" si="0"/>
        <v>fp0107.jpeg</v>
      </c>
      <c r="L7" s="73" t="s">
        <v>1119</v>
      </c>
    </row>
    <row r="8" spans="1:27" ht="207.6" customHeight="1">
      <c r="A8" s="55" t="s">
        <v>119</v>
      </c>
      <c r="B8" s="67" t="s">
        <v>3146</v>
      </c>
      <c r="C8" s="71" t="s">
        <v>3155</v>
      </c>
      <c r="E8" s="72">
        <f>SUMIF(History1!B:B, A8, History1!C:C)</f>
        <v>20</v>
      </c>
      <c r="F8" s="71" t="s">
        <v>3061</v>
      </c>
      <c r="H8" s="71" t="s">
        <v>3068</v>
      </c>
      <c r="J8" s="71" t="s">
        <v>3064</v>
      </c>
      <c r="K8" s="71" t="str">
        <f t="shared" si="0"/>
        <v>fp0108.jpeg</v>
      </c>
      <c r="L8" s="73" t="s">
        <v>1120</v>
      </c>
    </row>
    <row r="9" spans="1:27" ht="207.6" customHeight="1">
      <c r="A9" s="55" t="s">
        <v>120</v>
      </c>
      <c r="B9" s="67" t="s">
        <v>3147</v>
      </c>
      <c r="C9" s="71" t="s">
        <v>3155</v>
      </c>
      <c r="E9" s="72">
        <f>SUMIF(History1!B:B, A9, History1!C:C)</f>
        <v>10</v>
      </c>
      <c r="F9" s="71" t="s">
        <v>3061</v>
      </c>
      <c r="H9" s="71" t="s">
        <v>2980</v>
      </c>
      <c r="J9" s="71" t="s">
        <v>3066</v>
      </c>
      <c r="K9" s="71" t="str">
        <f t="shared" si="0"/>
        <v>fp0109.jpeg</v>
      </c>
      <c r="L9" s="73" t="s">
        <v>1121</v>
      </c>
      <c r="V9" s="78" t="s">
        <v>2974</v>
      </c>
    </row>
    <row r="10" spans="1:27" ht="207.6" customHeight="1">
      <c r="A10" s="55" t="s">
        <v>121</v>
      </c>
      <c r="B10" s="67" t="s">
        <v>3148</v>
      </c>
      <c r="C10" s="71" t="s">
        <v>3155</v>
      </c>
      <c r="E10" s="72">
        <f>SUMIF(History1!B:B, A10, History1!C:C)</f>
        <v>15</v>
      </c>
      <c r="F10" s="71" t="s">
        <v>3061</v>
      </c>
      <c r="H10" s="71" t="s">
        <v>2980</v>
      </c>
      <c r="J10" s="71" t="s">
        <v>3064</v>
      </c>
      <c r="K10" s="71" t="str">
        <f t="shared" si="0"/>
        <v>fp0110.jpeg</v>
      </c>
      <c r="L10" s="73" t="s">
        <v>1122</v>
      </c>
    </row>
    <row r="11" spans="1:27" ht="207.6" customHeight="1">
      <c r="A11" s="55" t="s">
        <v>122</v>
      </c>
      <c r="B11" s="67" t="s">
        <v>3149</v>
      </c>
      <c r="C11" s="71" t="s">
        <v>3155</v>
      </c>
      <c r="E11" s="72">
        <f>SUMIF(History1!B:B, A11, History1!C:C)</f>
        <v>12</v>
      </c>
      <c r="F11" s="71" t="s">
        <v>3061</v>
      </c>
      <c r="H11" s="71" t="s">
        <v>2980</v>
      </c>
      <c r="J11" s="71" t="s">
        <v>3069</v>
      </c>
      <c r="K11" s="71" t="str">
        <f t="shared" si="0"/>
        <v>fp0111.jpeg</v>
      </c>
      <c r="L11" s="73" t="s">
        <v>1123</v>
      </c>
    </row>
    <row r="12" spans="1:27" ht="207.6" customHeight="1">
      <c r="A12" s="55" t="s">
        <v>123</v>
      </c>
      <c r="B12" s="67" t="s">
        <v>3150</v>
      </c>
      <c r="C12" s="71" t="s">
        <v>3155</v>
      </c>
      <c r="E12" s="72">
        <f>SUMIF(History1!B:B, A12, History1!C:C)</f>
        <v>42</v>
      </c>
      <c r="F12" s="71" t="s">
        <v>3061</v>
      </c>
      <c r="H12" s="71" t="s">
        <v>2980</v>
      </c>
      <c r="J12" s="71" t="s">
        <v>3066</v>
      </c>
      <c r="K12" s="71" t="str">
        <f t="shared" si="0"/>
        <v>fp0112.jpeg</v>
      </c>
      <c r="L12" s="73" t="s">
        <v>1124</v>
      </c>
    </row>
    <row r="13" spans="1:27" ht="207.6" customHeight="1">
      <c r="A13" s="55" t="s">
        <v>125</v>
      </c>
      <c r="B13" s="67" t="s">
        <v>3151</v>
      </c>
      <c r="C13" s="71" t="s">
        <v>3155</v>
      </c>
      <c r="E13" s="72">
        <f>SUMIF(History1!B:B, A13, History1!C:C)</f>
        <v>19</v>
      </c>
      <c r="F13" s="71" t="s">
        <v>3056</v>
      </c>
      <c r="H13" s="71" t="s">
        <v>2980</v>
      </c>
      <c r="J13" s="71" t="s">
        <v>3064</v>
      </c>
      <c r="K13" s="71" t="str">
        <f t="shared" si="0"/>
        <v>fp0114.jpeg</v>
      </c>
      <c r="L13" s="73" t="s">
        <v>1126</v>
      </c>
    </row>
    <row r="14" spans="1:27" ht="207.6" customHeight="1">
      <c r="A14" s="55" t="s">
        <v>126</v>
      </c>
      <c r="B14" s="67" t="s">
        <v>3152</v>
      </c>
      <c r="C14" s="71" t="s">
        <v>3155</v>
      </c>
      <c r="E14" s="72">
        <f>SUMIF(History1!B:B, A14, History1!C:C)</f>
        <v>16</v>
      </c>
      <c r="F14" s="71" t="s">
        <v>3056</v>
      </c>
      <c r="H14" s="71" t="s">
        <v>2980</v>
      </c>
      <c r="J14" s="71" t="s">
        <v>3066</v>
      </c>
      <c r="K14" s="71" t="str">
        <f t="shared" si="0"/>
        <v>fp0115.jpeg</v>
      </c>
      <c r="L14" s="73" t="s">
        <v>1127</v>
      </c>
    </row>
    <row r="15" spans="1:27" ht="207.6" customHeight="1">
      <c r="A15" s="55" t="s">
        <v>147</v>
      </c>
      <c r="B15" s="67" t="s">
        <v>3153</v>
      </c>
      <c r="C15" s="71" t="s">
        <v>3155</v>
      </c>
      <c r="E15" s="72">
        <f>SUMIF(History1!B:B, A15, History1!C:C)</f>
        <v>90</v>
      </c>
      <c r="F15" s="71" t="s">
        <v>3061</v>
      </c>
      <c r="H15" s="71" t="s">
        <v>2980</v>
      </c>
      <c r="J15" s="71" t="s">
        <v>3074</v>
      </c>
      <c r="K15" s="71" t="str">
        <f t="shared" si="0"/>
        <v>fp0136.jpeg</v>
      </c>
      <c r="L15" s="73" t="s">
        <v>1148</v>
      </c>
    </row>
    <row r="16" spans="1:27" ht="207.6" customHeight="1">
      <c r="A16" s="55" t="s">
        <v>148</v>
      </c>
      <c r="B16" s="67" t="s">
        <v>3154</v>
      </c>
      <c r="C16" s="71" t="s">
        <v>3155</v>
      </c>
      <c r="E16" s="72">
        <f>SUMIF(History1!B:B, A16, History1!C:C)</f>
        <v>90</v>
      </c>
      <c r="F16" s="71" t="s">
        <v>3062</v>
      </c>
      <c r="H16" s="71" t="s">
        <v>2980</v>
      </c>
      <c r="J16" s="71" t="s">
        <v>3075</v>
      </c>
      <c r="K16" s="71" t="str">
        <f t="shared" si="0"/>
        <v>fp0137.jpeg</v>
      </c>
      <c r="L16" s="73" t="s">
        <v>1149</v>
      </c>
    </row>
    <row r="17" spans="1:15" ht="207.6" customHeight="1">
      <c r="A17" s="55" t="s">
        <v>12</v>
      </c>
      <c r="B17" s="67" t="s">
        <v>2035</v>
      </c>
      <c r="C17" s="71" t="s">
        <v>2031</v>
      </c>
      <c r="D17" s="67" t="s">
        <v>2032</v>
      </c>
      <c r="E17" s="68">
        <f>SUM('[1]Total(Fp)'!G3)</f>
        <v>15</v>
      </c>
      <c r="F17" s="71" t="s">
        <v>2126</v>
      </c>
      <c r="G17" s="74">
        <v>2</v>
      </c>
      <c r="H17" s="71" t="s">
        <v>2127</v>
      </c>
      <c r="J17" s="71">
        <v>5</v>
      </c>
      <c r="K17" s="71" t="s">
        <v>2128</v>
      </c>
      <c r="L17" s="75" t="s">
        <v>1013</v>
      </c>
      <c r="M17" s="73">
        <f>SUM('[1]Total(Fp)'!P3)</f>
        <v>2</v>
      </c>
      <c r="N17" s="73">
        <f>SUM('[1]Total(Fp)'!Q3)</f>
        <v>0</v>
      </c>
      <c r="O17" s="73">
        <f>SUM('[1]Total(Fp)'!O3)</f>
        <v>13</v>
      </c>
    </row>
    <row r="18" spans="1:15" ht="207.6" customHeight="1">
      <c r="A18" s="55" t="s">
        <v>13</v>
      </c>
      <c r="B18" s="67" t="s">
        <v>2036</v>
      </c>
      <c r="C18" s="71" t="s">
        <v>2031</v>
      </c>
      <c r="D18" s="67" t="s">
        <v>2033</v>
      </c>
      <c r="E18" s="68">
        <f>SUM('[1]Total(Fp)'!G4)</f>
        <v>130</v>
      </c>
      <c r="F18" s="71" t="s">
        <v>2126</v>
      </c>
      <c r="G18" s="74">
        <v>2</v>
      </c>
      <c r="H18" s="71" t="s">
        <v>2127</v>
      </c>
      <c r="K18" s="71" t="s">
        <v>2129</v>
      </c>
      <c r="L18" s="76" t="s">
        <v>1014</v>
      </c>
      <c r="M18" s="73">
        <f>SUM('[1]Total(Fp)'!P4)</f>
        <v>33</v>
      </c>
      <c r="N18" s="73">
        <f>SUM('[1]Total(Fp)'!Q4)</f>
        <v>0</v>
      </c>
      <c r="O18" s="73">
        <f>SUM('[1]Total(Fp)'!O4)</f>
        <v>97</v>
      </c>
    </row>
    <row r="19" spans="1:15" ht="207.6" customHeight="1">
      <c r="A19" s="55" t="s">
        <v>14</v>
      </c>
      <c r="B19" s="67" t="s">
        <v>2037</v>
      </c>
      <c r="C19" s="71" t="s">
        <v>2031</v>
      </c>
      <c r="D19" s="67" t="s">
        <v>2034</v>
      </c>
      <c r="E19" s="68">
        <f>SUM('[1]Total(Fp)'!G5)</f>
        <v>160</v>
      </c>
      <c r="F19" s="71" t="s">
        <v>2126</v>
      </c>
      <c r="G19" s="74">
        <v>2</v>
      </c>
      <c r="H19" s="71" t="s">
        <v>2127</v>
      </c>
      <c r="K19" s="71" t="s">
        <v>2130</v>
      </c>
      <c r="L19" s="76" t="s">
        <v>1015</v>
      </c>
      <c r="M19" s="73">
        <f>SUM('[1]Total(Fp)'!P5)</f>
        <v>38</v>
      </c>
      <c r="N19" s="73">
        <f>SUM('[1]Total(Fp)'!Q5)</f>
        <v>0</v>
      </c>
      <c r="O19" s="73">
        <f>SUM('[1]Total(Fp)'!O5)</f>
        <v>122</v>
      </c>
    </row>
    <row r="20" spans="1:15" ht="207.6" customHeight="1">
      <c r="A20" s="55" t="s">
        <v>15</v>
      </c>
      <c r="B20" s="67" t="s">
        <v>2038</v>
      </c>
      <c r="C20" s="71" t="s">
        <v>2031</v>
      </c>
      <c r="D20" s="67" t="s">
        <v>2084</v>
      </c>
      <c r="E20" s="68">
        <f>SUM('[1]Total(Fp)'!G6)</f>
        <v>58</v>
      </c>
      <c r="F20" s="71" t="s">
        <v>2126</v>
      </c>
      <c r="G20" s="74">
        <v>2</v>
      </c>
      <c r="H20" s="71" t="s">
        <v>2127</v>
      </c>
      <c r="K20" s="71" t="s">
        <v>2131</v>
      </c>
      <c r="L20" s="76" t="s">
        <v>1016</v>
      </c>
      <c r="M20" s="73">
        <f>SUM('[1]Total(Fp)'!P6)</f>
        <v>10</v>
      </c>
      <c r="N20" s="73">
        <f>SUM('[1]Total(Fp)'!Q6)</f>
        <v>0</v>
      </c>
      <c r="O20" s="73">
        <f>SUM('[1]Total(Fp)'!O6)</f>
        <v>48</v>
      </c>
    </row>
    <row r="21" spans="1:15" ht="207.6" customHeight="1">
      <c r="A21" s="55" t="s">
        <v>16</v>
      </c>
      <c r="B21" s="67" t="s">
        <v>2039</v>
      </c>
      <c r="C21" s="71" t="s">
        <v>2031</v>
      </c>
      <c r="D21" s="67" t="s">
        <v>2085</v>
      </c>
      <c r="E21" s="68">
        <f>SUM('[1]Total(Fp)'!G7)</f>
        <v>42</v>
      </c>
      <c r="F21" s="71" t="s">
        <v>2126</v>
      </c>
      <c r="G21" s="74">
        <v>2</v>
      </c>
      <c r="H21" s="71" t="s">
        <v>2127</v>
      </c>
      <c r="K21" s="71" t="s">
        <v>2132</v>
      </c>
      <c r="L21" s="73" t="s">
        <v>1017</v>
      </c>
      <c r="M21" s="73">
        <f>SUM('[1]Total(Fp)'!P7)</f>
        <v>12</v>
      </c>
      <c r="N21" s="73">
        <f>SUM('[1]Total(Fp)'!Q7)</f>
        <v>0</v>
      </c>
      <c r="O21" s="73">
        <f>SUM('[1]Total(Fp)'!O7)</f>
        <v>30</v>
      </c>
    </row>
    <row r="22" spans="1:15" ht="207.6" customHeight="1">
      <c r="A22" s="55" t="s">
        <v>17</v>
      </c>
      <c r="B22" s="67" t="s">
        <v>2040</v>
      </c>
      <c r="C22" s="71" t="s">
        <v>2031</v>
      </c>
      <c r="D22" s="67" t="s">
        <v>2033</v>
      </c>
      <c r="E22" s="68">
        <f>SUM('[1]Total(Fp)'!G8)</f>
        <v>56</v>
      </c>
      <c r="F22" s="71" t="s">
        <v>2126</v>
      </c>
      <c r="G22" s="74">
        <v>2</v>
      </c>
      <c r="H22" s="71" t="s">
        <v>2127</v>
      </c>
      <c r="K22" s="71" t="s">
        <v>2133</v>
      </c>
      <c r="L22" s="73" t="s">
        <v>1018</v>
      </c>
      <c r="M22" s="73">
        <f>SUM('[1]Total(Fp)'!P8)</f>
        <v>11</v>
      </c>
      <c r="N22" s="73">
        <f>SUM('[1]Total(Fp)'!Q8)</f>
        <v>0</v>
      </c>
      <c r="O22" s="73">
        <f>SUM('[1]Total(Fp)'!O8)</f>
        <v>45</v>
      </c>
    </row>
    <row r="23" spans="1:15" ht="207.6" customHeight="1">
      <c r="A23" s="55" t="s">
        <v>18</v>
      </c>
      <c r="B23" s="67" t="s">
        <v>2041</v>
      </c>
      <c r="C23" s="71" t="s">
        <v>2031</v>
      </c>
      <c r="D23" s="67" t="s">
        <v>2086</v>
      </c>
      <c r="E23" s="68">
        <f>SUM('[1]Total(Fp)'!G9)</f>
        <v>58</v>
      </c>
      <c r="F23" s="71" t="s">
        <v>2126</v>
      </c>
      <c r="G23" s="74">
        <v>2</v>
      </c>
      <c r="H23" s="71" t="s">
        <v>2127</v>
      </c>
      <c r="K23" s="71" t="s">
        <v>2134</v>
      </c>
      <c r="L23" s="73" t="s">
        <v>1019</v>
      </c>
      <c r="M23" s="73">
        <f>SUM('[1]Total(Fp)'!P9)</f>
        <v>13</v>
      </c>
      <c r="N23" s="73">
        <f>SUM('[1]Total(Fp)'!Q9)</f>
        <v>0</v>
      </c>
      <c r="O23" s="73">
        <f>SUM('[1]Total(Fp)'!O9)</f>
        <v>45</v>
      </c>
    </row>
    <row r="24" spans="1:15" ht="207.6" customHeight="1">
      <c r="A24" s="55" t="s">
        <v>19</v>
      </c>
      <c r="B24" s="67" t="s">
        <v>2042</v>
      </c>
      <c r="C24" s="71" t="s">
        <v>2031</v>
      </c>
      <c r="D24" s="67" t="s">
        <v>2087</v>
      </c>
      <c r="E24" s="68">
        <f>SUM('[1]Total(Fp)'!G10)</f>
        <v>49</v>
      </c>
      <c r="F24" s="71" t="s">
        <v>2126</v>
      </c>
      <c r="G24" s="74">
        <v>4</v>
      </c>
      <c r="H24" s="71" t="s">
        <v>2127</v>
      </c>
      <c r="K24" s="71" t="s">
        <v>2135</v>
      </c>
      <c r="L24" s="73" t="s">
        <v>1020</v>
      </c>
      <c r="M24" s="73">
        <f>SUM('[1]Total(Fp)'!P10)</f>
        <v>14</v>
      </c>
      <c r="N24" s="73">
        <f>SUM('[1]Total(Fp)'!Q10)</f>
        <v>3</v>
      </c>
      <c r="O24" s="73">
        <f>SUM('[1]Total(Fp)'!O10)</f>
        <v>32</v>
      </c>
    </row>
    <row r="25" spans="1:15" ht="207.6" customHeight="1">
      <c r="A25" s="55" t="s">
        <v>20</v>
      </c>
      <c r="B25" s="67" t="s">
        <v>2043</v>
      </c>
      <c r="C25" s="71" t="s">
        <v>2031</v>
      </c>
      <c r="D25" s="67" t="s">
        <v>2088</v>
      </c>
      <c r="E25" s="68">
        <f>SUM('[1]Total(Fp)'!G11)</f>
        <v>21</v>
      </c>
      <c r="F25" s="71" t="s">
        <v>2126</v>
      </c>
      <c r="G25" s="74">
        <v>3</v>
      </c>
      <c r="H25" s="71" t="s">
        <v>2127</v>
      </c>
      <c r="K25" s="71" t="s">
        <v>2136</v>
      </c>
      <c r="L25" s="75" t="s">
        <v>1021</v>
      </c>
      <c r="M25" s="73">
        <f>SUM('[1]Total(Fp)'!P11)</f>
        <v>4</v>
      </c>
      <c r="N25" s="73">
        <f>SUM('[1]Total(Fp)'!Q11)</f>
        <v>0</v>
      </c>
      <c r="O25" s="73">
        <f>SUM('[1]Total(Fp)'!O11)</f>
        <v>17</v>
      </c>
    </row>
    <row r="26" spans="1:15" ht="207.6" customHeight="1">
      <c r="A26" s="55" t="s">
        <v>21</v>
      </c>
      <c r="B26" s="67" t="s">
        <v>2044</v>
      </c>
      <c r="C26" s="71" t="s">
        <v>2031</v>
      </c>
      <c r="D26" s="67" t="s">
        <v>2088</v>
      </c>
      <c r="E26" s="68">
        <f>SUM('[1]Total(Fp)'!G12)</f>
        <v>78</v>
      </c>
      <c r="F26" s="71" t="s">
        <v>2126</v>
      </c>
      <c r="G26" s="74">
        <v>2</v>
      </c>
      <c r="H26" s="71" t="s">
        <v>2127</v>
      </c>
      <c r="K26" s="71" t="s">
        <v>2137</v>
      </c>
      <c r="L26" s="75" t="s">
        <v>1022</v>
      </c>
      <c r="M26" s="73">
        <f>SUM('[1]Total(Fp)'!P12)</f>
        <v>16</v>
      </c>
      <c r="N26" s="73">
        <f>SUM('[1]Total(Fp)'!Q12)</f>
        <v>19</v>
      </c>
      <c r="O26" s="73">
        <f>SUM('[1]Total(Fp)'!O12)</f>
        <v>43</v>
      </c>
    </row>
    <row r="27" spans="1:15" ht="207.6" customHeight="1">
      <c r="A27" s="55" t="s">
        <v>22</v>
      </c>
      <c r="B27" s="67" t="s">
        <v>2045</v>
      </c>
      <c r="C27" s="71" t="s">
        <v>2031</v>
      </c>
      <c r="D27" s="67" t="s">
        <v>2089</v>
      </c>
      <c r="E27" s="68">
        <f>SUM('[1]Total(Fp)'!G13)</f>
        <v>6</v>
      </c>
      <c r="F27" s="71" t="s">
        <v>2126</v>
      </c>
      <c r="G27" s="74">
        <v>3</v>
      </c>
      <c r="H27" s="71" t="s">
        <v>2127</v>
      </c>
      <c r="K27" s="71" t="s">
        <v>2138</v>
      </c>
      <c r="L27" s="73" t="s">
        <v>1023</v>
      </c>
      <c r="M27" s="73">
        <f>SUM('[1]Total(Fp)'!P13)</f>
        <v>0</v>
      </c>
      <c r="N27" s="73">
        <f>SUM('[1]Total(Fp)'!Q13)</f>
        <v>0</v>
      </c>
      <c r="O27" s="73">
        <f>SUM('[1]Total(Fp)'!O13)</f>
        <v>6</v>
      </c>
    </row>
    <row r="28" spans="1:15" ht="207.6" customHeight="1">
      <c r="A28" s="55" t="s">
        <v>23</v>
      </c>
      <c r="B28" s="67" t="s">
        <v>2046</v>
      </c>
      <c r="C28" s="71" t="s">
        <v>2031</v>
      </c>
      <c r="D28" s="67" t="s">
        <v>2090</v>
      </c>
      <c r="E28" s="68">
        <f>SUM('[1]Total(Fp)'!G14)</f>
        <v>41</v>
      </c>
      <c r="F28" s="71" t="s">
        <v>2126</v>
      </c>
      <c r="G28" s="74">
        <v>4</v>
      </c>
      <c r="H28" s="71" t="s">
        <v>2127</v>
      </c>
      <c r="K28" s="71" t="s">
        <v>2139</v>
      </c>
      <c r="L28" s="73" t="s">
        <v>1024</v>
      </c>
      <c r="M28" s="73">
        <f>SUM('[1]Total(Fp)'!P14)</f>
        <v>7</v>
      </c>
      <c r="N28" s="73">
        <f>SUM('[1]Total(Fp)'!Q14)</f>
        <v>0</v>
      </c>
      <c r="O28" s="73">
        <f>SUM('[1]Total(Fp)'!O14)</f>
        <v>34</v>
      </c>
    </row>
    <row r="29" spans="1:15" ht="207.6" customHeight="1">
      <c r="A29" s="55" t="s">
        <v>24</v>
      </c>
      <c r="B29" s="67" t="s">
        <v>2047</v>
      </c>
      <c r="C29" s="71" t="s">
        <v>2031</v>
      </c>
      <c r="D29" s="67" t="s">
        <v>2091</v>
      </c>
      <c r="E29" s="68">
        <f>SUM('[1]Total(Fp)'!G15)</f>
        <v>43</v>
      </c>
      <c r="F29" s="71" t="s">
        <v>2126</v>
      </c>
      <c r="G29" s="74">
        <v>5</v>
      </c>
      <c r="H29" s="71" t="s">
        <v>2127</v>
      </c>
      <c r="K29" s="71" t="s">
        <v>2140</v>
      </c>
      <c r="L29" s="73" t="s">
        <v>1025</v>
      </c>
      <c r="M29" s="73">
        <f>SUM('[1]Total(Fp)'!P15)</f>
        <v>4</v>
      </c>
      <c r="N29" s="73">
        <f>SUM('[1]Total(Fp)'!Q15)</f>
        <v>0</v>
      </c>
      <c r="O29" s="73">
        <f>SUM('[1]Total(Fp)'!O15)</f>
        <v>39</v>
      </c>
    </row>
    <row r="30" spans="1:15" ht="207.6" customHeight="1">
      <c r="A30" s="55" t="s">
        <v>25</v>
      </c>
      <c r="B30" s="67" t="s">
        <v>2048</v>
      </c>
      <c r="C30" s="71" t="s">
        <v>2031</v>
      </c>
      <c r="D30" s="67" t="s">
        <v>2092</v>
      </c>
      <c r="E30" s="68">
        <f>SUM('[1]Total(Fp)'!G16)</f>
        <v>16</v>
      </c>
      <c r="F30" s="71" t="s">
        <v>2126</v>
      </c>
      <c r="G30" s="74">
        <v>4</v>
      </c>
      <c r="H30" s="71" t="s">
        <v>2127</v>
      </c>
      <c r="K30" s="71" t="s">
        <v>2141</v>
      </c>
      <c r="L30" s="73" t="s">
        <v>1026</v>
      </c>
      <c r="M30" s="73">
        <f>SUM('[1]Total(Fp)'!P16)</f>
        <v>4</v>
      </c>
      <c r="N30" s="73">
        <f>SUM('[1]Total(Fp)'!Q16)</f>
        <v>0</v>
      </c>
      <c r="O30" s="73">
        <f>SUM('[1]Total(Fp)'!O16)</f>
        <v>12</v>
      </c>
    </row>
    <row r="31" spans="1:15" ht="207.6" customHeight="1">
      <c r="A31" s="55" t="s">
        <v>26</v>
      </c>
      <c r="B31" s="67" t="s">
        <v>2049</v>
      </c>
      <c r="C31" s="71" t="s">
        <v>2031</v>
      </c>
      <c r="D31" s="67" t="s">
        <v>2093</v>
      </c>
      <c r="E31" s="68">
        <f>SUM('[1]Total(Fp)'!G17)</f>
        <v>69</v>
      </c>
      <c r="F31" s="71" t="s">
        <v>2126</v>
      </c>
      <c r="G31" s="74">
        <v>5</v>
      </c>
      <c r="H31" s="71" t="s">
        <v>2127</v>
      </c>
      <c r="K31" s="71" t="s">
        <v>2142</v>
      </c>
      <c r="L31" s="73" t="s">
        <v>1027</v>
      </c>
      <c r="M31" s="73">
        <f>SUM('[1]Total(Fp)'!P17)</f>
        <v>8</v>
      </c>
      <c r="N31" s="73">
        <f>SUM('[1]Total(Fp)'!Q17)</f>
        <v>0</v>
      </c>
      <c r="O31" s="73">
        <f>SUM('[1]Total(Fp)'!O17)</f>
        <v>61</v>
      </c>
    </row>
    <row r="32" spans="1:15" ht="207.6" customHeight="1">
      <c r="A32" s="55" t="s">
        <v>27</v>
      </c>
      <c r="B32" s="67" t="s">
        <v>2050</v>
      </c>
      <c r="C32" s="71" t="s">
        <v>2031</v>
      </c>
      <c r="D32" s="67" t="s">
        <v>2094</v>
      </c>
      <c r="E32" s="68">
        <f>SUM('[1]Total(Fp)'!G18)</f>
        <v>103</v>
      </c>
      <c r="F32" s="71" t="s">
        <v>2126</v>
      </c>
      <c r="G32" s="74">
        <v>6</v>
      </c>
      <c r="H32" s="71" t="s">
        <v>2127</v>
      </c>
      <c r="K32" s="71" t="s">
        <v>2143</v>
      </c>
      <c r="L32" s="73" t="s">
        <v>1028</v>
      </c>
      <c r="M32" s="73">
        <f>SUM('[1]Total(Fp)'!P18)</f>
        <v>27</v>
      </c>
      <c r="N32" s="73">
        <f>SUM('[1]Total(Fp)'!Q18)</f>
        <v>0</v>
      </c>
      <c r="O32" s="73">
        <f>SUM('[1]Total(Fp)'!O18)</f>
        <v>76</v>
      </c>
    </row>
    <row r="33" spans="1:15" ht="207.6" customHeight="1">
      <c r="A33" s="55" t="s">
        <v>28</v>
      </c>
      <c r="B33" s="67" t="s">
        <v>2051</v>
      </c>
      <c r="C33" s="71" t="s">
        <v>2031</v>
      </c>
      <c r="D33" s="67" t="s">
        <v>2095</v>
      </c>
      <c r="E33" s="68">
        <f>SUM('[1]Total(Fp)'!G19)</f>
        <v>0</v>
      </c>
      <c r="F33" s="71" t="s">
        <v>2126</v>
      </c>
      <c r="G33" s="74">
        <v>10</v>
      </c>
      <c r="H33" s="71" t="s">
        <v>2127</v>
      </c>
      <c r="K33" s="71" t="s">
        <v>2144</v>
      </c>
      <c r="L33" s="73" t="s">
        <v>1029</v>
      </c>
      <c r="M33" s="73">
        <f>SUM('[1]Total(Fp)'!P19)</f>
        <v>0</v>
      </c>
      <c r="N33" s="73">
        <f>SUM('[1]Total(Fp)'!Q19)</f>
        <v>0</v>
      </c>
      <c r="O33" s="73">
        <f>SUM('[1]Total(Fp)'!O19)</f>
        <v>0</v>
      </c>
    </row>
    <row r="34" spans="1:15" ht="207.6" customHeight="1">
      <c r="A34" s="55" t="s">
        <v>29</v>
      </c>
      <c r="B34" s="67" t="s">
        <v>2052</v>
      </c>
      <c r="C34" s="71" t="s">
        <v>2031</v>
      </c>
      <c r="D34" s="67" t="s">
        <v>2096</v>
      </c>
      <c r="E34" s="68">
        <f>SUM('[1]Total(Fp)'!G20)</f>
        <v>0</v>
      </c>
      <c r="F34" s="71" t="s">
        <v>2126</v>
      </c>
      <c r="G34" s="74">
        <v>6</v>
      </c>
      <c r="H34" s="71" t="s">
        <v>2127</v>
      </c>
      <c r="K34" s="71" t="s">
        <v>2145</v>
      </c>
      <c r="L34" s="73" t="s">
        <v>1030</v>
      </c>
      <c r="M34" s="73">
        <f>SUM('[1]Total(Fp)'!P20)</f>
        <v>0</v>
      </c>
      <c r="N34" s="73">
        <f>SUM('[1]Total(Fp)'!Q20)</f>
        <v>0</v>
      </c>
      <c r="O34" s="73">
        <f>SUM('[1]Total(Fp)'!O20)</f>
        <v>0</v>
      </c>
    </row>
    <row r="35" spans="1:15" ht="207.6" customHeight="1">
      <c r="A35" s="55" t="s">
        <v>30</v>
      </c>
      <c r="B35" s="67" t="s">
        <v>2053</v>
      </c>
      <c r="C35" s="71" t="s">
        <v>2031</v>
      </c>
      <c r="D35" s="67" t="s">
        <v>2097</v>
      </c>
      <c r="E35" s="68">
        <f>SUM('[1]Total(Fp)'!G21)</f>
        <v>42</v>
      </c>
      <c r="F35" s="71" t="s">
        <v>2126</v>
      </c>
      <c r="G35" s="74">
        <v>7</v>
      </c>
      <c r="H35" s="71" t="s">
        <v>2127</v>
      </c>
      <c r="K35" s="71" t="s">
        <v>2146</v>
      </c>
      <c r="L35" s="73" t="s">
        <v>1031</v>
      </c>
      <c r="M35" s="73">
        <f>SUM('[1]Total(Fp)'!P21)</f>
        <v>8</v>
      </c>
      <c r="N35" s="73">
        <f>SUM('[1]Total(Fp)'!Q21)</f>
        <v>0</v>
      </c>
      <c r="O35" s="73">
        <f>SUM('[1]Total(Fp)'!O21)</f>
        <v>34</v>
      </c>
    </row>
    <row r="36" spans="1:15" ht="207.6" customHeight="1">
      <c r="A36" s="55" t="s">
        <v>31</v>
      </c>
      <c r="B36" s="67" t="s">
        <v>2054</v>
      </c>
      <c r="C36" s="71" t="s">
        <v>2031</v>
      </c>
      <c r="D36" s="67" t="s">
        <v>2098</v>
      </c>
      <c r="E36" s="68">
        <f>SUM('[1]Total(Fp)'!G22)</f>
        <v>22</v>
      </c>
      <c r="F36" s="71" t="s">
        <v>2126</v>
      </c>
      <c r="G36" s="74">
        <v>7</v>
      </c>
      <c r="H36" s="71" t="s">
        <v>2127</v>
      </c>
      <c r="K36" s="71" t="s">
        <v>2147</v>
      </c>
      <c r="L36" s="73" t="s">
        <v>1032</v>
      </c>
      <c r="M36" s="73">
        <f>SUM('[1]Total(Fp)'!P22)</f>
        <v>2</v>
      </c>
      <c r="N36" s="73">
        <f>SUM('[1]Total(Fp)'!Q22)</f>
        <v>0</v>
      </c>
      <c r="O36" s="73">
        <f>SUM('[1]Total(Fp)'!O22)</f>
        <v>20</v>
      </c>
    </row>
    <row r="37" spans="1:15" ht="207.6" customHeight="1">
      <c r="A37" s="55" t="s">
        <v>32</v>
      </c>
      <c r="B37" s="67" t="s">
        <v>2055</v>
      </c>
      <c r="C37" s="71" t="s">
        <v>2031</v>
      </c>
      <c r="D37" s="67" t="s">
        <v>2099</v>
      </c>
      <c r="E37" s="68">
        <f>SUM('[1]Total(Fp)'!G23)</f>
        <v>1</v>
      </c>
      <c r="F37" s="71" t="s">
        <v>2126</v>
      </c>
      <c r="G37" s="74">
        <v>5</v>
      </c>
      <c r="H37" s="71" t="s">
        <v>2127</v>
      </c>
      <c r="K37" s="71" t="s">
        <v>2148</v>
      </c>
      <c r="L37" s="73" t="s">
        <v>1033</v>
      </c>
      <c r="M37" s="73">
        <f>SUM('[1]Total(Fp)'!P23)</f>
        <v>0</v>
      </c>
      <c r="N37" s="73">
        <f>SUM('[1]Total(Fp)'!Q23)</f>
        <v>0</v>
      </c>
      <c r="O37" s="73">
        <f>SUM('[1]Total(Fp)'!O23)</f>
        <v>1</v>
      </c>
    </row>
    <row r="38" spans="1:15" ht="207.6" customHeight="1">
      <c r="A38" s="55" t="s">
        <v>33</v>
      </c>
      <c r="B38" s="67" t="s">
        <v>2056</v>
      </c>
      <c r="C38" s="71" t="s">
        <v>2031</v>
      </c>
      <c r="D38" s="67" t="s">
        <v>2100</v>
      </c>
      <c r="E38" s="68">
        <f>SUM('[1]Total(Fp)'!G24)</f>
        <v>40</v>
      </c>
      <c r="F38" s="71" t="s">
        <v>2126</v>
      </c>
      <c r="G38" s="74">
        <v>7</v>
      </c>
      <c r="H38" s="71" t="s">
        <v>2127</v>
      </c>
      <c r="K38" s="71" t="s">
        <v>2149</v>
      </c>
      <c r="L38" s="73" t="s">
        <v>1034</v>
      </c>
      <c r="M38" s="73">
        <f>SUM('[1]Total(Fp)'!P24)</f>
        <v>8</v>
      </c>
      <c r="N38" s="73">
        <f>SUM('[1]Total(Fp)'!Q24)</f>
        <v>0</v>
      </c>
      <c r="O38" s="73">
        <f>SUM('[1]Total(Fp)'!O24)</f>
        <v>32</v>
      </c>
    </row>
    <row r="39" spans="1:15" ht="207.6" customHeight="1">
      <c r="A39" s="55" t="s">
        <v>34</v>
      </c>
      <c r="B39" s="67" t="s">
        <v>2057</v>
      </c>
      <c r="C39" s="71" t="s">
        <v>2031</v>
      </c>
      <c r="D39" s="67" t="s">
        <v>2101</v>
      </c>
      <c r="E39" s="68">
        <f>SUM('[1]Total(Fp)'!G25)</f>
        <v>8</v>
      </c>
      <c r="F39" s="71" t="s">
        <v>2126</v>
      </c>
      <c r="G39" s="74">
        <v>11</v>
      </c>
      <c r="H39" s="71" t="s">
        <v>2127</v>
      </c>
      <c r="K39" s="71" t="s">
        <v>2150</v>
      </c>
      <c r="L39" s="73" t="s">
        <v>1035</v>
      </c>
      <c r="M39" s="73">
        <f>SUM('[1]Total(Fp)'!P25)</f>
        <v>6</v>
      </c>
      <c r="N39" s="73">
        <f>SUM('[1]Total(Fp)'!Q25)</f>
        <v>0</v>
      </c>
      <c r="O39" s="73">
        <f>SUM('[1]Total(Fp)'!O25)</f>
        <v>2</v>
      </c>
    </row>
    <row r="40" spans="1:15" ht="207.6" customHeight="1">
      <c r="A40" s="55" t="s">
        <v>35</v>
      </c>
      <c r="B40" s="67" t="s">
        <v>2058</v>
      </c>
      <c r="C40" s="71" t="s">
        <v>2031</v>
      </c>
      <c r="D40" s="67" t="s">
        <v>2102</v>
      </c>
      <c r="E40" s="68">
        <f>SUM('[1]Total(Fp)'!G26)</f>
        <v>38</v>
      </c>
      <c r="F40" s="71" t="s">
        <v>2126</v>
      </c>
      <c r="G40" s="74">
        <v>14</v>
      </c>
      <c r="H40" s="71" t="s">
        <v>2127</v>
      </c>
      <c r="K40" s="71" t="s">
        <v>2151</v>
      </c>
      <c r="L40" s="73" t="s">
        <v>1036</v>
      </c>
      <c r="M40" s="73">
        <f>SUM('[1]Total(Fp)'!P26)</f>
        <v>12</v>
      </c>
      <c r="N40" s="73">
        <f>SUM('[1]Total(Fp)'!Q26)</f>
        <v>0</v>
      </c>
      <c r="O40" s="73">
        <f>SUM('[1]Total(Fp)'!O26)</f>
        <v>26</v>
      </c>
    </row>
    <row r="41" spans="1:15" ht="207.6" customHeight="1">
      <c r="A41" s="55" t="s">
        <v>36</v>
      </c>
      <c r="B41" s="67" t="s">
        <v>2059</v>
      </c>
      <c r="C41" s="71" t="s">
        <v>2031</v>
      </c>
      <c r="D41" s="67" t="s">
        <v>2103</v>
      </c>
      <c r="E41" s="68">
        <f>SUM('[1]Total(Fp)'!G27)</f>
        <v>1</v>
      </c>
      <c r="F41" s="71" t="s">
        <v>2126</v>
      </c>
      <c r="G41" s="74">
        <v>15</v>
      </c>
      <c r="H41" s="71" t="s">
        <v>2127</v>
      </c>
      <c r="K41" s="71" t="s">
        <v>2152</v>
      </c>
      <c r="L41" s="73" t="s">
        <v>1037</v>
      </c>
      <c r="M41" s="73">
        <f>SUM('[1]Total(Fp)'!P27)</f>
        <v>0</v>
      </c>
      <c r="N41" s="73">
        <f>SUM('[1]Total(Fp)'!Q27)</f>
        <v>0</v>
      </c>
      <c r="O41" s="73">
        <f>SUM('[1]Total(Fp)'!O27)</f>
        <v>1</v>
      </c>
    </row>
    <row r="42" spans="1:15" ht="207.6" customHeight="1">
      <c r="A42" s="55" t="s">
        <v>37</v>
      </c>
      <c r="B42" s="67" t="s">
        <v>2060</v>
      </c>
      <c r="C42" s="71" t="s">
        <v>2031</v>
      </c>
      <c r="D42" s="67" t="s">
        <v>2104</v>
      </c>
      <c r="E42" s="68">
        <f>SUM('[1]Total(Fp)'!G28)</f>
        <v>20</v>
      </c>
      <c r="F42" s="71" t="s">
        <v>2126</v>
      </c>
      <c r="G42" s="74">
        <v>12</v>
      </c>
      <c r="H42" s="71" t="s">
        <v>2127</v>
      </c>
      <c r="K42" s="71" t="s">
        <v>2153</v>
      </c>
      <c r="L42" s="73" t="s">
        <v>1038</v>
      </c>
      <c r="M42" s="73">
        <f>SUM('[1]Total(Fp)'!P28)</f>
        <v>0</v>
      </c>
      <c r="N42" s="73">
        <f>SUM('[1]Total(Fp)'!Q28)</f>
        <v>0</v>
      </c>
      <c r="O42" s="73">
        <f>SUM('[1]Total(Fp)'!O28)</f>
        <v>20</v>
      </c>
    </row>
    <row r="43" spans="1:15" ht="207.6" customHeight="1">
      <c r="A43" s="55" t="s">
        <v>38</v>
      </c>
      <c r="B43" s="67" t="s">
        <v>2061</v>
      </c>
      <c r="C43" s="71" t="s">
        <v>2031</v>
      </c>
      <c r="D43" s="67" t="s">
        <v>2105</v>
      </c>
      <c r="E43" s="68">
        <f>SUM('[1]Total(Fp)'!G29)</f>
        <v>0</v>
      </c>
      <c r="F43" s="71" t="s">
        <v>2126</v>
      </c>
      <c r="G43" s="74">
        <v>17</v>
      </c>
      <c r="H43" s="71" t="s">
        <v>2127</v>
      </c>
      <c r="K43" s="71" t="s">
        <v>2154</v>
      </c>
      <c r="L43" s="73" t="s">
        <v>1039</v>
      </c>
      <c r="M43" s="73">
        <f>SUM('[1]Total(Fp)'!P29)</f>
        <v>0</v>
      </c>
      <c r="N43" s="73">
        <f>SUM('[1]Total(Fp)'!Q29)</f>
        <v>0</v>
      </c>
      <c r="O43" s="73">
        <f>SUM('[1]Total(Fp)'!O29)</f>
        <v>0</v>
      </c>
    </row>
    <row r="44" spans="1:15" ht="207.6" customHeight="1">
      <c r="A44" s="55" t="s">
        <v>39</v>
      </c>
      <c r="B44" s="67" t="s">
        <v>2062</v>
      </c>
      <c r="C44" s="71" t="s">
        <v>2031</v>
      </c>
      <c r="D44" s="67" t="s">
        <v>2106</v>
      </c>
      <c r="E44" s="68">
        <f>SUM('[1]Total(Fp)'!G30)</f>
        <v>1</v>
      </c>
      <c r="F44" s="71" t="s">
        <v>2126</v>
      </c>
      <c r="G44" s="74">
        <v>25</v>
      </c>
      <c r="H44" s="71" t="s">
        <v>2127</v>
      </c>
      <c r="K44" s="71" t="s">
        <v>2155</v>
      </c>
      <c r="L44" s="73" t="s">
        <v>1040</v>
      </c>
      <c r="M44" s="73">
        <f>SUM('[1]Total(Fp)'!P30)</f>
        <v>0</v>
      </c>
      <c r="N44" s="73">
        <f>SUM('[1]Total(Fp)'!Q30)</f>
        <v>0</v>
      </c>
      <c r="O44" s="73">
        <f>SUM('[1]Total(Fp)'!O30)</f>
        <v>1</v>
      </c>
    </row>
    <row r="45" spans="1:15" ht="207.6" customHeight="1">
      <c r="A45" s="55" t="s">
        <v>40</v>
      </c>
      <c r="B45" s="67" t="s">
        <v>2063</v>
      </c>
      <c r="C45" s="71" t="s">
        <v>2031</v>
      </c>
      <c r="D45" s="67" t="s">
        <v>2107</v>
      </c>
      <c r="E45" s="68">
        <f>SUM('[1]Total(Fp)'!G31)</f>
        <v>0</v>
      </c>
      <c r="F45" s="71" t="s">
        <v>2126</v>
      </c>
      <c r="G45" s="74">
        <v>30</v>
      </c>
      <c r="H45" s="71" t="s">
        <v>2127</v>
      </c>
      <c r="I45" s="71">
        <v>5</v>
      </c>
      <c r="K45" s="71" t="s">
        <v>2156</v>
      </c>
      <c r="L45" s="73" t="s">
        <v>1041</v>
      </c>
      <c r="M45" s="73">
        <f>SUM('[1]Total(Fp)'!P31)</f>
        <v>0</v>
      </c>
      <c r="N45" s="73">
        <f>SUM('[1]Total(Fp)'!Q31)</f>
        <v>0</v>
      </c>
      <c r="O45" s="73">
        <f>SUM('[1]Total(Fp)'!O31)</f>
        <v>0</v>
      </c>
    </row>
    <row r="46" spans="1:15" ht="207.6" customHeight="1">
      <c r="A46" s="55" t="s">
        <v>41</v>
      </c>
      <c r="B46" s="67" t="s">
        <v>2063</v>
      </c>
      <c r="C46" s="71" t="s">
        <v>2031</v>
      </c>
      <c r="D46" s="67" t="s">
        <v>2103</v>
      </c>
      <c r="E46" s="68">
        <f>SUM('[1]Total(Fp)'!G32)</f>
        <v>38</v>
      </c>
      <c r="F46" s="71" t="s">
        <v>2126</v>
      </c>
      <c r="G46" s="74">
        <v>12</v>
      </c>
      <c r="H46" s="71" t="s">
        <v>2127</v>
      </c>
      <c r="K46" s="71" t="s">
        <v>2157</v>
      </c>
      <c r="L46" s="73" t="s">
        <v>1042</v>
      </c>
      <c r="M46" s="73">
        <f>SUM('[1]Total(Fp)'!P32)</f>
        <v>13</v>
      </c>
      <c r="N46" s="73">
        <f>SUM('[1]Total(Fp)'!Q32)</f>
        <v>0</v>
      </c>
      <c r="O46" s="73">
        <f>SUM('[1]Total(Fp)'!O32)</f>
        <v>25</v>
      </c>
    </row>
    <row r="47" spans="1:15" ht="207.6" customHeight="1">
      <c r="A47" s="55" t="s">
        <v>42</v>
      </c>
      <c r="B47" s="67" t="s">
        <v>2064</v>
      </c>
      <c r="C47" s="71" t="s">
        <v>2031</v>
      </c>
      <c r="D47" s="67" t="s">
        <v>2108</v>
      </c>
      <c r="E47" s="68">
        <f>SUM('[1]Total(Fp)'!G33)</f>
        <v>35</v>
      </c>
      <c r="F47" s="71" t="s">
        <v>2126</v>
      </c>
      <c r="G47" s="74">
        <v>2</v>
      </c>
      <c r="H47" s="71" t="s">
        <v>2127</v>
      </c>
      <c r="K47" s="71" t="s">
        <v>2158</v>
      </c>
      <c r="L47" s="75" t="s">
        <v>1043</v>
      </c>
      <c r="M47" s="73">
        <f>SUM('[1]Total(Fp)'!P33)</f>
        <v>4</v>
      </c>
      <c r="N47" s="73">
        <f>SUM('[1]Total(Fp)'!Q33)</f>
        <v>0</v>
      </c>
      <c r="O47" s="73">
        <f>SUM('[1]Total(Fp)'!O33)</f>
        <v>31</v>
      </c>
    </row>
    <row r="48" spans="1:15" ht="207.6" customHeight="1">
      <c r="A48" s="55" t="s">
        <v>43</v>
      </c>
      <c r="B48" s="67" t="s">
        <v>2065</v>
      </c>
      <c r="C48" s="71" t="s">
        <v>2031</v>
      </c>
      <c r="D48" s="67" t="s">
        <v>2100</v>
      </c>
      <c r="E48" s="68">
        <f>SUM('[1]Total(Fp)'!G34)</f>
        <v>1</v>
      </c>
      <c r="F48" s="71" t="s">
        <v>2126</v>
      </c>
      <c r="G48" s="74">
        <v>6</v>
      </c>
      <c r="H48" s="71" t="s">
        <v>2127</v>
      </c>
      <c r="K48" s="71" t="s">
        <v>2159</v>
      </c>
      <c r="L48" s="75" t="s">
        <v>1044</v>
      </c>
      <c r="M48" s="73">
        <f>SUM('[1]Total(Fp)'!P34)</f>
        <v>0</v>
      </c>
      <c r="N48" s="73">
        <f>SUM('[1]Total(Fp)'!Q34)</f>
        <v>0</v>
      </c>
      <c r="O48" s="73">
        <f>SUM('[1]Total(Fp)'!O34)</f>
        <v>1</v>
      </c>
    </row>
    <row r="49" spans="1:15" ht="207.6" customHeight="1">
      <c r="A49" s="55" t="s">
        <v>44</v>
      </c>
      <c r="B49" s="67" t="s">
        <v>2066</v>
      </c>
      <c r="C49" s="71" t="s">
        <v>2031</v>
      </c>
      <c r="D49" s="67" t="s">
        <v>2109</v>
      </c>
      <c r="E49" s="68">
        <f>SUM('[1]Total(Fp)'!G35)</f>
        <v>82</v>
      </c>
      <c r="F49" s="71" t="s">
        <v>2126</v>
      </c>
      <c r="G49" s="74">
        <v>7</v>
      </c>
      <c r="H49" s="71" t="s">
        <v>2127</v>
      </c>
      <c r="K49" s="71" t="s">
        <v>2160</v>
      </c>
      <c r="L49" s="73" t="s">
        <v>1045</v>
      </c>
      <c r="M49" s="73">
        <f>SUM('[1]Total(Fp)'!P35)</f>
        <v>15</v>
      </c>
      <c r="N49" s="73">
        <f>SUM('[1]Total(Fp)'!Q35)</f>
        <v>5</v>
      </c>
      <c r="O49" s="73">
        <f>SUM('[1]Total(Fp)'!O35)</f>
        <v>62</v>
      </c>
    </row>
    <row r="50" spans="1:15" ht="207.6" customHeight="1">
      <c r="A50" s="55" t="s">
        <v>45</v>
      </c>
      <c r="B50" s="67" t="s">
        <v>2067</v>
      </c>
      <c r="C50" s="71" t="s">
        <v>2031</v>
      </c>
      <c r="D50" s="67" t="s">
        <v>2110</v>
      </c>
      <c r="E50" s="68">
        <f>SUM('[1]Total(Fp)'!G36)</f>
        <v>32</v>
      </c>
      <c r="F50" s="71" t="s">
        <v>2126</v>
      </c>
      <c r="G50" s="74">
        <v>2</v>
      </c>
      <c r="H50" s="71" t="s">
        <v>2127</v>
      </c>
      <c r="K50" s="71" t="s">
        <v>2161</v>
      </c>
      <c r="L50" s="73" t="s">
        <v>1046</v>
      </c>
      <c r="M50" s="73">
        <f>SUM('[1]Total(Fp)'!P36)</f>
        <v>8</v>
      </c>
      <c r="N50" s="73">
        <f>SUM('[1]Total(Fp)'!Q36)</f>
        <v>0</v>
      </c>
      <c r="O50" s="73">
        <f>SUM('[1]Total(Fp)'!O36)</f>
        <v>24</v>
      </c>
    </row>
    <row r="51" spans="1:15" ht="207.6" customHeight="1">
      <c r="A51" s="55" t="s">
        <v>46</v>
      </c>
      <c r="B51" s="67" t="s">
        <v>2068</v>
      </c>
      <c r="C51" s="71" t="s">
        <v>2031</v>
      </c>
      <c r="D51" s="67" t="s">
        <v>2111</v>
      </c>
      <c r="E51" s="68">
        <f>SUM('[1]Total(Fp)'!G37)</f>
        <v>104</v>
      </c>
      <c r="F51" s="71" t="s">
        <v>2126</v>
      </c>
      <c r="G51" s="74">
        <v>2</v>
      </c>
      <c r="H51" s="71" t="s">
        <v>2127</v>
      </c>
      <c r="K51" s="71" t="s">
        <v>2162</v>
      </c>
      <c r="L51" s="73" t="s">
        <v>1047</v>
      </c>
      <c r="M51" s="73">
        <f>SUM('[1]Total(Fp)'!P37)</f>
        <v>38</v>
      </c>
      <c r="N51" s="73">
        <f>SUM('[1]Total(Fp)'!Q37)</f>
        <v>0</v>
      </c>
      <c r="O51" s="73">
        <f>SUM('[1]Total(Fp)'!O37)</f>
        <v>66</v>
      </c>
    </row>
    <row r="52" spans="1:15" ht="207.6" customHeight="1">
      <c r="A52" s="55" t="s">
        <v>47</v>
      </c>
      <c r="B52" s="67" t="s">
        <v>2069</v>
      </c>
      <c r="C52" s="71" t="s">
        <v>2031</v>
      </c>
      <c r="D52" s="67" t="s">
        <v>2112</v>
      </c>
      <c r="E52" s="68">
        <f>SUM('[1]Total(Fp)'!G38)</f>
        <v>50</v>
      </c>
      <c r="F52" s="71" t="s">
        <v>2126</v>
      </c>
      <c r="G52" s="74">
        <v>3</v>
      </c>
      <c r="H52" s="71" t="s">
        <v>2127</v>
      </c>
      <c r="K52" s="71" t="s">
        <v>2163</v>
      </c>
      <c r="L52" s="73" t="s">
        <v>1048</v>
      </c>
      <c r="M52" s="73">
        <f>SUM('[1]Total(Fp)'!P38)</f>
        <v>23</v>
      </c>
      <c r="N52" s="73">
        <f>SUM('[1]Total(Fp)'!Q38)</f>
        <v>0</v>
      </c>
      <c r="O52" s="73">
        <f>SUM('[1]Total(Fp)'!O38)</f>
        <v>27</v>
      </c>
    </row>
    <row r="53" spans="1:15" ht="207.6" customHeight="1">
      <c r="A53" s="55" t="s">
        <v>48</v>
      </c>
      <c r="B53" s="67" t="s">
        <v>2070</v>
      </c>
      <c r="C53" s="71" t="s">
        <v>2031</v>
      </c>
      <c r="D53" s="67" t="s">
        <v>2113</v>
      </c>
      <c r="E53" s="68">
        <f>SUM('[1]Total(Fp)'!G39)</f>
        <v>53</v>
      </c>
      <c r="F53" s="71" t="s">
        <v>2126</v>
      </c>
      <c r="G53" s="74">
        <v>3</v>
      </c>
      <c r="H53" s="71" t="s">
        <v>2127</v>
      </c>
      <c r="K53" s="71" t="s">
        <v>2164</v>
      </c>
      <c r="L53" s="73" t="s">
        <v>1049</v>
      </c>
      <c r="M53" s="73">
        <f>SUM('[1]Total(Fp)'!P39)</f>
        <v>28</v>
      </c>
      <c r="N53" s="73">
        <f>SUM('[1]Total(Fp)'!Q39)</f>
        <v>0</v>
      </c>
      <c r="O53" s="73">
        <f>SUM('[1]Total(Fp)'!O39)</f>
        <v>25</v>
      </c>
    </row>
    <row r="54" spans="1:15" ht="207.6" customHeight="1">
      <c r="A54" s="55" t="s">
        <v>49</v>
      </c>
      <c r="B54" s="67" t="s">
        <v>2071</v>
      </c>
      <c r="C54" s="71" t="s">
        <v>2031</v>
      </c>
      <c r="D54" s="67" t="s">
        <v>2114</v>
      </c>
      <c r="E54" s="68">
        <f>SUM('[1]Total(Fp)'!G40)</f>
        <v>73</v>
      </c>
      <c r="F54" s="71" t="s">
        <v>2126</v>
      </c>
      <c r="G54" s="74">
        <v>1</v>
      </c>
      <c r="H54" s="71" t="s">
        <v>2127</v>
      </c>
      <c r="K54" s="71" t="s">
        <v>2165</v>
      </c>
      <c r="L54" s="73" t="s">
        <v>1050</v>
      </c>
      <c r="M54" s="73">
        <f>SUM('[1]Total(Fp)'!P40)</f>
        <v>0</v>
      </c>
      <c r="N54" s="73">
        <f>SUM('[1]Total(Fp)'!Q40)</f>
        <v>0</v>
      </c>
      <c r="O54" s="73">
        <f>SUM('[1]Total(Fp)'!O40)</f>
        <v>73</v>
      </c>
    </row>
    <row r="55" spans="1:15" ht="207.6" customHeight="1">
      <c r="A55" s="55" t="s">
        <v>50</v>
      </c>
      <c r="B55" s="67" t="s">
        <v>2072</v>
      </c>
      <c r="C55" s="71" t="s">
        <v>2031</v>
      </c>
      <c r="D55" s="67" t="s">
        <v>2115</v>
      </c>
      <c r="E55" s="68">
        <f>SUM('[1]Total(Fp)'!G41)</f>
        <v>98</v>
      </c>
      <c r="F55" s="71" t="s">
        <v>2126</v>
      </c>
      <c r="G55" s="74">
        <v>1.5</v>
      </c>
      <c r="H55" s="71" t="s">
        <v>2127</v>
      </c>
      <c r="K55" s="71" t="s">
        <v>2166</v>
      </c>
      <c r="L55" s="73" t="s">
        <v>1051</v>
      </c>
      <c r="M55" s="73">
        <f>SUM('[1]Total(Fp)'!P41)</f>
        <v>46</v>
      </c>
      <c r="N55" s="73">
        <f>SUM('[1]Total(Fp)'!Q41)</f>
        <v>17</v>
      </c>
      <c r="O55" s="73">
        <f>SUM('[1]Total(Fp)'!O41)</f>
        <v>35</v>
      </c>
    </row>
    <row r="56" spans="1:15" ht="207.6" customHeight="1">
      <c r="A56" s="55" t="s">
        <v>51</v>
      </c>
      <c r="B56" s="67" t="s">
        <v>2073</v>
      </c>
      <c r="C56" s="71" t="s">
        <v>2031</v>
      </c>
      <c r="D56" s="67" t="s">
        <v>2116</v>
      </c>
      <c r="E56" s="68">
        <f>SUM('[1]Total(Fp)'!G42)</f>
        <v>89</v>
      </c>
      <c r="F56" s="71" t="s">
        <v>2126</v>
      </c>
      <c r="G56" s="74">
        <v>2</v>
      </c>
      <c r="H56" s="71" t="s">
        <v>2127</v>
      </c>
      <c r="K56" s="71" t="s">
        <v>2167</v>
      </c>
      <c r="L56" s="73" t="s">
        <v>1052</v>
      </c>
      <c r="M56" s="73">
        <f>SUM('[1]Total(Fp)'!P42)</f>
        <v>45</v>
      </c>
      <c r="N56" s="73">
        <f>SUM('[1]Total(Fp)'!Q42)</f>
        <v>13</v>
      </c>
      <c r="O56" s="73">
        <f>SUM('[1]Total(Fp)'!O42)</f>
        <v>31</v>
      </c>
    </row>
    <row r="57" spans="1:15" ht="207.6" customHeight="1">
      <c r="A57" s="55" t="s">
        <v>52</v>
      </c>
      <c r="B57" s="67" t="s">
        <v>2074</v>
      </c>
      <c r="C57" s="71" t="s">
        <v>2031</v>
      </c>
      <c r="D57" s="67" t="s">
        <v>2114</v>
      </c>
      <c r="E57" s="68">
        <f>SUM('[1]Total(Fp)'!G43)</f>
        <v>74</v>
      </c>
      <c r="F57" s="71" t="s">
        <v>2126</v>
      </c>
      <c r="G57" s="74">
        <v>1</v>
      </c>
      <c r="H57" s="71" t="s">
        <v>2127</v>
      </c>
      <c r="K57" s="71" t="s">
        <v>2168</v>
      </c>
      <c r="L57" s="73" t="s">
        <v>1053</v>
      </c>
      <c r="M57" s="73">
        <f>SUM('[1]Total(Fp)'!P43)</f>
        <v>0</v>
      </c>
      <c r="N57" s="73">
        <f>SUM('[1]Total(Fp)'!Q43)</f>
        <v>0</v>
      </c>
      <c r="O57" s="73">
        <f>SUM('[1]Total(Fp)'!O43)</f>
        <v>74</v>
      </c>
    </row>
    <row r="58" spans="1:15" ht="207.6" customHeight="1">
      <c r="A58" s="55" t="s">
        <v>53</v>
      </c>
      <c r="B58" s="67" t="s">
        <v>2075</v>
      </c>
      <c r="C58" s="71" t="s">
        <v>2031</v>
      </c>
      <c r="D58" s="67" t="s">
        <v>2117</v>
      </c>
      <c r="E58" s="68">
        <f>SUM('[1]Total(Fp)'!G44)</f>
        <v>16</v>
      </c>
      <c r="F58" s="71" t="s">
        <v>2126</v>
      </c>
      <c r="G58" s="74">
        <v>1.5</v>
      </c>
      <c r="H58" s="71" t="s">
        <v>2127</v>
      </c>
      <c r="K58" s="71" t="s">
        <v>2169</v>
      </c>
      <c r="L58" s="73" t="s">
        <v>1054</v>
      </c>
      <c r="M58" s="73">
        <f>SUM('[1]Total(Fp)'!P44)</f>
        <v>12</v>
      </c>
      <c r="N58" s="73">
        <f>SUM('[1]Total(Fp)'!Q44)</f>
        <v>0</v>
      </c>
      <c r="O58" s="73">
        <f>SUM('[1]Total(Fp)'!O44)</f>
        <v>4</v>
      </c>
    </row>
    <row r="59" spans="1:15" ht="207.6" customHeight="1">
      <c r="A59" s="55" t="s">
        <v>54</v>
      </c>
      <c r="B59" s="67" t="s">
        <v>2076</v>
      </c>
      <c r="C59" s="71" t="s">
        <v>2031</v>
      </c>
      <c r="D59" s="67" t="s">
        <v>2118</v>
      </c>
      <c r="E59" s="68">
        <f>SUM('[1]Total(Fp)'!G45)</f>
        <v>13</v>
      </c>
      <c r="F59" s="71" t="s">
        <v>2126</v>
      </c>
      <c r="G59" s="74">
        <v>2</v>
      </c>
      <c r="H59" s="71" t="s">
        <v>2127</v>
      </c>
      <c r="K59" s="71" t="s">
        <v>2170</v>
      </c>
      <c r="L59" s="73" t="s">
        <v>1055</v>
      </c>
      <c r="M59" s="73">
        <f>SUM('[1]Total(Fp)'!P45)</f>
        <v>8</v>
      </c>
      <c r="N59" s="73">
        <f>SUM('[1]Total(Fp)'!Q45)</f>
        <v>0</v>
      </c>
      <c r="O59" s="73">
        <f>SUM('[1]Total(Fp)'!O45)</f>
        <v>5</v>
      </c>
    </row>
    <row r="60" spans="1:15" ht="207.6" customHeight="1">
      <c r="A60" s="55" t="s">
        <v>55</v>
      </c>
      <c r="B60" s="67" t="s">
        <v>2077</v>
      </c>
      <c r="C60" s="71" t="s">
        <v>2031</v>
      </c>
      <c r="D60" s="67" t="s">
        <v>2119</v>
      </c>
      <c r="E60" s="68">
        <f>SUM('[1]Total(Fp)'!G46)</f>
        <v>26</v>
      </c>
      <c r="F60" s="71" t="s">
        <v>2126</v>
      </c>
      <c r="G60" s="74">
        <v>2.5</v>
      </c>
      <c r="H60" s="71" t="s">
        <v>2127</v>
      </c>
      <c r="K60" s="71" t="s">
        <v>2171</v>
      </c>
      <c r="L60" s="73" t="s">
        <v>1056</v>
      </c>
      <c r="M60" s="73">
        <f>SUM('[1]Total(Fp)'!P46)</f>
        <v>21</v>
      </c>
      <c r="N60" s="73">
        <f>SUM('[1]Total(Fp)'!Q46)</f>
        <v>0</v>
      </c>
      <c r="O60" s="73">
        <f>SUM('[1]Total(Fp)'!O46)</f>
        <v>5</v>
      </c>
    </row>
    <row r="61" spans="1:15" ht="207.6" customHeight="1">
      <c r="A61" s="55" t="s">
        <v>56</v>
      </c>
      <c r="B61" s="67" t="s">
        <v>2078</v>
      </c>
      <c r="C61" s="71" t="s">
        <v>2031</v>
      </c>
      <c r="D61" s="67" t="s">
        <v>2120</v>
      </c>
      <c r="E61" s="68">
        <f>SUM('[1]Total(Fp)'!G47)</f>
        <v>70</v>
      </c>
      <c r="F61" s="71" t="s">
        <v>2126</v>
      </c>
      <c r="G61" s="74">
        <v>1.5</v>
      </c>
      <c r="H61" s="71" t="s">
        <v>2127</v>
      </c>
      <c r="K61" s="71" t="s">
        <v>2172</v>
      </c>
      <c r="L61" s="73" t="s">
        <v>1057</v>
      </c>
      <c r="M61" s="73">
        <f>SUM('[1]Total(Fp)'!P47)</f>
        <v>65</v>
      </c>
      <c r="N61" s="73">
        <f>SUM('[1]Total(Fp)'!Q47)</f>
        <v>0</v>
      </c>
      <c r="O61" s="73">
        <f>SUM('[1]Total(Fp)'!O47)</f>
        <v>5</v>
      </c>
    </row>
    <row r="62" spans="1:15" ht="207.6" customHeight="1">
      <c r="A62" s="55" t="s">
        <v>57</v>
      </c>
      <c r="B62" s="67" t="s">
        <v>2079</v>
      </c>
      <c r="C62" s="71" t="s">
        <v>2031</v>
      </c>
      <c r="D62" s="67" t="s">
        <v>2121</v>
      </c>
      <c r="E62" s="68">
        <f>SUM('[1]Total(Fp)'!G48)</f>
        <v>20</v>
      </c>
      <c r="F62" s="71" t="s">
        <v>2126</v>
      </c>
      <c r="G62" s="74">
        <v>1</v>
      </c>
      <c r="H62" s="71" t="s">
        <v>2127</v>
      </c>
      <c r="K62" s="71" t="s">
        <v>2173</v>
      </c>
      <c r="L62" s="73" t="s">
        <v>1058</v>
      </c>
      <c r="M62" s="73">
        <f>SUM('[1]Total(Fp)'!P48)</f>
        <v>0</v>
      </c>
      <c r="N62" s="73">
        <f>SUM('[1]Total(Fp)'!Q48)</f>
        <v>0</v>
      </c>
      <c r="O62" s="73">
        <f>SUM('[1]Total(Fp)'!O48)</f>
        <v>20</v>
      </c>
    </row>
    <row r="63" spans="1:15" ht="207.6" customHeight="1">
      <c r="A63" s="55" t="s">
        <v>58</v>
      </c>
      <c r="B63" s="67" t="s">
        <v>2080</v>
      </c>
      <c r="C63" s="71" t="s">
        <v>2031</v>
      </c>
      <c r="D63" s="67" t="s">
        <v>2125</v>
      </c>
      <c r="E63" s="68">
        <f>SUM('[1]Total(Fp)'!G49)</f>
        <v>186</v>
      </c>
      <c r="F63" s="71" t="s">
        <v>2126</v>
      </c>
      <c r="G63" s="74">
        <v>1.5</v>
      </c>
      <c r="H63" s="71" t="s">
        <v>2127</v>
      </c>
      <c r="K63" s="71" t="s">
        <v>2174</v>
      </c>
      <c r="L63" s="73" t="s">
        <v>1059</v>
      </c>
      <c r="M63" s="73">
        <f>SUM('[1]Total(Fp)'!P49)</f>
        <v>186</v>
      </c>
      <c r="N63" s="73">
        <f>SUM('[1]Total(Fp)'!Q49)</f>
        <v>0</v>
      </c>
      <c r="O63" s="73">
        <f>SUM('[1]Total(Fp)'!O49)</f>
        <v>0</v>
      </c>
    </row>
    <row r="64" spans="1:15" ht="207.6" customHeight="1">
      <c r="A64" s="55" t="s">
        <v>59</v>
      </c>
      <c r="B64" s="67" t="s">
        <v>2081</v>
      </c>
      <c r="C64" s="71" t="s">
        <v>2031</v>
      </c>
      <c r="D64" s="67" t="s">
        <v>2122</v>
      </c>
      <c r="E64" s="68">
        <f>SUM('[1]Total(Fp)'!G50)</f>
        <v>71</v>
      </c>
      <c r="F64" s="71" t="s">
        <v>2126</v>
      </c>
      <c r="G64" s="74">
        <v>1</v>
      </c>
      <c r="H64" s="71" t="s">
        <v>2127</v>
      </c>
      <c r="K64" s="71" t="s">
        <v>2175</v>
      </c>
      <c r="L64" s="73" t="s">
        <v>1060</v>
      </c>
      <c r="M64" s="73">
        <f>SUM('[1]Total(Fp)'!P50)</f>
        <v>25</v>
      </c>
      <c r="N64" s="73">
        <f>SUM('[1]Total(Fp)'!Q50)</f>
        <v>0</v>
      </c>
      <c r="O64" s="73">
        <f>SUM('[1]Total(Fp)'!O50)</f>
        <v>46</v>
      </c>
    </row>
    <row r="65" spans="1:15" ht="207.6" customHeight="1">
      <c r="A65" s="55" t="s">
        <v>60</v>
      </c>
      <c r="B65" s="67" t="s">
        <v>2082</v>
      </c>
      <c r="C65" s="71" t="s">
        <v>2031</v>
      </c>
      <c r="D65" s="67" t="s">
        <v>2123</v>
      </c>
      <c r="E65" s="68">
        <f>SUM('[1]Total(Fp)'!G51)</f>
        <v>64</v>
      </c>
      <c r="F65" s="71" t="s">
        <v>2126</v>
      </c>
      <c r="G65" s="74">
        <v>1</v>
      </c>
      <c r="H65" s="71" t="s">
        <v>2127</v>
      </c>
      <c r="K65" s="71" t="s">
        <v>2176</v>
      </c>
      <c r="L65" s="73" t="s">
        <v>1061</v>
      </c>
      <c r="M65" s="73">
        <f>SUM('[1]Total(Fp)'!P51)</f>
        <v>22</v>
      </c>
      <c r="N65" s="73">
        <f>SUM('[1]Total(Fp)'!Q51)</f>
        <v>0</v>
      </c>
      <c r="O65" s="73">
        <f>SUM('[1]Total(Fp)'!O51)</f>
        <v>42</v>
      </c>
    </row>
    <row r="66" spans="1:15" ht="207.6" customHeight="1">
      <c r="A66" s="55" t="s">
        <v>61</v>
      </c>
      <c r="B66" s="67" t="s">
        <v>2083</v>
      </c>
      <c r="C66" s="71" t="s">
        <v>2031</v>
      </c>
      <c r="D66" s="67" t="s">
        <v>2124</v>
      </c>
      <c r="E66" s="68">
        <f>SUM('[1]Total(Fp)'!G52)</f>
        <v>24</v>
      </c>
      <c r="F66" s="71" t="s">
        <v>2126</v>
      </c>
      <c r="G66" s="74">
        <v>1</v>
      </c>
      <c r="H66" s="71" t="s">
        <v>2127</v>
      </c>
      <c r="K66" s="71" t="s">
        <v>2177</v>
      </c>
      <c r="L66" s="73" t="s">
        <v>1062</v>
      </c>
      <c r="M66" s="73">
        <f>SUM('[1]Total(Fp)'!P52)</f>
        <v>4</v>
      </c>
      <c r="N66" s="73">
        <f>SUM('[1]Total(Fp)'!Q52)</f>
        <v>0</v>
      </c>
      <c r="O66" s="73">
        <f>SUM('[1]Total(Fp)'!O52)</f>
        <v>20</v>
      </c>
    </row>
    <row r="67" spans="1:15" ht="207.6" customHeight="1">
      <c r="A67" s="55" t="s">
        <v>192</v>
      </c>
      <c r="B67" s="67" t="s">
        <v>3101</v>
      </c>
      <c r="C67" s="71" t="s">
        <v>3102</v>
      </c>
      <c r="D67" s="71" t="s">
        <v>3103</v>
      </c>
      <c r="E67" s="72">
        <f>SUMIF(History1!B:B, A67, History1!C:C)</f>
        <v>8</v>
      </c>
      <c r="F67" s="71" t="s">
        <v>2987</v>
      </c>
      <c r="H67" s="71" t="s">
        <v>2980</v>
      </c>
      <c r="J67" s="71" t="s">
        <v>3104</v>
      </c>
      <c r="K67" s="71" t="str">
        <f t="shared" ref="K67:K99" si="1">LOWER(A67)&amp;".jpeg"</f>
        <v>fp0181.jpeg</v>
      </c>
      <c r="L67" s="73" t="s">
        <v>1193</v>
      </c>
    </row>
    <row r="68" spans="1:15" ht="207.6" customHeight="1">
      <c r="A68" s="55" t="s">
        <v>193</v>
      </c>
      <c r="B68" s="67" t="s">
        <v>3105</v>
      </c>
      <c r="C68" s="71" t="s">
        <v>3102</v>
      </c>
      <c r="D68" s="71" t="s">
        <v>3111</v>
      </c>
      <c r="E68" s="72">
        <f>SUMIF(History1!B:B, A68, History1!C:C)</f>
        <v>8</v>
      </c>
      <c r="F68" s="71" t="s">
        <v>2987</v>
      </c>
      <c r="H68" s="71" t="s">
        <v>2980</v>
      </c>
      <c r="J68" s="71" t="s">
        <v>3104</v>
      </c>
      <c r="K68" s="71" t="str">
        <f t="shared" si="1"/>
        <v>fp0182.jpeg</v>
      </c>
      <c r="L68" s="73" t="s">
        <v>1194</v>
      </c>
    </row>
    <row r="69" spans="1:15" ht="207.6" customHeight="1">
      <c r="A69" s="55" t="s">
        <v>194</v>
      </c>
      <c r="B69" s="67" t="s">
        <v>3106</v>
      </c>
      <c r="C69" s="71" t="s">
        <v>3102</v>
      </c>
      <c r="D69" s="71" t="s">
        <v>3112</v>
      </c>
      <c r="E69" s="72">
        <f>SUMIF(History1!B:B, A69, History1!C:C)</f>
        <v>8</v>
      </c>
      <c r="F69" s="71" t="s">
        <v>2987</v>
      </c>
      <c r="H69" s="71" t="s">
        <v>2980</v>
      </c>
      <c r="J69" s="71" t="s">
        <v>3104</v>
      </c>
      <c r="K69" s="71" t="str">
        <f t="shared" si="1"/>
        <v>fp0183.jpeg</v>
      </c>
      <c r="L69" s="73" t="s">
        <v>1195</v>
      </c>
    </row>
    <row r="70" spans="1:15" ht="207.6" customHeight="1">
      <c r="A70" s="55" t="s">
        <v>195</v>
      </c>
      <c r="B70" s="67" t="s">
        <v>3107</v>
      </c>
      <c r="C70" s="71" t="s">
        <v>3102</v>
      </c>
      <c r="D70" s="71" t="s">
        <v>3113</v>
      </c>
      <c r="E70" s="72">
        <f>SUMIF(History1!B:B, A70, History1!C:C)</f>
        <v>8</v>
      </c>
      <c r="F70" s="71" t="s">
        <v>2987</v>
      </c>
      <c r="H70" s="71" t="s">
        <v>2980</v>
      </c>
      <c r="J70" s="71" t="s">
        <v>3104</v>
      </c>
      <c r="K70" s="71" t="str">
        <f t="shared" si="1"/>
        <v>fp0184.jpeg</v>
      </c>
      <c r="L70" s="73" t="s">
        <v>1196</v>
      </c>
    </row>
    <row r="71" spans="1:15" ht="207.6" customHeight="1">
      <c r="A71" s="55" t="s">
        <v>196</v>
      </c>
      <c r="B71" s="67" t="s">
        <v>3108</v>
      </c>
      <c r="C71" s="71" t="s">
        <v>3102</v>
      </c>
      <c r="E71" s="72">
        <f>SUMIF(History1!B:B, A71, History1!C:C)</f>
        <v>9</v>
      </c>
      <c r="F71" s="71" t="s">
        <v>2987</v>
      </c>
      <c r="H71" s="71" t="s">
        <v>2980</v>
      </c>
      <c r="J71" s="71" t="s">
        <v>3114</v>
      </c>
      <c r="K71" s="71" t="str">
        <f t="shared" si="1"/>
        <v>fp0185.jpeg</v>
      </c>
      <c r="L71" s="73" t="s">
        <v>1197</v>
      </c>
    </row>
    <row r="72" spans="1:15" ht="207.6" customHeight="1">
      <c r="A72" s="55" t="s">
        <v>197</v>
      </c>
      <c r="B72" s="67" t="s">
        <v>3109</v>
      </c>
      <c r="C72" s="71" t="s">
        <v>3102</v>
      </c>
      <c r="E72" s="72">
        <f>SUMIF(History1!B:B, A72, History1!C:C)</f>
        <v>8</v>
      </c>
      <c r="F72" s="71" t="s">
        <v>2987</v>
      </c>
      <c r="H72" s="71" t="s">
        <v>2980</v>
      </c>
      <c r="J72" s="71" t="s">
        <v>3115</v>
      </c>
      <c r="K72" s="71" t="str">
        <f t="shared" si="1"/>
        <v>fp0186.jpeg</v>
      </c>
      <c r="L72" s="73" t="s">
        <v>1198</v>
      </c>
    </row>
    <row r="73" spans="1:15" ht="207.6" customHeight="1">
      <c r="A73" s="55" t="s">
        <v>198</v>
      </c>
      <c r="B73" s="67" t="s">
        <v>3110</v>
      </c>
      <c r="C73" s="71" t="s">
        <v>3102</v>
      </c>
      <c r="E73" s="72">
        <f>SUMIF(History1!B:B, A73, History1!C:C)</f>
        <v>7</v>
      </c>
      <c r="F73" s="71" t="s">
        <v>2987</v>
      </c>
      <c r="H73" s="71" t="s">
        <v>2980</v>
      </c>
      <c r="J73" s="71" t="s">
        <v>3116</v>
      </c>
      <c r="K73" s="71" t="str">
        <f t="shared" si="1"/>
        <v>fp0187.jpeg</v>
      </c>
      <c r="L73" s="73" t="s">
        <v>1199</v>
      </c>
    </row>
    <row r="74" spans="1:15" ht="207.6" customHeight="1">
      <c r="A74" s="55" t="s">
        <v>199</v>
      </c>
      <c r="B74" s="67" t="s">
        <v>3117</v>
      </c>
      <c r="C74" s="71" t="s">
        <v>3102</v>
      </c>
      <c r="E74" s="72">
        <f>SUMIF(History1!B:B, A74, History1!C:C)</f>
        <v>4</v>
      </c>
      <c r="F74" s="71" t="s">
        <v>2987</v>
      </c>
      <c r="H74" s="71" t="s">
        <v>2980</v>
      </c>
      <c r="J74" s="71" t="s">
        <v>3120</v>
      </c>
      <c r="K74" s="71" t="str">
        <f t="shared" si="1"/>
        <v>fp0188.jpeg</v>
      </c>
      <c r="L74" s="73" t="s">
        <v>1200</v>
      </c>
    </row>
    <row r="75" spans="1:15" ht="207.6" customHeight="1">
      <c r="A75" s="55" t="s">
        <v>200</v>
      </c>
      <c r="B75" s="67" t="s">
        <v>3118</v>
      </c>
      <c r="C75" s="71" t="s">
        <v>3102</v>
      </c>
      <c r="E75" s="72">
        <f>SUMIF(History1!B:B, A75, History1!C:C)</f>
        <v>4</v>
      </c>
      <c r="F75" s="71" t="s">
        <v>2987</v>
      </c>
      <c r="H75" s="71" t="s">
        <v>2980</v>
      </c>
      <c r="J75" s="71" t="s">
        <v>3121</v>
      </c>
      <c r="K75" s="71" t="str">
        <f t="shared" si="1"/>
        <v>fp0189.jpeg</v>
      </c>
      <c r="L75" s="73" t="s">
        <v>1201</v>
      </c>
    </row>
    <row r="76" spans="1:15" ht="207.6" customHeight="1">
      <c r="A76" s="55" t="s">
        <v>201</v>
      </c>
      <c r="B76" s="67" t="s">
        <v>3119</v>
      </c>
      <c r="C76" s="71" t="s">
        <v>3102</v>
      </c>
      <c r="E76" s="72">
        <f>SUMIF(History1!B:B, A76, History1!C:C)</f>
        <v>0</v>
      </c>
      <c r="F76" s="71" t="s">
        <v>2987</v>
      </c>
      <c r="H76" s="71" t="s">
        <v>2980</v>
      </c>
      <c r="J76" s="71" t="s">
        <v>3122</v>
      </c>
      <c r="K76" s="71" t="str">
        <f t="shared" si="1"/>
        <v>fp0190.jpeg</v>
      </c>
      <c r="L76" s="73" t="s">
        <v>1202</v>
      </c>
    </row>
    <row r="77" spans="1:15" ht="207.6" customHeight="1">
      <c r="A77" s="55" t="s">
        <v>202</v>
      </c>
      <c r="B77" s="67" t="s">
        <v>3123</v>
      </c>
      <c r="C77" s="71" t="s">
        <v>3102</v>
      </c>
      <c r="E77" s="72">
        <f>SUMIF(History1!B:B, A77, History1!C:C)</f>
        <v>5</v>
      </c>
      <c r="F77" s="71" t="s">
        <v>2987</v>
      </c>
      <c r="H77" s="71" t="s">
        <v>2980</v>
      </c>
      <c r="J77" s="71" t="s">
        <v>3126</v>
      </c>
      <c r="K77" s="71" t="str">
        <f t="shared" si="1"/>
        <v>fp0191.jpeg</v>
      </c>
      <c r="L77" s="73" t="s">
        <v>1203</v>
      </c>
    </row>
    <row r="78" spans="1:15" ht="207.6" customHeight="1">
      <c r="A78" s="55" t="s">
        <v>203</v>
      </c>
      <c r="B78" s="67" t="s">
        <v>3124</v>
      </c>
      <c r="C78" s="71" t="s">
        <v>3102</v>
      </c>
      <c r="E78" s="72">
        <f>SUMIF(History1!B:B, A78, History1!C:C)</f>
        <v>5</v>
      </c>
      <c r="F78" s="71" t="s">
        <v>2987</v>
      </c>
      <c r="H78" s="71" t="s">
        <v>2980</v>
      </c>
      <c r="J78" s="71" t="s">
        <v>3127</v>
      </c>
      <c r="K78" s="71" t="str">
        <f t="shared" si="1"/>
        <v>fp0192.jpeg</v>
      </c>
      <c r="L78" s="73" t="s">
        <v>1204</v>
      </c>
    </row>
    <row r="79" spans="1:15" ht="207.6" customHeight="1">
      <c r="A79" s="55" t="s">
        <v>204</v>
      </c>
      <c r="B79" s="67" t="s">
        <v>3125</v>
      </c>
      <c r="C79" s="71" t="s">
        <v>3102</v>
      </c>
      <c r="E79" s="72">
        <f>SUMIF(History1!B:B, A79, History1!C:C)</f>
        <v>1</v>
      </c>
      <c r="F79" s="71" t="s">
        <v>2987</v>
      </c>
      <c r="H79" s="71" t="s">
        <v>2980</v>
      </c>
      <c r="J79" s="71" t="s">
        <v>3128</v>
      </c>
      <c r="K79" s="71" t="str">
        <f t="shared" si="1"/>
        <v>fp0193.jpeg</v>
      </c>
      <c r="L79" s="73" t="s">
        <v>1205</v>
      </c>
    </row>
    <row r="80" spans="1:15" ht="207.6" customHeight="1">
      <c r="A80" s="55" t="s">
        <v>205</v>
      </c>
      <c r="B80" s="67" t="s">
        <v>3129</v>
      </c>
      <c r="C80" s="71" t="s">
        <v>3102</v>
      </c>
      <c r="E80" s="72">
        <f>SUMIF(History1!B:B, A80, History1!C:C)</f>
        <v>0</v>
      </c>
      <c r="F80" s="71" t="s">
        <v>2987</v>
      </c>
      <c r="H80" s="71" t="s">
        <v>2980</v>
      </c>
      <c r="J80" s="71" t="s">
        <v>3130</v>
      </c>
      <c r="K80" s="71" t="str">
        <f t="shared" si="1"/>
        <v>fp0194.jpeg</v>
      </c>
      <c r="L80" s="73" t="s">
        <v>1206</v>
      </c>
    </row>
    <row r="81" spans="1:12" ht="207.6" customHeight="1">
      <c r="A81" s="55" t="s">
        <v>162</v>
      </c>
      <c r="B81" s="67" t="s">
        <v>3083</v>
      </c>
      <c r="C81" s="71" t="s">
        <v>3097</v>
      </c>
      <c r="E81" s="72">
        <f>SUMIF(History1!B:B, A81, History1!C:C)</f>
        <v>47</v>
      </c>
      <c r="F81" s="71" t="s">
        <v>3098</v>
      </c>
      <c r="H81" s="71" t="s">
        <v>2980</v>
      </c>
      <c r="K81" s="71" t="str">
        <f t="shared" si="1"/>
        <v>fp0151.jpeg</v>
      </c>
      <c r="L81" s="73" t="s">
        <v>1163</v>
      </c>
    </row>
    <row r="82" spans="1:12" ht="207.6" customHeight="1">
      <c r="A82" s="55" t="s">
        <v>163</v>
      </c>
      <c r="B82" s="67" t="s">
        <v>3084</v>
      </c>
      <c r="C82" s="71" t="s">
        <v>3097</v>
      </c>
      <c r="E82" s="72">
        <f>SUMIF(History1!B:B, A82, History1!C:C)</f>
        <v>21</v>
      </c>
      <c r="F82" s="71" t="s">
        <v>3098</v>
      </c>
      <c r="H82" s="71" t="s">
        <v>2980</v>
      </c>
      <c r="K82" s="71" t="str">
        <f t="shared" si="1"/>
        <v>fp0152.jpeg</v>
      </c>
      <c r="L82" s="73" t="s">
        <v>1164</v>
      </c>
    </row>
    <row r="83" spans="1:12" ht="207.6" customHeight="1">
      <c r="A83" s="55" t="s">
        <v>164</v>
      </c>
      <c r="B83" s="67" t="s">
        <v>3085</v>
      </c>
      <c r="C83" s="71" t="s">
        <v>3097</v>
      </c>
      <c r="E83" s="72">
        <f>SUMIF(History1!B:B, A83, History1!C:C)</f>
        <v>23</v>
      </c>
      <c r="F83" s="71" t="s">
        <v>3098</v>
      </c>
      <c r="H83" s="71" t="s">
        <v>2980</v>
      </c>
      <c r="K83" s="71" t="str">
        <f t="shared" si="1"/>
        <v>fp0153.jpeg</v>
      </c>
      <c r="L83" s="73" t="s">
        <v>1165</v>
      </c>
    </row>
    <row r="84" spans="1:12" ht="207.6" customHeight="1">
      <c r="A84" s="55" t="s">
        <v>165</v>
      </c>
      <c r="B84" s="67" t="s">
        <v>3086</v>
      </c>
      <c r="C84" s="71" t="s">
        <v>3097</v>
      </c>
      <c r="E84" s="72">
        <f>SUMIF(History1!B:B, A84, History1!C:C)</f>
        <v>17</v>
      </c>
      <c r="F84" s="71" t="s">
        <v>3098</v>
      </c>
      <c r="H84" s="71" t="s">
        <v>2980</v>
      </c>
      <c r="K84" s="71" t="str">
        <f t="shared" si="1"/>
        <v>fp0154.jpeg</v>
      </c>
      <c r="L84" s="73" t="s">
        <v>1166</v>
      </c>
    </row>
    <row r="85" spans="1:12" ht="207.6" customHeight="1">
      <c r="A85" s="55" t="s">
        <v>166</v>
      </c>
      <c r="B85" s="67" t="s">
        <v>3087</v>
      </c>
      <c r="C85" s="71" t="s">
        <v>3097</v>
      </c>
      <c r="E85" s="72">
        <f>SUMIF(History1!B:B, A85, History1!C:C)</f>
        <v>13</v>
      </c>
      <c r="F85" s="71" t="s">
        <v>3098</v>
      </c>
      <c r="H85" s="71" t="s">
        <v>2980</v>
      </c>
      <c r="K85" s="71" t="str">
        <f t="shared" si="1"/>
        <v>fp0155.jpeg</v>
      </c>
      <c r="L85" s="73" t="s">
        <v>1167</v>
      </c>
    </row>
    <row r="86" spans="1:12" ht="207.6" customHeight="1">
      <c r="A86" s="55" t="s">
        <v>167</v>
      </c>
      <c r="B86" s="67" t="s">
        <v>3088</v>
      </c>
      <c r="C86" s="71" t="s">
        <v>3097</v>
      </c>
      <c r="E86" s="72">
        <f>SUMIF(History1!B:B, A86, History1!C:C)</f>
        <v>19</v>
      </c>
      <c r="F86" s="71" t="s">
        <v>3098</v>
      </c>
      <c r="H86" s="71" t="s">
        <v>2980</v>
      </c>
      <c r="K86" s="71" t="str">
        <f t="shared" si="1"/>
        <v>fp0156.jpeg</v>
      </c>
      <c r="L86" s="73" t="s">
        <v>1168</v>
      </c>
    </row>
    <row r="87" spans="1:12" ht="207.6" customHeight="1">
      <c r="A87" s="55" t="s">
        <v>168</v>
      </c>
      <c r="B87" s="67" t="s">
        <v>3089</v>
      </c>
      <c r="C87" s="71" t="s">
        <v>3097</v>
      </c>
      <c r="E87" s="72">
        <f>SUMIF(History1!B:B, A87, History1!C:C)</f>
        <v>47</v>
      </c>
      <c r="F87" s="71" t="s">
        <v>3098</v>
      </c>
      <c r="H87" s="71" t="s">
        <v>2980</v>
      </c>
      <c r="K87" s="71" t="str">
        <f t="shared" si="1"/>
        <v>fp0157.jpeg</v>
      </c>
      <c r="L87" s="73" t="s">
        <v>1169</v>
      </c>
    </row>
    <row r="88" spans="1:12" ht="207.6" customHeight="1">
      <c r="A88" s="55" t="s">
        <v>169</v>
      </c>
      <c r="B88" s="67" t="s">
        <v>3090</v>
      </c>
      <c r="C88" s="71" t="s">
        <v>3097</v>
      </c>
      <c r="E88" s="72">
        <f>SUMIF(History1!B:B, A88, History1!C:C)</f>
        <v>28</v>
      </c>
      <c r="F88" s="71" t="s">
        <v>3098</v>
      </c>
      <c r="H88" s="71" t="s">
        <v>3068</v>
      </c>
      <c r="K88" s="71" t="str">
        <f t="shared" si="1"/>
        <v>fp0158.jpeg</v>
      </c>
      <c r="L88" s="73" t="s">
        <v>1170</v>
      </c>
    </row>
    <row r="89" spans="1:12" ht="207.6" customHeight="1">
      <c r="A89" s="55" t="s">
        <v>170</v>
      </c>
      <c r="B89" s="67" t="s">
        <v>3091</v>
      </c>
      <c r="C89" s="71" t="s">
        <v>3097</v>
      </c>
      <c r="E89" s="72">
        <f>SUMIF(History1!B:B, A89, History1!C:C)</f>
        <v>25</v>
      </c>
      <c r="F89" s="71" t="s">
        <v>3098</v>
      </c>
      <c r="H89" s="71" t="s">
        <v>2980</v>
      </c>
      <c r="K89" s="71" t="str">
        <f t="shared" si="1"/>
        <v>fp0159.jpeg</v>
      </c>
      <c r="L89" s="73" t="s">
        <v>1171</v>
      </c>
    </row>
    <row r="90" spans="1:12" ht="207.6" customHeight="1">
      <c r="A90" s="55" t="s">
        <v>171</v>
      </c>
      <c r="B90" s="67" t="s">
        <v>3092</v>
      </c>
      <c r="C90" s="71" t="s">
        <v>3097</v>
      </c>
      <c r="E90" s="72">
        <f>SUMIF(History1!B:B, A90, History1!C:C)</f>
        <v>11</v>
      </c>
      <c r="F90" s="71" t="s">
        <v>3098</v>
      </c>
      <c r="H90" s="71" t="s">
        <v>2980</v>
      </c>
      <c r="K90" s="71" t="str">
        <f t="shared" si="1"/>
        <v>fp0160.jpeg</v>
      </c>
      <c r="L90" s="73" t="s">
        <v>1172</v>
      </c>
    </row>
    <row r="91" spans="1:12" ht="207.6" customHeight="1">
      <c r="A91" s="55" t="s">
        <v>172</v>
      </c>
      <c r="B91" s="67" t="s">
        <v>3093</v>
      </c>
      <c r="C91" s="71" t="s">
        <v>3097</v>
      </c>
      <c r="E91" s="72">
        <f>SUMIF(History1!B:B, A91, History1!C:C)</f>
        <v>22</v>
      </c>
      <c r="F91" s="71" t="s">
        <v>3098</v>
      </c>
      <c r="H91" s="71" t="s">
        <v>2980</v>
      </c>
      <c r="K91" s="71" t="str">
        <f t="shared" si="1"/>
        <v>fp0161.jpeg</v>
      </c>
      <c r="L91" s="73" t="s">
        <v>1173</v>
      </c>
    </row>
    <row r="92" spans="1:12" ht="207.6" customHeight="1">
      <c r="A92" s="55" t="s">
        <v>173</v>
      </c>
      <c r="B92" s="67" t="s">
        <v>3094</v>
      </c>
      <c r="C92" s="71" t="s">
        <v>3097</v>
      </c>
      <c r="E92" s="72">
        <f>SUMIF(History1!B:B, A92, History1!C:C)</f>
        <v>40</v>
      </c>
      <c r="F92" s="71" t="s">
        <v>3098</v>
      </c>
      <c r="H92" s="71" t="s">
        <v>2980</v>
      </c>
      <c r="K92" s="71" t="str">
        <f t="shared" si="1"/>
        <v>fp0162.jpeg</v>
      </c>
      <c r="L92" s="73" t="s">
        <v>1174</v>
      </c>
    </row>
    <row r="93" spans="1:12" ht="207.6" customHeight="1">
      <c r="A93" s="55" t="s">
        <v>174</v>
      </c>
      <c r="B93" s="67" t="s">
        <v>3095</v>
      </c>
      <c r="C93" s="71" t="s">
        <v>3097</v>
      </c>
      <c r="E93" s="72">
        <f>SUMIF(History1!B:B, A93, History1!C:C)</f>
        <v>22</v>
      </c>
      <c r="F93" s="71" t="s">
        <v>3098</v>
      </c>
      <c r="H93" s="71" t="s">
        <v>2980</v>
      </c>
      <c r="K93" s="71" t="str">
        <f t="shared" si="1"/>
        <v>fp0163.jpeg</v>
      </c>
      <c r="L93" s="73" t="s">
        <v>1175</v>
      </c>
    </row>
    <row r="94" spans="1:12" ht="207.6" customHeight="1">
      <c r="A94" s="55" t="s">
        <v>175</v>
      </c>
      <c r="B94" s="67" t="s">
        <v>3096</v>
      </c>
      <c r="C94" s="71" t="s">
        <v>3097</v>
      </c>
      <c r="E94" s="72">
        <f>SUMIF(History1!B:B, A94, History1!C:C)</f>
        <v>9</v>
      </c>
      <c r="F94" s="71" t="s">
        <v>3098</v>
      </c>
      <c r="H94" s="71" t="s">
        <v>2980</v>
      </c>
      <c r="K94" s="71" t="str">
        <f t="shared" si="1"/>
        <v>fp0164.jpeg</v>
      </c>
      <c r="L94" s="73" t="s">
        <v>1176</v>
      </c>
    </row>
    <row r="95" spans="1:12" ht="207.6" customHeight="1">
      <c r="A95" s="55" t="s">
        <v>94</v>
      </c>
      <c r="B95" s="67" t="s">
        <v>3046</v>
      </c>
      <c r="C95" s="71" t="s">
        <v>3047</v>
      </c>
      <c r="E95" s="72">
        <f>SUMIF(History1!B:B, A95, History1!C:C)</f>
        <v>18</v>
      </c>
      <c r="F95" s="71" t="s">
        <v>3044</v>
      </c>
      <c r="H95" s="71" t="s">
        <v>2980</v>
      </c>
      <c r="J95" s="71" t="s">
        <v>3033</v>
      </c>
      <c r="K95" s="71" t="str">
        <f t="shared" si="1"/>
        <v>fp0083.jpeg</v>
      </c>
      <c r="L95" s="73" t="s">
        <v>1095</v>
      </c>
    </row>
    <row r="96" spans="1:12" ht="207.6" customHeight="1">
      <c r="A96" s="55" t="s">
        <v>95</v>
      </c>
      <c r="B96" s="67" t="s">
        <v>3048</v>
      </c>
      <c r="C96" s="71" t="s">
        <v>3047</v>
      </c>
      <c r="E96" s="72">
        <f>SUMIF(History1!B:B, A96, History1!C:C)</f>
        <v>92</v>
      </c>
      <c r="F96" s="71" t="s">
        <v>3044</v>
      </c>
      <c r="H96" s="71" t="s">
        <v>2980</v>
      </c>
      <c r="J96" s="71" t="s">
        <v>3033</v>
      </c>
      <c r="K96" s="71" t="str">
        <f t="shared" si="1"/>
        <v>fp0084.jpeg</v>
      </c>
      <c r="L96" s="73" t="s">
        <v>1096</v>
      </c>
    </row>
    <row r="97" spans="1:12" ht="207.6" customHeight="1">
      <c r="A97" s="55" t="s">
        <v>96</v>
      </c>
      <c r="B97" s="67" t="s">
        <v>3049</v>
      </c>
      <c r="C97" s="71" t="s">
        <v>3047</v>
      </c>
      <c r="E97" s="72">
        <f>SUMIF(History1!B:B, A97, History1!C:C)</f>
        <v>48</v>
      </c>
      <c r="F97" s="71" t="s">
        <v>3044</v>
      </c>
      <c r="H97" s="71" t="s">
        <v>2980</v>
      </c>
      <c r="J97" s="71" t="s">
        <v>3033</v>
      </c>
      <c r="K97" s="71" t="str">
        <f t="shared" si="1"/>
        <v>fp0085.jpeg</v>
      </c>
      <c r="L97" s="73" t="s">
        <v>1097</v>
      </c>
    </row>
    <row r="98" spans="1:12" ht="207.6" customHeight="1">
      <c r="A98" s="55" t="s">
        <v>97</v>
      </c>
      <c r="B98" s="67" t="s">
        <v>3050</v>
      </c>
      <c r="C98" s="71" t="s">
        <v>3047</v>
      </c>
      <c r="E98" s="72">
        <f>SUMIF(History1!B:B, A98, History1!C:C)</f>
        <v>44</v>
      </c>
      <c r="F98" s="71" t="s">
        <v>3044</v>
      </c>
      <c r="H98" s="71" t="s">
        <v>2980</v>
      </c>
      <c r="J98" s="71" t="s">
        <v>3033</v>
      </c>
      <c r="K98" s="71" t="str">
        <f t="shared" si="1"/>
        <v>fp0086.jpeg</v>
      </c>
      <c r="L98" s="73" t="s">
        <v>1098</v>
      </c>
    </row>
    <row r="99" spans="1:12" ht="207.6" customHeight="1">
      <c r="A99" s="55" t="s">
        <v>98</v>
      </c>
      <c r="B99" s="67" t="s">
        <v>3051</v>
      </c>
      <c r="C99" s="71" t="s">
        <v>3047</v>
      </c>
      <c r="E99" s="72">
        <f>SUMIF(History1!B:B, A99, History1!C:C)</f>
        <v>10</v>
      </c>
      <c r="F99" s="71" t="s">
        <v>3044</v>
      </c>
      <c r="H99" s="71" t="s">
        <v>2980</v>
      </c>
      <c r="J99" s="71" t="s">
        <v>3033</v>
      </c>
      <c r="K99" s="71" t="str">
        <f t="shared" si="1"/>
        <v>fp0087.jpeg</v>
      </c>
      <c r="L99" s="73" t="s">
        <v>1099</v>
      </c>
    </row>
    <row r="100" spans="1:12" ht="207.6" customHeight="1">
      <c r="A100" s="55" t="s">
        <v>85</v>
      </c>
      <c r="B100" s="67" t="s">
        <v>3157</v>
      </c>
      <c r="C100" s="71" t="s">
        <v>3156</v>
      </c>
      <c r="E100" s="72">
        <f>SUMIF(History1!B:B, A100, History1!C:C)</f>
        <v>75</v>
      </c>
      <c r="F100" s="71" t="s">
        <v>2987</v>
      </c>
      <c r="H100" s="71" t="s">
        <v>2980</v>
      </c>
      <c r="J100" s="71" t="s">
        <v>3031</v>
      </c>
      <c r="K100" s="71" t="s">
        <v>3032</v>
      </c>
      <c r="L100" s="73" t="s">
        <v>1086</v>
      </c>
    </row>
    <row r="101" spans="1:12" ht="207.6" customHeight="1">
      <c r="A101" s="55" t="s">
        <v>88</v>
      </c>
      <c r="B101" s="67" t="s">
        <v>3158</v>
      </c>
      <c r="C101" s="71" t="s">
        <v>3156</v>
      </c>
      <c r="E101" s="72">
        <f>SUMIF(History1!B:B, A101, History1!C:C)</f>
        <v>150</v>
      </c>
      <c r="F101" s="71" t="s">
        <v>2987</v>
      </c>
      <c r="H101" s="71" t="s">
        <v>2980</v>
      </c>
      <c r="J101" s="71" t="s">
        <v>3031</v>
      </c>
      <c r="K101" s="71" t="s">
        <v>3038</v>
      </c>
      <c r="L101" s="73" t="s">
        <v>1089</v>
      </c>
    </row>
    <row r="102" spans="1:12" ht="207.6" customHeight="1">
      <c r="A102" s="55" t="s">
        <v>131</v>
      </c>
      <c r="B102" s="67" t="s">
        <v>3159</v>
      </c>
      <c r="C102" s="71" t="s">
        <v>3156</v>
      </c>
      <c r="E102" s="72">
        <f>SUMIF(History1!B:B, A102, History1!C:C)</f>
        <v>18</v>
      </c>
      <c r="F102" s="71" t="s">
        <v>3062</v>
      </c>
      <c r="H102" s="71" t="s">
        <v>2980</v>
      </c>
      <c r="J102" s="71" t="s">
        <v>3064</v>
      </c>
      <c r="K102" s="71" t="str">
        <f t="shared" ref="K102:K118" si="2">LOWER(A102)&amp;".jpeg"</f>
        <v>fp0120.jpeg</v>
      </c>
      <c r="L102" s="73" t="s">
        <v>1132</v>
      </c>
    </row>
    <row r="103" spans="1:12" ht="207.6" customHeight="1">
      <c r="A103" s="55" t="s">
        <v>132</v>
      </c>
      <c r="B103" s="67" t="s">
        <v>3160</v>
      </c>
      <c r="C103" s="71" t="s">
        <v>3156</v>
      </c>
      <c r="E103" s="72">
        <f>SUMIF(History1!B:B, A103, History1!C:C)</f>
        <v>30</v>
      </c>
      <c r="F103" s="71" t="s">
        <v>3062</v>
      </c>
      <c r="H103" s="71" t="s">
        <v>2980</v>
      </c>
      <c r="J103" s="71" t="s">
        <v>3069</v>
      </c>
      <c r="K103" s="71" t="str">
        <f t="shared" si="2"/>
        <v>fp0121.jpeg</v>
      </c>
      <c r="L103" s="73" t="s">
        <v>1133</v>
      </c>
    </row>
    <row r="104" spans="1:12" ht="207.6" customHeight="1">
      <c r="A104" s="55" t="s">
        <v>133</v>
      </c>
      <c r="B104" s="67" t="s">
        <v>3161</v>
      </c>
      <c r="C104" s="71" t="s">
        <v>3156</v>
      </c>
      <c r="E104" s="72">
        <f>SUMIF(History1!B:B, A104, History1!C:C)</f>
        <v>28</v>
      </c>
      <c r="F104" s="71" t="s">
        <v>3062</v>
      </c>
      <c r="H104" s="71" t="s">
        <v>2980</v>
      </c>
      <c r="J104" s="71" t="s">
        <v>3066</v>
      </c>
      <c r="K104" s="71" t="str">
        <f t="shared" si="2"/>
        <v>fp0122.jpeg</v>
      </c>
      <c r="L104" s="75" t="s">
        <v>1134</v>
      </c>
    </row>
    <row r="105" spans="1:12" ht="207.6" customHeight="1">
      <c r="A105" s="55" t="s">
        <v>134</v>
      </c>
      <c r="B105" s="67" t="s">
        <v>3162</v>
      </c>
      <c r="C105" s="71" t="s">
        <v>3156</v>
      </c>
      <c r="E105" s="72">
        <f>SUMIF(History1!B:B, A105, History1!C:C)</f>
        <v>19</v>
      </c>
      <c r="F105" s="71" t="s">
        <v>3044</v>
      </c>
      <c r="H105" s="71" t="s">
        <v>2980</v>
      </c>
      <c r="J105" s="71" t="s">
        <v>3064</v>
      </c>
      <c r="K105" s="71" t="str">
        <f t="shared" si="2"/>
        <v>fp0123.jpeg</v>
      </c>
      <c r="L105" s="73" t="s">
        <v>1135</v>
      </c>
    </row>
    <row r="106" spans="1:12" ht="207.6" customHeight="1">
      <c r="A106" s="55" t="s">
        <v>135</v>
      </c>
      <c r="B106" s="67" t="s">
        <v>3163</v>
      </c>
      <c r="C106" s="71" t="s">
        <v>3156</v>
      </c>
      <c r="E106" s="72">
        <f>SUMIF(History1!B:B, A106, History1!C:C)</f>
        <v>18</v>
      </c>
      <c r="F106" s="71" t="s">
        <v>3044</v>
      </c>
      <c r="H106" s="71" t="s">
        <v>2980</v>
      </c>
      <c r="J106" s="71" t="s">
        <v>3073</v>
      </c>
      <c r="K106" s="71" t="str">
        <f t="shared" si="2"/>
        <v>fp0124.jpeg</v>
      </c>
      <c r="L106" s="73" t="s">
        <v>1136</v>
      </c>
    </row>
    <row r="107" spans="1:12" ht="207.6" customHeight="1">
      <c r="A107" s="55" t="s">
        <v>136</v>
      </c>
      <c r="B107" s="67" t="s">
        <v>3164</v>
      </c>
      <c r="C107" s="71" t="s">
        <v>3156</v>
      </c>
      <c r="E107" s="72">
        <f>SUMIF(History1!B:B, A107, History1!C:C)</f>
        <v>11</v>
      </c>
      <c r="F107" s="71" t="s">
        <v>3044</v>
      </c>
      <c r="H107" s="71" t="s">
        <v>2980</v>
      </c>
      <c r="J107" s="71" t="s">
        <v>3066</v>
      </c>
      <c r="K107" s="71" t="str">
        <f t="shared" si="2"/>
        <v>fp0125.jpeg</v>
      </c>
      <c r="L107" s="73" t="s">
        <v>1137</v>
      </c>
    </row>
    <row r="108" spans="1:12" ht="207.6" customHeight="1">
      <c r="A108" s="55" t="s">
        <v>149</v>
      </c>
      <c r="B108" s="67" t="s">
        <v>3165</v>
      </c>
      <c r="C108" s="71" t="s">
        <v>3156</v>
      </c>
      <c r="E108" s="72">
        <f>SUMIF(History1!B:B, A108, History1!C:C)</f>
        <v>9</v>
      </c>
      <c r="F108" s="71" t="s">
        <v>2987</v>
      </c>
      <c r="H108" s="71" t="s">
        <v>2980</v>
      </c>
      <c r="J108" s="71" t="s">
        <v>3064</v>
      </c>
      <c r="K108" s="71" t="str">
        <f t="shared" si="2"/>
        <v>fp0138.jpeg</v>
      </c>
      <c r="L108" s="73" t="s">
        <v>1150</v>
      </c>
    </row>
    <row r="109" spans="1:12" ht="207.6" customHeight="1">
      <c r="A109" s="55" t="s">
        <v>150</v>
      </c>
      <c r="B109" s="67" t="s">
        <v>3166</v>
      </c>
      <c r="C109" s="71" t="s">
        <v>3156</v>
      </c>
      <c r="E109" s="72">
        <f>SUMIF(History1!B:B, A109, History1!C:C)</f>
        <v>8</v>
      </c>
      <c r="F109" s="71" t="s">
        <v>2987</v>
      </c>
      <c r="H109" s="71" t="s">
        <v>2980</v>
      </c>
      <c r="J109" s="71" t="s">
        <v>3073</v>
      </c>
      <c r="K109" s="71" t="str">
        <f t="shared" si="2"/>
        <v>fp0139.jpeg</v>
      </c>
      <c r="L109" s="73" t="s">
        <v>1151</v>
      </c>
    </row>
    <row r="110" spans="1:12" ht="207.6" customHeight="1">
      <c r="A110" s="55" t="s">
        <v>151</v>
      </c>
      <c r="B110" s="67" t="s">
        <v>3167</v>
      </c>
      <c r="C110" s="71" t="s">
        <v>3156</v>
      </c>
      <c r="E110" s="72">
        <f>SUMIF(History1!B:B, A110, History1!C:C)</f>
        <v>9</v>
      </c>
      <c r="F110" s="71" t="s">
        <v>2987</v>
      </c>
      <c r="H110" s="71" t="s">
        <v>2980</v>
      </c>
      <c r="J110" s="71" t="s">
        <v>3066</v>
      </c>
      <c r="K110" s="71" t="str">
        <f t="shared" si="2"/>
        <v>fp0140.jpeg</v>
      </c>
      <c r="L110" s="73" t="s">
        <v>1152</v>
      </c>
    </row>
    <row r="111" spans="1:12" ht="207.6" customHeight="1">
      <c r="A111" s="55" t="s">
        <v>153</v>
      </c>
      <c r="B111" s="67" t="s">
        <v>3168</v>
      </c>
      <c r="C111" s="71" t="s">
        <v>3156</v>
      </c>
      <c r="E111" s="72">
        <f>SUMIF(History1!B:B, A111, History1!C:C)</f>
        <v>60</v>
      </c>
      <c r="F111" s="71" t="s">
        <v>3062</v>
      </c>
      <c r="H111" s="71" t="s">
        <v>2980</v>
      </c>
      <c r="J111" s="71" t="s">
        <v>3077</v>
      </c>
      <c r="K111" s="71" t="str">
        <f t="shared" si="2"/>
        <v>fp0142.jpeg</v>
      </c>
      <c r="L111" s="73" t="s">
        <v>1154</v>
      </c>
    </row>
    <row r="112" spans="1:12" ht="207.6" customHeight="1">
      <c r="A112" s="55" t="s">
        <v>154</v>
      </c>
      <c r="B112" s="67" t="s">
        <v>3169</v>
      </c>
      <c r="C112" s="71" t="s">
        <v>3156</v>
      </c>
      <c r="E112" s="72">
        <f>SUMIF(History1!B:B, A112, History1!C:C)</f>
        <v>49</v>
      </c>
      <c r="F112" s="71" t="s">
        <v>3062</v>
      </c>
      <c r="H112" s="71" t="s">
        <v>2980</v>
      </c>
      <c r="J112" s="71" t="s">
        <v>3078</v>
      </c>
      <c r="K112" s="71" t="str">
        <f t="shared" si="2"/>
        <v>fp0143.jpeg</v>
      </c>
      <c r="L112" s="73" t="s">
        <v>1155</v>
      </c>
    </row>
    <row r="113" spans="1:17" ht="207.6" customHeight="1">
      <c r="A113" s="55" t="s">
        <v>155</v>
      </c>
      <c r="B113" s="67" t="s">
        <v>3170</v>
      </c>
      <c r="C113" s="71" t="s">
        <v>3156</v>
      </c>
      <c r="E113" s="72">
        <f>SUMIF(History1!B:B, A113, History1!C:C)</f>
        <v>68</v>
      </c>
      <c r="F113" s="71" t="s">
        <v>3062</v>
      </c>
      <c r="H113" s="71" t="s">
        <v>2980</v>
      </c>
      <c r="J113" s="71" t="s">
        <v>3074</v>
      </c>
      <c r="K113" s="71" t="str">
        <f t="shared" si="2"/>
        <v>fp0144.jpeg</v>
      </c>
      <c r="L113" s="73" t="s">
        <v>1156</v>
      </c>
    </row>
    <row r="114" spans="1:17" ht="207.6" customHeight="1">
      <c r="A114" s="55" t="s">
        <v>159</v>
      </c>
      <c r="B114" s="67" t="s">
        <v>3171</v>
      </c>
      <c r="C114" s="71" t="s">
        <v>3156</v>
      </c>
      <c r="E114" s="72">
        <f>SUMIF(History1!B:B, A114, History1!C:C)</f>
        <v>25</v>
      </c>
      <c r="F114" s="71" t="s">
        <v>3082</v>
      </c>
      <c r="H114" s="71" t="s">
        <v>2980</v>
      </c>
      <c r="J114" s="71" t="s">
        <v>3080</v>
      </c>
      <c r="K114" s="71" t="str">
        <f t="shared" si="2"/>
        <v>fp0148.jpeg</v>
      </c>
      <c r="L114" s="73" t="s">
        <v>1160</v>
      </c>
    </row>
    <row r="115" spans="1:17" ht="207.6" customHeight="1">
      <c r="A115" s="55" t="s">
        <v>160</v>
      </c>
      <c r="B115" s="67" t="s">
        <v>3172</v>
      </c>
      <c r="C115" s="71" t="s">
        <v>3156</v>
      </c>
      <c r="E115" s="72">
        <f>SUMIF(History1!B:B, A115, History1!C:C)</f>
        <v>25</v>
      </c>
      <c r="F115" s="71" t="s">
        <v>3024</v>
      </c>
      <c r="H115" s="71" t="s">
        <v>2980</v>
      </c>
      <c r="J115" s="71" t="s">
        <v>3080</v>
      </c>
      <c r="K115" s="71" t="str">
        <f t="shared" si="2"/>
        <v>fp0149.jpeg</v>
      </c>
      <c r="L115" s="73" t="s">
        <v>1161</v>
      </c>
    </row>
    <row r="116" spans="1:17" ht="207.6" customHeight="1">
      <c r="A116" s="55" t="s">
        <v>161</v>
      </c>
      <c r="B116" s="67" t="s">
        <v>3173</v>
      </c>
      <c r="C116" s="71" t="s">
        <v>3156</v>
      </c>
      <c r="E116" s="72">
        <f>SUMIF(History1!B:B, A116, History1!C:C)</f>
        <v>16</v>
      </c>
      <c r="F116" s="71" t="s">
        <v>3024</v>
      </c>
      <c r="H116" s="71" t="s">
        <v>2980</v>
      </c>
      <c r="J116" s="71" t="s">
        <v>3080</v>
      </c>
      <c r="K116" s="71" t="str">
        <f t="shared" si="2"/>
        <v>fp0150.jpeg</v>
      </c>
      <c r="L116" s="73" t="s">
        <v>1162</v>
      </c>
    </row>
    <row r="117" spans="1:17" ht="207.6" customHeight="1">
      <c r="A117" s="55" t="s">
        <v>176</v>
      </c>
      <c r="B117" s="67" t="s">
        <v>3174</v>
      </c>
      <c r="C117" s="71" t="s">
        <v>3156</v>
      </c>
      <c r="E117" s="72">
        <f>SUMIF(History1!B:B, A117, History1!C:C)</f>
        <v>21</v>
      </c>
      <c r="F117" s="71" t="s">
        <v>3044</v>
      </c>
      <c r="H117" s="71" t="s">
        <v>2980</v>
      </c>
      <c r="J117" s="71" t="s">
        <v>3074</v>
      </c>
      <c r="K117" s="71" t="str">
        <f t="shared" si="2"/>
        <v>fp0165.jpeg</v>
      </c>
      <c r="L117" s="73" t="s">
        <v>1177</v>
      </c>
    </row>
    <row r="118" spans="1:17" ht="207.6" customHeight="1">
      <c r="A118" s="55" t="s">
        <v>206</v>
      </c>
      <c r="B118" s="67" t="s">
        <v>3175</v>
      </c>
      <c r="C118" s="71" t="s">
        <v>3156</v>
      </c>
      <c r="E118" s="72">
        <f>SUMIF(History1!B:B, A118, History1!C:C)</f>
        <v>17</v>
      </c>
      <c r="F118" s="71" t="s">
        <v>3131</v>
      </c>
      <c r="H118" s="71" t="s">
        <v>2980</v>
      </c>
      <c r="J118" s="71" t="s">
        <v>3132</v>
      </c>
      <c r="K118" s="71" t="str">
        <f t="shared" si="2"/>
        <v>fp0195.jpeg</v>
      </c>
      <c r="L118" s="73" t="s">
        <v>1207</v>
      </c>
    </row>
    <row r="119" spans="1:17" ht="207.6" customHeight="1">
      <c r="A119" s="55" t="s">
        <v>76</v>
      </c>
      <c r="B119" s="67" t="s">
        <v>3176</v>
      </c>
      <c r="C119" s="71" t="s">
        <v>3013</v>
      </c>
      <c r="E119" s="72">
        <f>SUMIF(History1!B:B, A119, History1!C:C)</f>
        <v>9</v>
      </c>
      <c r="F119" s="71" t="s">
        <v>3012</v>
      </c>
      <c r="H119" s="71" t="s">
        <v>2980</v>
      </c>
      <c r="J119" s="71" t="s">
        <v>3009</v>
      </c>
      <c r="K119" s="71" t="s">
        <v>3011</v>
      </c>
      <c r="L119" s="73" t="s">
        <v>1077</v>
      </c>
      <c r="P119" s="85" t="s">
        <v>3265</v>
      </c>
      <c r="Q119" s="86" t="s">
        <v>3264</v>
      </c>
    </row>
    <row r="120" spans="1:17" ht="207.6" customHeight="1">
      <c r="A120" s="55" t="s">
        <v>77</v>
      </c>
      <c r="B120" s="67" t="s">
        <v>3177</v>
      </c>
      <c r="C120" s="71" t="s">
        <v>3013</v>
      </c>
      <c r="E120" s="72">
        <f>SUMIF(History1!B:B, A120, History1!C:C)</f>
        <v>5</v>
      </c>
      <c r="F120" s="71" t="s">
        <v>3014</v>
      </c>
      <c r="H120" s="71" t="s">
        <v>2980</v>
      </c>
      <c r="J120" s="71" t="s">
        <v>3015</v>
      </c>
      <c r="K120" s="71" t="s">
        <v>3016</v>
      </c>
      <c r="L120" s="73" t="s">
        <v>1078</v>
      </c>
    </row>
    <row r="121" spans="1:17" ht="207.6" customHeight="1">
      <c r="A121" s="55" t="s">
        <v>78</v>
      </c>
      <c r="B121" s="67" t="s">
        <v>3178</v>
      </c>
      <c r="C121" s="71" t="s">
        <v>3013</v>
      </c>
      <c r="E121" s="72">
        <f>SUMIF(History1!B:B, A121, History1!C:C)</f>
        <v>12</v>
      </c>
      <c r="F121" s="71" t="s">
        <v>3018</v>
      </c>
      <c r="H121" s="71" t="s">
        <v>2980</v>
      </c>
      <c r="J121" s="71" t="s">
        <v>3019</v>
      </c>
      <c r="K121" s="71" t="s">
        <v>3017</v>
      </c>
      <c r="L121" s="73" t="s">
        <v>1079</v>
      </c>
    </row>
    <row r="122" spans="1:17" ht="207.6" customHeight="1">
      <c r="A122" s="55" t="s">
        <v>81</v>
      </c>
      <c r="B122" s="67" t="s">
        <v>3179</v>
      </c>
      <c r="C122" s="71" t="s">
        <v>3013</v>
      </c>
      <c r="E122" s="72">
        <f>SUMIF(History1!B:B, A122, History1!C:C)</f>
        <v>27</v>
      </c>
      <c r="F122" s="71" t="s">
        <v>3024</v>
      </c>
      <c r="H122" s="71" t="s">
        <v>2980</v>
      </c>
      <c r="J122" s="71" t="s">
        <v>3025</v>
      </c>
      <c r="K122" s="71" t="s">
        <v>3023</v>
      </c>
      <c r="L122" s="73" t="s">
        <v>1082</v>
      </c>
    </row>
    <row r="123" spans="1:17" ht="207.6" customHeight="1">
      <c r="A123" s="55" t="s">
        <v>84</v>
      </c>
      <c r="B123" s="67" t="s">
        <v>3180</v>
      </c>
      <c r="C123" s="71" t="s">
        <v>3013</v>
      </c>
      <c r="E123" s="72">
        <f>SUMIF(History1!B:B, A123, History1!C:C)</f>
        <v>20</v>
      </c>
      <c r="F123" s="71" t="s">
        <v>2987</v>
      </c>
      <c r="H123" s="71" t="s">
        <v>2980</v>
      </c>
      <c r="J123" s="71" t="s">
        <v>3030</v>
      </c>
      <c r="K123" s="71" t="s">
        <v>3042</v>
      </c>
      <c r="L123" s="75" t="s">
        <v>1085</v>
      </c>
    </row>
    <row r="124" spans="1:17" ht="207.6" customHeight="1">
      <c r="A124" s="55" t="s">
        <v>91</v>
      </c>
      <c r="B124" s="67" t="s">
        <v>3181</v>
      </c>
      <c r="C124" s="71" t="s">
        <v>3013</v>
      </c>
      <c r="E124" s="72">
        <f>SUMIF(History1!B:B, A124, History1!C:C)</f>
        <v>42</v>
      </c>
      <c r="F124" s="71" t="s">
        <v>2987</v>
      </c>
      <c r="H124" s="71" t="s">
        <v>2980</v>
      </c>
      <c r="J124" s="71" t="s">
        <v>3033</v>
      </c>
      <c r="K124" s="71" t="str">
        <f t="shared" ref="K124:K137" si="3">LOWER(A124)&amp;".jpeg"</f>
        <v>fp0080.jpeg</v>
      </c>
      <c r="L124" s="73" t="s">
        <v>1092</v>
      </c>
    </row>
    <row r="125" spans="1:17" ht="207.6" customHeight="1">
      <c r="A125" s="55" t="s">
        <v>93</v>
      </c>
      <c r="B125" s="67" t="s">
        <v>3182</v>
      </c>
      <c r="C125" s="71" t="s">
        <v>3013</v>
      </c>
      <c r="E125" s="72">
        <f>SUMIF(History1!B:B, A125, History1!C:C)</f>
        <v>9</v>
      </c>
      <c r="F125" s="71" t="s">
        <v>3044</v>
      </c>
      <c r="H125" s="71" t="s">
        <v>2980</v>
      </c>
      <c r="J125" s="71" t="s">
        <v>3045</v>
      </c>
      <c r="K125" s="71" t="str">
        <f t="shared" si="3"/>
        <v>fp0082.jpeg</v>
      </c>
      <c r="L125" s="73" t="s">
        <v>1094</v>
      </c>
    </row>
    <row r="126" spans="1:17" ht="207.6" customHeight="1">
      <c r="A126" s="55" t="s">
        <v>100</v>
      </c>
      <c r="B126" s="67" t="s">
        <v>3183</v>
      </c>
      <c r="C126" s="71" t="s">
        <v>3013</v>
      </c>
      <c r="E126" s="72">
        <f>SUMIF(History1!B:B, A126, History1!C:C)</f>
        <v>15</v>
      </c>
      <c r="F126" s="71" t="s">
        <v>2987</v>
      </c>
      <c r="H126" s="71" t="s">
        <v>2980</v>
      </c>
      <c r="J126" s="71" t="s">
        <v>3054</v>
      </c>
      <c r="K126" s="71" t="str">
        <f t="shared" si="3"/>
        <v>fp0089.jpeg</v>
      </c>
      <c r="L126" s="73" t="s">
        <v>1101</v>
      </c>
    </row>
    <row r="127" spans="1:17" ht="207.6" customHeight="1">
      <c r="A127" s="55" t="s">
        <v>101</v>
      </c>
      <c r="B127" s="67" t="s">
        <v>3184</v>
      </c>
      <c r="C127" s="71" t="s">
        <v>3013</v>
      </c>
      <c r="E127" s="72">
        <f>SUMIF(History1!B:B, A127, History1!C:C)</f>
        <v>64</v>
      </c>
      <c r="F127" s="71" t="s">
        <v>2987</v>
      </c>
      <c r="H127" s="71" t="s">
        <v>2980</v>
      </c>
      <c r="J127" s="71" t="s">
        <v>3015</v>
      </c>
      <c r="K127" s="71" t="str">
        <f t="shared" si="3"/>
        <v>fp0090.jpeg</v>
      </c>
      <c r="L127" s="73" t="s">
        <v>1102</v>
      </c>
    </row>
    <row r="128" spans="1:17" ht="207.6" customHeight="1">
      <c r="A128" s="55" t="s">
        <v>102</v>
      </c>
      <c r="B128" s="67" t="s">
        <v>3185</v>
      </c>
      <c r="C128" s="71" t="s">
        <v>3013</v>
      </c>
      <c r="E128" s="72">
        <f>SUMIF(History1!B:B, A128, History1!C:C)</f>
        <v>7</v>
      </c>
      <c r="F128" s="71" t="s">
        <v>2987</v>
      </c>
      <c r="H128" s="71" t="s">
        <v>2980</v>
      </c>
      <c r="J128" s="71" t="s">
        <v>3015</v>
      </c>
      <c r="K128" s="71" t="str">
        <f t="shared" si="3"/>
        <v>fp0091.jpeg</v>
      </c>
      <c r="L128" s="73" t="s">
        <v>1103</v>
      </c>
    </row>
    <row r="129" spans="1:17" ht="207.6" customHeight="1">
      <c r="A129" s="55" t="s">
        <v>103</v>
      </c>
      <c r="B129" s="67" t="s">
        <v>3186</v>
      </c>
      <c r="C129" s="71" t="s">
        <v>3013</v>
      </c>
      <c r="E129" s="72">
        <f>SUMIF(History1!B:B, A129, History1!C:C)</f>
        <v>5</v>
      </c>
      <c r="F129" s="71" t="s">
        <v>2987</v>
      </c>
      <c r="H129" s="71" t="s">
        <v>2980</v>
      </c>
      <c r="J129" s="71" t="s">
        <v>3015</v>
      </c>
      <c r="K129" s="71" t="str">
        <f t="shared" si="3"/>
        <v>fp0092.jpeg</v>
      </c>
      <c r="L129" s="73" t="s">
        <v>1104</v>
      </c>
    </row>
    <row r="130" spans="1:17" ht="207.6" customHeight="1">
      <c r="A130" s="55" t="s">
        <v>104</v>
      </c>
      <c r="B130" s="67" t="s">
        <v>3187</v>
      </c>
      <c r="C130" s="71" t="s">
        <v>3013</v>
      </c>
      <c r="E130" s="72">
        <f>SUMIF(History1!B:B, A130, History1!C:C)</f>
        <v>7</v>
      </c>
      <c r="F130" s="71" t="s">
        <v>2987</v>
      </c>
      <c r="H130" s="71" t="s">
        <v>2980</v>
      </c>
      <c r="J130" s="71" t="s">
        <v>3015</v>
      </c>
      <c r="K130" s="71" t="str">
        <f t="shared" si="3"/>
        <v>fp0093.jpeg</v>
      </c>
      <c r="L130" s="73" t="s">
        <v>1105</v>
      </c>
    </row>
    <row r="131" spans="1:17" ht="207.6" customHeight="1">
      <c r="A131" s="55" t="s">
        <v>105</v>
      </c>
      <c r="B131" s="67" t="s">
        <v>3188</v>
      </c>
      <c r="C131" s="71" t="s">
        <v>3013</v>
      </c>
      <c r="E131" s="72">
        <f>SUMIF(History1!B:B, A131, History1!C:C)</f>
        <v>14</v>
      </c>
      <c r="F131" s="71" t="s">
        <v>2987</v>
      </c>
      <c r="H131" s="71" t="s">
        <v>2980</v>
      </c>
      <c r="J131" s="71" t="s">
        <v>3015</v>
      </c>
      <c r="K131" s="71" t="str">
        <f t="shared" si="3"/>
        <v>fp0094.jpeg</v>
      </c>
      <c r="L131" s="73" t="s">
        <v>1106</v>
      </c>
    </row>
    <row r="132" spans="1:17" ht="207.6" customHeight="1">
      <c r="A132" s="55" t="s">
        <v>106</v>
      </c>
      <c r="B132" s="67" t="s">
        <v>3189</v>
      </c>
      <c r="C132" s="71" t="s">
        <v>3013</v>
      </c>
      <c r="E132" s="72">
        <f>SUMIF(History1!B:B, A132, History1!C:C)</f>
        <v>7</v>
      </c>
      <c r="F132" s="71" t="s">
        <v>3056</v>
      </c>
      <c r="H132" s="71" t="s">
        <v>2980</v>
      </c>
      <c r="J132" s="71" t="s">
        <v>3055</v>
      </c>
      <c r="K132" s="71" t="str">
        <f t="shared" si="3"/>
        <v>fp0095.jpeg</v>
      </c>
      <c r="L132" s="73" t="s">
        <v>1107</v>
      </c>
    </row>
    <row r="133" spans="1:17" ht="207.6" customHeight="1">
      <c r="A133" s="55" t="s">
        <v>107</v>
      </c>
      <c r="B133" s="67" t="s">
        <v>3190</v>
      </c>
      <c r="C133" s="71" t="s">
        <v>3013</v>
      </c>
      <c r="E133" s="72">
        <f>SUMIF(History1!B:B, A133, History1!C:C)</f>
        <v>7</v>
      </c>
      <c r="F133" s="71" t="s">
        <v>3056</v>
      </c>
      <c r="H133" s="71" t="s">
        <v>2980</v>
      </c>
      <c r="J133" s="71" t="s">
        <v>3055</v>
      </c>
      <c r="K133" s="71" t="str">
        <f t="shared" si="3"/>
        <v>fp0096.jpeg</v>
      </c>
      <c r="L133" s="73" t="s">
        <v>1108</v>
      </c>
    </row>
    <row r="134" spans="1:17" ht="207.6" customHeight="1">
      <c r="A134" s="55" t="s">
        <v>108</v>
      </c>
      <c r="B134" s="67" t="s">
        <v>3191</v>
      </c>
      <c r="C134" s="71" t="s">
        <v>3013</v>
      </c>
      <c r="E134" s="72">
        <v>3</v>
      </c>
      <c r="F134" s="71" t="s">
        <v>3057</v>
      </c>
      <c r="H134" s="71" t="s">
        <v>2980</v>
      </c>
      <c r="J134" s="71" t="s">
        <v>3064</v>
      </c>
      <c r="K134" s="71" t="str">
        <f t="shared" si="3"/>
        <v>fp0097.jpeg</v>
      </c>
      <c r="L134" s="75" t="s">
        <v>1109</v>
      </c>
    </row>
    <row r="135" spans="1:17" ht="207.6" customHeight="1">
      <c r="A135" s="55" t="s">
        <v>109</v>
      </c>
      <c r="B135" s="67" t="s">
        <v>3192</v>
      </c>
      <c r="C135" s="71" t="s">
        <v>3013</v>
      </c>
      <c r="E135" s="72">
        <f>SUMIF(History1!B:B, A135, History1!C:C)</f>
        <v>85</v>
      </c>
      <c r="F135" s="71" t="s">
        <v>3058</v>
      </c>
      <c r="H135" s="71" t="s">
        <v>2980</v>
      </c>
      <c r="J135" s="71" t="s">
        <v>3059</v>
      </c>
      <c r="K135" s="71" t="str">
        <f t="shared" si="3"/>
        <v>fp0098.jpeg</v>
      </c>
      <c r="L135" s="73" t="s">
        <v>1110</v>
      </c>
      <c r="P135" s="85" t="s">
        <v>3266</v>
      </c>
      <c r="Q135" s="86" t="s">
        <v>3267</v>
      </c>
    </row>
    <row r="136" spans="1:17" ht="207.6" customHeight="1">
      <c r="A136" s="55" t="s">
        <v>115</v>
      </c>
      <c r="B136" s="67" t="s">
        <v>3193</v>
      </c>
      <c r="C136" s="71" t="s">
        <v>3013</v>
      </c>
      <c r="E136" s="72">
        <f>SUMIF(History1!B:B, A136, History1!C:C)</f>
        <v>2</v>
      </c>
      <c r="F136" s="71" t="s">
        <v>3062</v>
      </c>
      <c r="H136" s="71" t="s">
        <v>2980</v>
      </c>
      <c r="J136" s="71" t="s">
        <v>3064</v>
      </c>
      <c r="K136" s="71" t="str">
        <f t="shared" si="3"/>
        <v>fp0104.jpeg</v>
      </c>
      <c r="L136" s="73" t="s">
        <v>1116</v>
      </c>
    </row>
    <row r="137" spans="1:17" ht="207.6" customHeight="1">
      <c r="A137" s="55" t="s">
        <v>116</v>
      </c>
      <c r="B137" s="67" t="s">
        <v>3194</v>
      </c>
      <c r="C137" s="71" t="s">
        <v>3013</v>
      </c>
      <c r="E137" s="72">
        <f>SUMIF(History1!B:B, A137, History1!C:C)</f>
        <v>4</v>
      </c>
      <c r="F137" s="71" t="s">
        <v>3057</v>
      </c>
      <c r="H137" s="71" t="s">
        <v>2980</v>
      </c>
      <c r="J137" s="71" t="s">
        <v>3065</v>
      </c>
      <c r="K137" s="71" t="str">
        <f t="shared" si="3"/>
        <v>fp0105.jpeg</v>
      </c>
      <c r="L137" s="73" t="s">
        <v>1117</v>
      </c>
    </row>
    <row r="138" spans="1:17" ht="207.6" customHeight="1">
      <c r="A138" s="55" t="s">
        <v>82</v>
      </c>
      <c r="B138" s="67" t="s">
        <v>3195</v>
      </c>
      <c r="C138" s="71" t="s">
        <v>3027</v>
      </c>
      <c r="E138" s="72">
        <f>SUMIF(History1!B:B, A138, History1!C:C)</f>
        <v>7</v>
      </c>
      <c r="F138" s="71" t="s">
        <v>3028</v>
      </c>
      <c r="H138" s="71" t="s">
        <v>2980</v>
      </c>
      <c r="J138" s="71" t="s">
        <v>3025</v>
      </c>
      <c r="K138" s="71" t="s">
        <v>3026</v>
      </c>
      <c r="L138" s="73" t="s">
        <v>1083</v>
      </c>
    </row>
    <row r="139" spans="1:17" ht="207.6" customHeight="1">
      <c r="A139" s="55" t="s">
        <v>92</v>
      </c>
      <c r="B139" s="67" t="s">
        <v>3196</v>
      </c>
      <c r="C139" s="71" t="s">
        <v>3027</v>
      </c>
      <c r="E139" s="72">
        <f>SUMIF(History1!B:B, A139, History1!C:C)</f>
        <v>4</v>
      </c>
      <c r="F139" s="71" t="s">
        <v>3044</v>
      </c>
      <c r="H139" s="71" t="s">
        <v>2980</v>
      </c>
      <c r="J139" s="71" t="s">
        <v>3045</v>
      </c>
      <c r="K139" s="71" t="str">
        <f t="shared" ref="K139:K164" si="4">LOWER(A139)&amp;".jpeg"</f>
        <v>fp0081.jpeg</v>
      </c>
      <c r="L139" s="73" t="s">
        <v>1093</v>
      </c>
    </row>
    <row r="140" spans="1:17" ht="207.6" customHeight="1">
      <c r="A140" s="55" t="s">
        <v>128</v>
      </c>
      <c r="B140" s="67" t="s">
        <v>3197</v>
      </c>
      <c r="C140" s="71" t="s">
        <v>3027</v>
      </c>
      <c r="E140" s="72">
        <f>SUMIF(History1!B:B, A140, History1!C:C)</f>
        <v>0</v>
      </c>
      <c r="F140" s="71" t="s">
        <v>3061</v>
      </c>
      <c r="H140" s="71" t="s">
        <v>2980</v>
      </c>
      <c r="J140" s="71" t="s">
        <v>3066</v>
      </c>
      <c r="K140" s="71" t="str">
        <f t="shared" si="4"/>
        <v>fp0117.jpeg</v>
      </c>
      <c r="L140" s="73" t="s">
        <v>1129</v>
      </c>
    </row>
    <row r="141" spans="1:17" ht="207.6" customHeight="1">
      <c r="A141" s="55" t="s">
        <v>152</v>
      </c>
      <c r="B141" s="67" t="s">
        <v>3198</v>
      </c>
      <c r="C141" s="71" t="s">
        <v>3027</v>
      </c>
      <c r="E141" s="72">
        <f>SUMIF(History1!B:B, A141, History1!C:C)</f>
        <v>0</v>
      </c>
      <c r="F141" s="71" t="s">
        <v>2987</v>
      </c>
      <c r="H141" s="71" t="s">
        <v>2980</v>
      </c>
      <c r="J141" s="71" t="s">
        <v>3076</v>
      </c>
      <c r="K141" s="71" t="str">
        <f t="shared" si="4"/>
        <v>fp0141.jpeg</v>
      </c>
      <c r="L141" s="73" t="s">
        <v>1153</v>
      </c>
    </row>
    <row r="142" spans="1:17" ht="207.6" customHeight="1">
      <c r="A142" s="55" t="s">
        <v>187</v>
      </c>
      <c r="B142" s="67" t="s">
        <v>3199</v>
      </c>
      <c r="C142" s="71" t="s">
        <v>3027</v>
      </c>
      <c r="E142" s="72">
        <f>SUMIF(History1!B:B, A142, History1!C:C)</f>
        <v>0</v>
      </c>
      <c r="F142" s="71" t="s">
        <v>3074</v>
      </c>
      <c r="H142" s="71" t="s">
        <v>2980</v>
      </c>
      <c r="J142" s="71" t="s">
        <v>3100</v>
      </c>
      <c r="K142" s="71" t="str">
        <f t="shared" si="4"/>
        <v>fp0176.jpeg</v>
      </c>
      <c r="L142" s="73" t="s">
        <v>1188</v>
      </c>
    </row>
    <row r="143" spans="1:17" ht="207.6" customHeight="1">
      <c r="A143" s="55" t="s">
        <v>189</v>
      </c>
      <c r="B143" s="67" t="s">
        <v>3200</v>
      </c>
      <c r="C143" s="71" t="s">
        <v>3027</v>
      </c>
      <c r="E143" s="72">
        <f>SUMIF(History1!B:B, A143, History1!C:C)</f>
        <v>0</v>
      </c>
      <c r="F143" s="71" t="s">
        <v>2987</v>
      </c>
      <c r="H143" s="71" t="s">
        <v>2980</v>
      </c>
      <c r="J143" s="71" t="s">
        <v>3074</v>
      </c>
      <c r="K143" s="71" t="str">
        <f t="shared" si="4"/>
        <v>fp0178.jpeg</v>
      </c>
      <c r="L143" s="73" t="s">
        <v>1190</v>
      </c>
    </row>
    <row r="144" spans="1:17" ht="207.6" customHeight="1">
      <c r="A144" s="55" t="s">
        <v>191</v>
      </c>
      <c r="B144" s="67" t="s">
        <v>3201</v>
      </c>
      <c r="C144" s="71" t="s">
        <v>3027</v>
      </c>
      <c r="E144" s="72">
        <f>SUMIF(History1!B:B, A144, History1!C:C)</f>
        <v>0</v>
      </c>
      <c r="F144" s="71" t="s">
        <v>3074</v>
      </c>
      <c r="H144" s="71" t="s">
        <v>2980</v>
      </c>
      <c r="J144" s="71" t="s">
        <v>3100</v>
      </c>
      <c r="K144" s="71" t="str">
        <f t="shared" si="4"/>
        <v>fp0180.jpeg</v>
      </c>
      <c r="L144" s="73" t="s">
        <v>1192</v>
      </c>
    </row>
    <row r="145" spans="1:12" ht="207.6" customHeight="1">
      <c r="A145" s="55" t="s">
        <v>124</v>
      </c>
      <c r="B145" s="67" t="s">
        <v>3202</v>
      </c>
      <c r="C145" s="71" t="s">
        <v>3070</v>
      </c>
      <c r="E145" s="72">
        <f>SUMIF(History1!B:B, A145, History1!C:C)</f>
        <v>39</v>
      </c>
      <c r="F145" s="71" t="s">
        <v>3061</v>
      </c>
      <c r="H145" s="71" t="s">
        <v>2980</v>
      </c>
      <c r="J145" s="71" t="s">
        <v>3064</v>
      </c>
      <c r="K145" s="71" t="str">
        <f t="shared" si="4"/>
        <v>fp0113.jpeg</v>
      </c>
      <c r="L145" s="73" t="s">
        <v>1125</v>
      </c>
    </row>
    <row r="146" spans="1:12" ht="207.6" customHeight="1">
      <c r="A146" s="55" t="s">
        <v>137</v>
      </c>
      <c r="B146" s="67" t="s">
        <v>3203</v>
      </c>
      <c r="C146" s="71" t="s">
        <v>3070</v>
      </c>
      <c r="E146" s="72">
        <f>SUMIF(History1!B:B, A146, History1!C:C)</f>
        <v>15</v>
      </c>
      <c r="F146" s="71" t="s">
        <v>3061</v>
      </c>
      <c r="H146" s="71" t="s">
        <v>2980</v>
      </c>
      <c r="K146" s="71" t="str">
        <f t="shared" si="4"/>
        <v>fp0126.jpeg</v>
      </c>
      <c r="L146" s="73" t="s">
        <v>1138</v>
      </c>
    </row>
    <row r="147" spans="1:12" ht="207.6" customHeight="1">
      <c r="A147" s="55" t="s">
        <v>138</v>
      </c>
      <c r="B147" s="67" t="s">
        <v>3204</v>
      </c>
      <c r="C147" s="71" t="s">
        <v>3070</v>
      </c>
      <c r="E147" s="72">
        <f>SUMIF(History1!B:B, A147, History1!C:C)</f>
        <v>15</v>
      </c>
      <c r="F147" s="71" t="s">
        <v>3061</v>
      </c>
      <c r="H147" s="71" t="s">
        <v>2980</v>
      </c>
      <c r="K147" s="71" t="str">
        <f t="shared" si="4"/>
        <v>fp0127.jpeg</v>
      </c>
      <c r="L147" s="73" t="s">
        <v>1139</v>
      </c>
    </row>
    <row r="148" spans="1:12" ht="207.6" customHeight="1">
      <c r="A148" s="55" t="s">
        <v>139</v>
      </c>
      <c r="B148" s="67" t="s">
        <v>3205</v>
      </c>
      <c r="C148" s="71" t="s">
        <v>3070</v>
      </c>
      <c r="E148" s="72">
        <f>SUMIF(History1!B:B, A148, History1!C:C)</f>
        <v>15</v>
      </c>
      <c r="F148" s="71" t="s">
        <v>3061</v>
      </c>
      <c r="H148" s="71" t="s">
        <v>2980</v>
      </c>
      <c r="K148" s="71" t="str">
        <f t="shared" si="4"/>
        <v>fp0128.jpeg</v>
      </c>
      <c r="L148" s="73" t="s">
        <v>1140</v>
      </c>
    </row>
    <row r="149" spans="1:12" ht="207.6" customHeight="1">
      <c r="A149" s="55" t="s">
        <v>140</v>
      </c>
      <c r="B149" s="67" t="s">
        <v>3206</v>
      </c>
      <c r="C149" s="71" t="s">
        <v>3070</v>
      </c>
      <c r="E149" s="72">
        <f>SUMIF(History1!B:B, A149, History1!C:C)</f>
        <v>15</v>
      </c>
      <c r="F149" s="71" t="s">
        <v>3061</v>
      </c>
      <c r="H149" s="71" t="s">
        <v>2980</v>
      </c>
      <c r="K149" s="71" t="str">
        <f t="shared" si="4"/>
        <v>fp0129.jpeg</v>
      </c>
      <c r="L149" s="73" t="s">
        <v>1141</v>
      </c>
    </row>
    <row r="150" spans="1:12" ht="207.6" customHeight="1">
      <c r="A150" s="55" t="s">
        <v>141</v>
      </c>
      <c r="B150" s="67" t="s">
        <v>3207</v>
      </c>
      <c r="C150" s="71" t="s">
        <v>3070</v>
      </c>
      <c r="E150" s="72">
        <f>SUMIF(History1!B:B, A150, History1!C:C)</f>
        <v>15</v>
      </c>
      <c r="F150" s="71" t="s">
        <v>3061</v>
      </c>
      <c r="H150" s="71" t="s">
        <v>2980</v>
      </c>
      <c r="K150" s="71" t="str">
        <f t="shared" si="4"/>
        <v>fp0130.jpeg</v>
      </c>
      <c r="L150" s="73" t="s">
        <v>1142</v>
      </c>
    </row>
    <row r="151" spans="1:12" ht="207.6" customHeight="1">
      <c r="A151" s="55" t="s">
        <v>142</v>
      </c>
      <c r="B151" s="67" t="s">
        <v>3208</v>
      </c>
      <c r="C151" s="71" t="s">
        <v>3070</v>
      </c>
      <c r="E151" s="72">
        <f>SUMIF(History1!B:B, A151, History1!C:C)</f>
        <v>15</v>
      </c>
      <c r="F151" s="71" t="s">
        <v>3061</v>
      </c>
      <c r="H151" s="71" t="s">
        <v>2980</v>
      </c>
      <c r="K151" s="71" t="str">
        <f t="shared" si="4"/>
        <v>fp0131.jpeg</v>
      </c>
      <c r="L151" s="73" t="s">
        <v>1143</v>
      </c>
    </row>
    <row r="152" spans="1:12" ht="207.6" customHeight="1">
      <c r="A152" s="55" t="s">
        <v>143</v>
      </c>
      <c r="B152" s="67" t="s">
        <v>3209</v>
      </c>
      <c r="C152" s="71" t="s">
        <v>3070</v>
      </c>
      <c r="E152" s="72">
        <f>SUMIF(History1!B:B, A152, History1!C:C)</f>
        <v>15</v>
      </c>
      <c r="F152" s="71" t="s">
        <v>3061</v>
      </c>
      <c r="H152" s="71" t="s">
        <v>2980</v>
      </c>
      <c r="K152" s="71" t="str">
        <f t="shared" si="4"/>
        <v>fp0132.jpeg</v>
      </c>
      <c r="L152" s="73" t="s">
        <v>1144</v>
      </c>
    </row>
    <row r="153" spans="1:12" ht="207.6" customHeight="1">
      <c r="A153" s="55" t="s">
        <v>186</v>
      </c>
      <c r="B153" s="67" t="s">
        <v>3210</v>
      </c>
      <c r="C153" s="71" t="s">
        <v>3070</v>
      </c>
      <c r="E153" s="72">
        <f>SUMIF(History1!B:B, A153, History1!C:C)</f>
        <v>50</v>
      </c>
      <c r="F153" s="71" t="s">
        <v>2987</v>
      </c>
      <c r="H153" s="71" t="s">
        <v>2980</v>
      </c>
      <c r="J153" s="71" t="s">
        <v>3100</v>
      </c>
      <c r="K153" s="71" t="str">
        <f t="shared" si="4"/>
        <v>fp0175.jpeg</v>
      </c>
      <c r="L153" s="73" t="s">
        <v>1187</v>
      </c>
    </row>
    <row r="154" spans="1:12" ht="207.6" customHeight="1">
      <c r="A154" s="55" t="s">
        <v>177</v>
      </c>
      <c r="B154" s="67" t="s">
        <v>3211</v>
      </c>
      <c r="C154" s="71" t="s">
        <v>3099</v>
      </c>
      <c r="E154" s="72">
        <f>SUMIF(History1!B:B, A154, History1!C:C)</f>
        <v>30</v>
      </c>
      <c r="F154" s="71" t="s">
        <v>2987</v>
      </c>
      <c r="H154" s="71" t="s">
        <v>2980</v>
      </c>
      <c r="K154" s="71" t="str">
        <f t="shared" si="4"/>
        <v>fp0166.jpeg</v>
      </c>
      <c r="L154" s="73" t="s">
        <v>1178</v>
      </c>
    </row>
    <row r="155" spans="1:12" ht="207.6" customHeight="1">
      <c r="A155" s="55" t="s">
        <v>178</v>
      </c>
      <c r="B155" s="67" t="s">
        <v>3212</v>
      </c>
      <c r="C155" s="71" t="s">
        <v>3099</v>
      </c>
      <c r="E155" s="72">
        <f>SUMIF(History1!B:B, A155, History1!C:C)</f>
        <v>40</v>
      </c>
      <c r="F155" s="71" t="s">
        <v>2987</v>
      </c>
      <c r="H155" s="71" t="s">
        <v>2980</v>
      </c>
      <c r="K155" s="71" t="str">
        <f t="shared" si="4"/>
        <v>fp0167.jpeg</v>
      </c>
      <c r="L155" s="73" t="s">
        <v>1179</v>
      </c>
    </row>
    <row r="156" spans="1:12" ht="207.6" customHeight="1">
      <c r="A156" s="55" t="s">
        <v>179</v>
      </c>
      <c r="B156" s="67" t="s">
        <v>3213</v>
      </c>
      <c r="C156" s="71" t="s">
        <v>3099</v>
      </c>
      <c r="E156" s="72">
        <f>SUMIF(History1!B:B, A156, History1!C:C)</f>
        <v>25</v>
      </c>
      <c r="F156" s="71" t="s">
        <v>2987</v>
      </c>
      <c r="H156" s="71" t="s">
        <v>2980</v>
      </c>
      <c r="K156" s="71" t="str">
        <f t="shared" si="4"/>
        <v>fp0168.jpeg</v>
      </c>
      <c r="L156" s="73" t="s">
        <v>1180</v>
      </c>
    </row>
    <row r="157" spans="1:12" ht="207.6" customHeight="1">
      <c r="A157" s="55" t="s">
        <v>180</v>
      </c>
      <c r="B157" s="67" t="s">
        <v>3214</v>
      </c>
      <c r="C157" s="71" t="s">
        <v>3099</v>
      </c>
      <c r="E157" s="72">
        <f>SUMIF(History1!B:B, A157, History1!C:C)</f>
        <v>40</v>
      </c>
      <c r="F157" s="71" t="s">
        <v>2987</v>
      </c>
      <c r="H157" s="71" t="s">
        <v>2980</v>
      </c>
      <c r="K157" s="71" t="str">
        <f t="shared" si="4"/>
        <v>fp0169.jpeg</v>
      </c>
      <c r="L157" s="73" t="s">
        <v>1181</v>
      </c>
    </row>
    <row r="158" spans="1:12" ht="207.6" customHeight="1">
      <c r="A158" s="55" t="s">
        <v>181</v>
      </c>
      <c r="B158" s="67" t="s">
        <v>3215</v>
      </c>
      <c r="C158" s="71" t="s">
        <v>3099</v>
      </c>
      <c r="E158" s="72">
        <f>SUMIF(History1!B:B, A158, History1!C:C)</f>
        <v>13</v>
      </c>
      <c r="F158" s="71" t="s">
        <v>3044</v>
      </c>
      <c r="H158" s="71" t="s">
        <v>2980</v>
      </c>
      <c r="K158" s="71" t="str">
        <f t="shared" si="4"/>
        <v>fp0170.jpeg</v>
      </c>
      <c r="L158" s="73" t="s">
        <v>1182</v>
      </c>
    </row>
    <row r="159" spans="1:12" ht="207.6" customHeight="1">
      <c r="A159" s="55" t="s">
        <v>182</v>
      </c>
      <c r="B159" s="67" t="s">
        <v>3216</v>
      </c>
      <c r="C159" s="71" t="s">
        <v>3099</v>
      </c>
      <c r="E159" s="72">
        <f>SUMIF(History1!B:B, A159, History1!C:C)</f>
        <v>17</v>
      </c>
      <c r="F159" s="71" t="s">
        <v>3044</v>
      </c>
      <c r="H159" s="71" t="s">
        <v>2980</v>
      </c>
      <c r="K159" s="71" t="str">
        <f t="shared" si="4"/>
        <v>fp0171.jpeg</v>
      </c>
      <c r="L159" s="73" t="s">
        <v>1183</v>
      </c>
    </row>
    <row r="160" spans="1:12" ht="207.6" customHeight="1">
      <c r="A160" s="55" t="s">
        <v>183</v>
      </c>
      <c r="B160" s="67" t="s">
        <v>3217</v>
      </c>
      <c r="C160" s="71" t="s">
        <v>3099</v>
      </c>
      <c r="E160" s="72">
        <f>SUMIF(History1!B:B, A160, History1!C:C)</f>
        <v>20</v>
      </c>
      <c r="F160" s="71" t="s">
        <v>2987</v>
      </c>
      <c r="H160" s="71" t="s">
        <v>2980</v>
      </c>
      <c r="K160" s="71" t="str">
        <f t="shared" si="4"/>
        <v>fp0172.jpeg</v>
      </c>
      <c r="L160" s="73" t="s">
        <v>1184</v>
      </c>
    </row>
    <row r="161" spans="1:12" ht="207.6" customHeight="1">
      <c r="A161" s="55" t="s">
        <v>184</v>
      </c>
      <c r="B161" s="67" t="s">
        <v>3218</v>
      </c>
      <c r="C161" s="71" t="s">
        <v>3099</v>
      </c>
      <c r="E161" s="72">
        <f>SUMIF(History1!B:B, A161, History1!C:C)</f>
        <v>8</v>
      </c>
      <c r="F161" s="71" t="s">
        <v>2987</v>
      </c>
      <c r="H161" s="71" t="s">
        <v>2980</v>
      </c>
      <c r="K161" s="71" t="str">
        <f t="shared" si="4"/>
        <v>fp0173.jpeg</v>
      </c>
      <c r="L161" s="73" t="s">
        <v>1185</v>
      </c>
    </row>
    <row r="162" spans="1:12" ht="207.6" customHeight="1">
      <c r="A162" s="55" t="s">
        <v>185</v>
      </c>
      <c r="B162" s="67" t="s">
        <v>3219</v>
      </c>
      <c r="C162" s="71" t="s">
        <v>3099</v>
      </c>
      <c r="E162" s="72">
        <f>SUMIF(History1!B:B, A162, History1!C:C)</f>
        <v>19</v>
      </c>
      <c r="F162" s="71" t="s">
        <v>3062</v>
      </c>
      <c r="H162" s="71" t="s">
        <v>2980</v>
      </c>
      <c r="K162" s="71" t="str">
        <f t="shared" si="4"/>
        <v>fp0174.jpeg</v>
      </c>
      <c r="L162" s="73" t="s">
        <v>1186</v>
      </c>
    </row>
    <row r="163" spans="1:12" ht="207.6" customHeight="1">
      <c r="A163" s="55" t="s">
        <v>188</v>
      </c>
      <c r="B163" s="67" t="s">
        <v>3220</v>
      </c>
      <c r="C163" s="71" t="s">
        <v>3099</v>
      </c>
      <c r="E163" s="72">
        <f>SUMIF(History1!B:B, A163, History1!C:C)</f>
        <v>50</v>
      </c>
      <c r="F163" s="71" t="s">
        <v>2987</v>
      </c>
      <c r="H163" s="71" t="s">
        <v>2980</v>
      </c>
      <c r="J163" s="71" t="s">
        <v>3066</v>
      </c>
      <c r="K163" s="71" t="str">
        <f t="shared" si="4"/>
        <v>fp0177.jpeg</v>
      </c>
      <c r="L163" s="73" t="s">
        <v>1189</v>
      </c>
    </row>
    <row r="164" spans="1:12" ht="207.6" customHeight="1">
      <c r="A164" s="55" t="s">
        <v>190</v>
      </c>
      <c r="B164" s="67" t="s">
        <v>3221</v>
      </c>
      <c r="C164" s="71" t="s">
        <v>3099</v>
      </c>
      <c r="E164" s="72">
        <f>SUMIF(History1!B:B, A164, History1!C:C)</f>
        <v>37</v>
      </c>
      <c r="F164" s="71" t="s">
        <v>2987</v>
      </c>
      <c r="H164" s="71" t="s">
        <v>2980</v>
      </c>
      <c r="J164" s="71" t="s">
        <v>3064</v>
      </c>
      <c r="K164" s="71" t="str">
        <f t="shared" si="4"/>
        <v>fp0179.jpeg</v>
      </c>
      <c r="L164" s="73" t="s">
        <v>1191</v>
      </c>
    </row>
    <row r="165" spans="1:12" ht="207.6" customHeight="1">
      <c r="A165" s="55" t="s">
        <v>62</v>
      </c>
      <c r="B165" s="67" t="s">
        <v>3222</v>
      </c>
      <c r="C165" s="71" t="s">
        <v>2986</v>
      </c>
      <c r="E165" s="72">
        <f>SUMIF(History1!B:B, A165, History1!C:C)</f>
        <v>85</v>
      </c>
      <c r="F165" s="71" t="s">
        <v>2979</v>
      </c>
      <c r="H165" s="71" t="s">
        <v>2980</v>
      </c>
      <c r="J165" s="71" t="s">
        <v>2981</v>
      </c>
      <c r="K165" s="71" t="s">
        <v>2982</v>
      </c>
      <c r="L165" s="75" t="s">
        <v>1063</v>
      </c>
    </row>
    <row r="166" spans="1:12" ht="207.6" customHeight="1">
      <c r="A166" s="55" t="s">
        <v>63</v>
      </c>
      <c r="B166" s="67" t="s">
        <v>3223</v>
      </c>
      <c r="C166" s="71" t="s">
        <v>2986</v>
      </c>
      <c r="E166" s="72">
        <f>SUMIF(History1!B:B, A166, History1!C:C)</f>
        <v>375</v>
      </c>
      <c r="F166" s="71" t="s">
        <v>2987</v>
      </c>
      <c r="H166" s="71" t="s">
        <v>2980</v>
      </c>
      <c r="J166" s="71" t="s">
        <v>2981</v>
      </c>
      <c r="K166" s="71" t="s">
        <v>2991</v>
      </c>
      <c r="L166" s="75" t="s">
        <v>1064</v>
      </c>
    </row>
    <row r="167" spans="1:12" ht="207.6" customHeight="1">
      <c r="A167" s="55" t="s">
        <v>64</v>
      </c>
      <c r="B167" s="67" t="s">
        <v>3224</v>
      </c>
      <c r="C167" s="71" t="s">
        <v>2986</v>
      </c>
      <c r="E167" s="72">
        <f>SUMIF(History1!B:B, A167, History1!C:C)</f>
        <v>80</v>
      </c>
      <c r="F167" s="71" t="s">
        <v>2987</v>
      </c>
      <c r="H167" s="71" t="s">
        <v>2980</v>
      </c>
      <c r="J167" s="71" t="s">
        <v>2981</v>
      </c>
      <c r="K167" s="71" t="s">
        <v>2992</v>
      </c>
      <c r="L167" s="73" t="s">
        <v>1065</v>
      </c>
    </row>
    <row r="168" spans="1:12" ht="207.6" customHeight="1">
      <c r="A168" s="55" t="s">
        <v>65</v>
      </c>
      <c r="B168" s="67" t="s">
        <v>3225</v>
      </c>
      <c r="C168" s="71" t="s">
        <v>2986</v>
      </c>
      <c r="E168" s="72">
        <f>SUMIF(History1!B:B, A168, History1!C:C)</f>
        <v>135</v>
      </c>
      <c r="F168" s="71" t="s">
        <v>2987</v>
      </c>
      <c r="H168" s="71" t="s">
        <v>2980</v>
      </c>
      <c r="J168" s="71" t="s">
        <v>2988</v>
      </c>
      <c r="K168" s="71" t="s">
        <v>2993</v>
      </c>
      <c r="L168" s="73" t="s">
        <v>1066</v>
      </c>
    </row>
    <row r="169" spans="1:12" ht="207.6" customHeight="1">
      <c r="A169" s="55" t="s">
        <v>66</v>
      </c>
      <c r="B169" s="67" t="s">
        <v>3226</v>
      </c>
      <c r="C169" s="71" t="s">
        <v>2986</v>
      </c>
      <c r="E169" s="72">
        <f>SUMIF(History1!B:B, A169, History1!C:C)</f>
        <v>20</v>
      </c>
      <c r="F169" s="71" t="s">
        <v>2987</v>
      </c>
      <c r="H169" s="71" t="s">
        <v>2980</v>
      </c>
      <c r="J169" s="71" t="s">
        <v>2989</v>
      </c>
      <c r="K169" s="71" t="s">
        <v>2994</v>
      </c>
      <c r="L169" s="75" t="s">
        <v>1067</v>
      </c>
    </row>
    <row r="170" spans="1:12" ht="207.6" customHeight="1">
      <c r="A170" s="55" t="s">
        <v>67</v>
      </c>
      <c r="B170" s="67" t="s">
        <v>3227</v>
      </c>
      <c r="C170" s="71" t="s">
        <v>2986</v>
      </c>
      <c r="E170" s="72">
        <f>SUMIF(History1!B:B, A170, History1!C:C)</f>
        <v>115</v>
      </c>
      <c r="F170" s="71" t="s">
        <v>2987</v>
      </c>
      <c r="H170" s="71" t="s">
        <v>2980</v>
      </c>
      <c r="J170" s="71" t="s">
        <v>2990</v>
      </c>
      <c r="K170" s="71" t="s">
        <v>2995</v>
      </c>
      <c r="L170" s="73" t="s">
        <v>1068</v>
      </c>
    </row>
    <row r="171" spans="1:12" ht="207.6" customHeight="1">
      <c r="A171" s="55" t="s">
        <v>68</v>
      </c>
      <c r="B171" s="67" t="s">
        <v>3228</v>
      </c>
      <c r="C171" s="71" t="s">
        <v>2986</v>
      </c>
      <c r="E171" s="72">
        <f>SUMIF(History1!B:B, A171, History1!C:C)</f>
        <v>110</v>
      </c>
      <c r="F171" s="71" t="s">
        <v>2987</v>
      </c>
      <c r="H171" s="71" t="s">
        <v>2980</v>
      </c>
      <c r="J171" s="71" t="s">
        <v>2997</v>
      </c>
      <c r="K171" s="71" t="s">
        <v>2996</v>
      </c>
      <c r="L171" s="73" t="s">
        <v>1069</v>
      </c>
    </row>
    <row r="172" spans="1:12" ht="207.6" customHeight="1">
      <c r="A172" s="55" t="s">
        <v>129</v>
      </c>
      <c r="B172" s="67" t="s">
        <v>3229</v>
      </c>
      <c r="C172" s="71" t="s">
        <v>2986</v>
      </c>
      <c r="E172" s="72">
        <f>SUMIF(History1!B:B, A172, History1!C:C)</f>
        <v>62</v>
      </c>
      <c r="F172" s="71" t="s">
        <v>3056</v>
      </c>
      <c r="H172" s="71" t="s">
        <v>2980</v>
      </c>
      <c r="J172" s="71" t="s">
        <v>3066</v>
      </c>
      <c r="K172" s="71" t="str">
        <f t="shared" ref="K172:K177" si="5">LOWER(A172)&amp;".jpeg"</f>
        <v>fp0118.jpeg</v>
      </c>
      <c r="L172" s="73" t="s">
        <v>1130</v>
      </c>
    </row>
    <row r="173" spans="1:12" ht="207.6" customHeight="1">
      <c r="A173" s="55" t="s">
        <v>130</v>
      </c>
      <c r="B173" s="67" t="s">
        <v>3230</v>
      </c>
      <c r="C173" s="71" t="s">
        <v>2986</v>
      </c>
      <c r="E173" s="72">
        <f>SUMIF(History1!B:B, A173, History1!C:C)</f>
        <v>43</v>
      </c>
      <c r="F173" s="71" t="s">
        <v>3072</v>
      </c>
      <c r="H173" s="71" t="s">
        <v>2980</v>
      </c>
      <c r="J173" s="71" t="s">
        <v>3066</v>
      </c>
      <c r="K173" s="71" t="str">
        <f t="shared" si="5"/>
        <v>fp0119.jpeg</v>
      </c>
      <c r="L173" s="73" t="s">
        <v>1131</v>
      </c>
    </row>
    <row r="174" spans="1:12" ht="207.6" customHeight="1">
      <c r="A174" s="55" t="s">
        <v>156</v>
      </c>
      <c r="B174" s="67" t="s">
        <v>3231</v>
      </c>
      <c r="C174" s="71" t="s">
        <v>2986</v>
      </c>
      <c r="E174" s="72">
        <f>SUMIF(History1!B:B, A174, History1!C:C)</f>
        <v>14</v>
      </c>
      <c r="F174" s="71" t="s">
        <v>3079</v>
      </c>
      <c r="H174" s="71" t="s">
        <v>2980</v>
      </c>
      <c r="J174" s="71" t="s">
        <v>3080</v>
      </c>
      <c r="K174" s="71" t="str">
        <f t="shared" si="5"/>
        <v>fp0145.jpeg</v>
      </c>
      <c r="L174" s="73" t="s">
        <v>1157</v>
      </c>
    </row>
    <row r="175" spans="1:12" ht="207.6" customHeight="1">
      <c r="A175" s="55" t="s">
        <v>157</v>
      </c>
      <c r="B175" s="67" t="s">
        <v>3232</v>
      </c>
      <c r="C175" s="71" t="s">
        <v>2986</v>
      </c>
      <c r="E175" s="72">
        <f>SUMIF(History1!B:B, A175, History1!C:C)</f>
        <v>19</v>
      </c>
      <c r="F175" s="71" t="s">
        <v>3079</v>
      </c>
      <c r="H175" s="71" t="s">
        <v>2980</v>
      </c>
      <c r="J175" s="71" t="s">
        <v>3080</v>
      </c>
      <c r="K175" s="71" t="str">
        <f t="shared" si="5"/>
        <v>fp0146.jpeg</v>
      </c>
      <c r="L175" s="73" t="s">
        <v>1158</v>
      </c>
    </row>
    <row r="176" spans="1:12" ht="207.6" customHeight="1">
      <c r="A176" s="55" t="s">
        <v>158</v>
      </c>
      <c r="B176" s="67" t="s">
        <v>3233</v>
      </c>
      <c r="C176" s="71" t="s">
        <v>2986</v>
      </c>
      <c r="E176" s="72">
        <f>SUMIF(History1!B:B, A176, History1!C:C)</f>
        <v>15</v>
      </c>
      <c r="F176" s="71" t="s">
        <v>3081</v>
      </c>
      <c r="H176" s="71" t="s">
        <v>2980</v>
      </c>
      <c r="J176" s="71" t="s">
        <v>3080</v>
      </c>
      <c r="K176" s="71" t="str">
        <f t="shared" si="5"/>
        <v>fp0147.jpeg</v>
      </c>
      <c r="L176" s="73" t="s">
        <v>1159</v>
      </c>
    </row>
    <row r="177" spans="1:12" ht="207.6" customHeight="1">
      <c r="A177" s="55" t="s">
        <v>208</v>
      </c>
      <c r="B177" s="67" t="s">
        <v>3234</v>
      </c>
      <c r="C177" s="71" t="s">
        <v>2986</v>
      </c>
      <c r="E177" s="72">
        <f>SUMIF(History1!B:B, A177, History1!C:C)</f>
        <v>95</v>
      </c>
      <c r="F177" s="71" t="s">
        <v>3134</v>
      </c>
      <c r="H177" s="71" t="s">
        <v>2980</v>
      </c>
      <c r="J177" s="71" t="s">
        <v>3135</v>
      </c>
      <c r="K177" s="71" t="str">
        <f t="shared" si="5"/>
        <v>fp0197.jpeg</v>
      </c>
      <c r="L177" s="73" t="s">
        <v>1209</v>
      </c>
    </row>
    <row r="178" spans="1:12" ht="207.6" customHeight="1">
      <c r="A178" s="55" t="s">
        <v>70</v>
      </c>
      <c r="B178" s="67" t="s">
        <v>3235</v>
      </c>
      <c r="C178" s="71" t="s">
        <v>3000</v>
      </c>
      <c r="E178" s="72">
        <f>SUMIF(History1!B:B, A178, History1!C:C)</f>
        <v>105</v>
      </c>
      <c r="F178" s="71" t="s">
        <v>2987</v>
      </c>
      <c r="H178" s="71" t="s">
        <v>2980</v>
      </c>
      <c r="J178" s="71" t="s">
        <v>3001</v>
      </c>
      <c r="K178" s="71" t="s">
        <v>3003</v>
      </c>
      <c r="L178" s="73" t="s">
        <v>1071</v>
      </c>
    </row>
    <row r="179" spans="1:12" ht="207.6" customHeight="1">
      <c r="A179" s="55" t="s">
        <v>72</v>
      </c>
      <c r="B179" s="67" t="s">
        <v>3236</v>
      </c>
      <c r="C179" s="71" t="s">
        <v>3000</v>
      </c>
      <c r="E179" s="72">
        <f>SUMIF(History1!B:B, A179, History1!C:C)</f>
        <v>9</v>
      </c>
      <c r="F179" s="71" t="s">
        <v>2987</v>
      </c>
      <c r="H179" s="71" t="s">
        <v>3006</v>
      </c>
      <c r="J179" s="71" t="s">
        <v>3001</v>
      </c>
      <c r="K179" s="71" t="s">
        <v>3005</v>
      </c>
      <c r="L179" s="73" t="s">
        <v>1073</v>
      </c>
    </row>
    <row r="180" spans="1:12" ht="207.6" customHeight="1">
      <c r="A180" s="55" t="s">
        <v>86</v>
      </c>
      <c r="B180" s="67" t="s">
        <v>3237</v>
      </c>
      <c r="C180" s="71" t="s">
        <v>3000</v>
      </c>
      <c r="E180" s="72">
        <f>SUMIF(History1!B:B, A180, History1!C:C)</f>
        <v>24</v>
      </c>
      <c r="F180" s="71" t="s">
        <v>2987</v>
      </c>
      <c r="H180" s="71" t="s">
        <v>2980</v>
      </c>
      <c r="J180" s="71" t="s">
        <v>3033</v>
      </c>
      <c r="K180" s="71" t="s">
        <v>3034</v>
      </c>
      <c r="L180" s="73" t="s">
        <v>1087</v>
      </c>
    </row>
    <row r="181" spans="1:12" ht="207.6" customHeight="1">
      <c r="A181" s="55" t="s">
        <v>87</v>
      </c>
      <c r="B181" s="67" t="s">
        <v>3238</v>
      </c>
      <c r="C181" s="71" t="s">
        <v>3000</v>
      </c>
      <c r="E181" s="72">
        <f>SUMIF(History1!B:B, A181, History1!C:C)</f>
        <v>8</v>
      </c>
      <c r="F181" s="71" t="s">
        <v>3035</v>
      </c>
      <c r="H181" s="71" t="s">
        <v>2980</v>
      </c>
      <c r="J181" s="71" t="s">
        <v>3036</v>
      </c>
      <c r="K181" s="71" t="s">
        <v>3037</v>
      </c>
      <c r="L181" s="73" t="s">
        <v>1088</v>
      </c>
    </row>
    <row r="182" spans="1:12" ht="207.6" customHeight="1">
      <c r="A182" s="55" t="s">
        <v>127</v>
      </c>
      <c r="B182" s="67" t="s">
        <v>3239</v>
      </c>
      <c r="C182" s="71" t="s">
        <v>3071</v>
      </c>
      <c r="E182" s="72">
        <f>SUMIF(History1!B:B, A182, History1!C:C)</f>
        <v>30</v>
      </c>
      <c r="F182" s="71" t="s">
        <v>3056</v>
      </c>
      <c r="H182" s="71" t="s">
        <v>2980</v>
      </c>
      <c r="J182" s="71" t="s">
        <v>3066</v>
      </c>
      <c r="K182" s="71" t="str">
        <f t="shared" ref="K182:K190" si="6">LOWER(A182)&amp;".jpeg"</f>
        <v>fp0116.jpeg</v>
      </c>
      <c r="L182" s="73" t="s">
        <v>1128</v>
      </c>
    </row>
    <row r="183" spans="1:12" ht="207.6" customHeight="1">
      <c r="A183" s="55" t="s">
        <v>144</v>
      </c>
      <c r="B183" s="67" t="s">
        <v>3240</v>
      </c>
      <c r="C183" s="71" t="s">
        <v>3071</v>
      </c>
      <c r="E183" s="72">
        <f>SUMIF(History1!B:B, A183, History1!C:C)</f>
        <v>7</v>
      </c>
      <c r="F183" s="71" t="s">
        <v>3061</v>
      </c>
      <c r="H183" s="71" t="s">
        <v>2980</v>
      </c>
      <c r="J183" s="71" t="s">
        <v>3064</v>
      </c>
      <c r="K183" s="71" t="str">
        <f t="shared" si="6"/>
        <v>fp0133.jpeg</v>
      </c>
      <c r="L183" s="73" t="s">
        <v>1145</v>
      </c>
    </row>
    <row r="184" spans="1:12" ht="207.6" customHeight="1">
      <c r="A184" s="55" t="s">
        <v>145</v>
      </c>
      <c r="B184" s="67" t="s">
        <v>3241</v>
      </c>
      <c r="C184" s="71" t="s">
        <v>3071</v>
      </c>
      <c r="E184" s="72">
        <f>SUMIF(History1!B:B, A184, History1!C:C)</f>
        <v>14</v>
      </c>
      <c r="F184" s="71" t="s">
        <v>3061</v>
      </c>
      <c r="H184" s="71" t="s">
        <v>2980</v>
      </c>
      <c r="J184" s="71" t="s">
        <v>3073</v>
      </c>
      <c r="K184" s="71" t="str">
        <f t="shared" si="6"/>
        <v>fp0134.jpeg</v>
      </c>
      <c r="L184" s="73" t="s">
        <v>1146</v>
      </c>
    </row>
    <row r="185" spans="1:12" ht="207.6" customHeight="1">
      <c r="A185" s="55" t="s">
        <v>146</v>
      </c>
      <c r="B185" s="67" t="s">
        <v>3242</v>
      </c>
      <c r="C185" s="71" t="s">
        <v>3071</v>
      </c>
      <c r="E185" s="72">
        <f>SUMIF(History1!B:B, A185, History1!C:C)</f>
        <v>15</v>
      </c>
      <c r="F185" s="71" t="s">
        <v>3061</v>
      </c>
      <c r="H185" s="71" t="s">
        <v>2980</v>
      </c>
      <c r="J185" s="71" t="s">
        <v>3066</v>
      </c>
      <c r="K185" s="71" t="str">
        <f t="shared" si="6"/>
        <v>fp0135.jpeg</v>
      </c>
      <c r="L185" s="73" t="s">
        <v>1147</v>
      </c>
    </row>
    <row r="186" spans="1:12" ht="207.6" customHeight="1">
      <c r="A186" s="55" t="s">
        <v>209</v>
      </c>
      <c r="B186" s="67" t="s">
        <v>3243</v>
      </c>
      <c r="C186" s="71" t="s">
        <v>3071</v>
      </c>
      <c r="E186" s="72">
        <f>SUMIF(History1!B:B, A186, History1!C:C)</f>
        <v>2</v>
      </c>
      <c r="F186" s="71" t="s">
        <v>3044</v>
      </c>
      <c r="H186" s="71" t="s">
        <v>2980</v>
      </c>
      <c r="J186" s="71" t="s">
        <v>3136</v>
      </c>
      <c r="K186" s="71" t="str">
        <f t="shared" si="6"/>
        <v>fp0198.jpeg</v>
      </c>
      <c r="L186" s="73" t="s">
        <v>1210</v>
      </c>
    </row>
    <row r="187" spans="1:12" ht="207.6" customHeight="1">
      <c r="A187" s="55" t="s">
        <v>210</v>
      </c>
      <c r="B187" s="67" t="s">
        <v>3244</v>
      </c>
      <c r="C187" s="71" t="s">
        <v>3071</v>
      </c>
      <c r="E187" s="72">
        <f>SUMIF(History1!B:B, A187, History1!C:C)</f>
        <v>10</v>
      </c>
      <c r="F187" s="71" t="s">
        <v>2987</v>
      </c>
      <c r="H187" s="71" t="s">
        <v>2980</v>
      </c>
      <c r="J187" s="71" t="s">
        <v>3137</v>
      </c>
      <c r="K187" s="71" t="str">
        <f t="shared" si="6"/>
        <v>fp0199.jpeg</v>
      </c>
      <c r="L187" s="73" t="s">
        <v>1211</v>
      </c>
    </row>
    <row r="188" spans="1:12" ht="207.6" customHeight="1">
      <c r="A188" s="55" t="s">
        <v>211</v>
      </c>
      <c r="B188" s="67" t="s">
        <v>3245</v>
      </c>
      <c r="C188" s="71" t="s">
        <v>3071</v>
      </c>
      <c r="E188" s="72">
        <f>SUMIF(History1!B:B, A188, History1!C:C)</f>
        <v>10</v>
      </c>
      <c r="F188" s="71" t="s">
        <v>2987</v>
      </c>
      <c r="H188" s="71" t="s">
        <v>2980</v>
      </c>
      <c r="J188" s="71" t="s">
        <v>3138</v>
      </c>
      <c r="K188" s="71" t="str">
        <f t="shared" si="6"/>
        <v>fp0200.jpeg</v>
      </c>
      <c r="L188" s="73" t="s">
        <v>1212</v>
      </c>
    </row>
    <row r="189" spans="1:12" ht="207.6" customHeight="1">
      <c r="A189" s="55" t="s">
        <v>212</v>
      </c>
      <c r="B189" s="67" t="s">
        <v>3246</v>
      </c>
      <c r="C189" s="71" t="s">
        <v>3071</v>
      </c>
      <c r="E189" s="72">
        <f>SUMIF(History1!B:B, A189, History1!C:C)</f>
        <v>10</v>
      </c>
      <c r="F189" s="71" t="s">
        <v>2987</v>
      </c>
      <c r="H189" s="71" t="s">
        <v>2980</v>
      </c>
      <c r="J189" s="71" t="s">
        <v>3139</v>
      </c>
      <c r="K189" s="71" t="str">
        <f t="shared" si="6"/>
        <v>fp0201.jpeg</v>
      </c>
      <c r="L189" s="73" t="s">
        <v>1213</v>
      </c>
    </row>
    <row r="190" spans="1:12" ht="207.6" customHeight="1">
      <c r="A190" s="55" t="s">
        <v>213</v>
      </c>
      <c r="B190" s="67" t="s">
        <v>3247</v>
      </c>
      <c r="C190" s="71" t="s">
        <v>3071</v>
      </c>
      <c r="E190" s="72">
        <f>SUMIF(History1!B:B, A190, History1!C:C)</f>
        <v>29</v>
      </c>
      <c r="F190" s="71" t="s">
        <v>3044</v>
      </c>
      <c r="H190" s="71" t="s">
        <v>2980</v>
      </c>
      <c r="I190" s="71">
        <v>6</v>
      </c>
      <c r="J190" s="71">
        <v>555</v>
      </c>
      <c r="K190" s="71" t="str">
        <f t="shared" si="6"/>
        <v>fp0202.jpeg</v>
      </c>
      <c r="L190" s="73" t="s">
        <v>1214</v>
      </c>
    </row>
    <row r="191" spans="1:12" ht="207.6" customHeight="1">
      <c r="A191" s="55" t="s">
        <v>69</v>
      </c>
      <c r="B191" s="67" t="s">
        <v>3248</v>
      </c>
      <c r="C191" s="71" t="s">
        <v>2999</v>
      </c>
      <c r="E191" s="72">
        <f>SUMIF(History1!B:B, A191, History1!C:C)</f>
        <v>130</v>
      </c>
      <c r="F191" s="71" t="s">
        <v>2987</v>
      </c>
      <c r="H191" s="71" t="s">
        <v>2980</v>
      </c>
      <c r="J191" s="71" t="s">
        <v>3002</v>
      </c>
      <c r="K191" s="71" t="s">
        <v>2998</v>
      </c>
      <c r="L191" s="73" t="s">
        <v>1070</v>
      </c>
    </row>
    <row r="192" spans="1:12" ht="207.6" customHeight="1">
      <c r="A192" s="55" t="s">
        <v>71</v>
      </c>
      <c r="B192" s="67" t="s">
        <v>3249</v>
      </c>
      <c r="C192" s="71" t="s">
        <v>2999</v>
      </c>
      <c r="E192" s="72">
        <f>SUMIF(History1!B:B, A192, History1!C:C)</f>
        <v>140</v>
      </c>
      <c r="F192" s="71" t="s">
        <v>2987</v>
      </c>
      <c r="H192" s="71" t="s">
        <v>2980</v>
      </c>
      <c r="J192" s="71" t="s">
        <v>3002</v>
      </c>
      <c r="K192" s="71" t="s">
        <v>3004</v>
      </c>
      <c r="L192" s="73" t="s">
        <v>1072</v>
      </c>
    </row>
    <row r="193" spans="1:12" ht="207.6" customHeight="1">
      <c r="A193" s="55" t="s">
        <v>73</v>
      </c>
      <c r="B193" s="67" t="s">
        <v>3250</v>
      </c>
      <c r="C193" s="71" t="s">
        <v>2999</v>
      </c>
      <c r="E193" s="72">
        <f>SUMIF(History1!B:B, A193, History1!C:C)</f>
        <v>32</v>
      </c>
      <c r="F193" s="71" t="s">
        <v>2987</v>
      </c>
      <c r="H193" s="71" t="s">
        <v>2980</v>
      </c>
      <c r="J193" s="71" t="s">
        <v>3002</v>
      </c>
      <c r="K193" s="71" t="s">
        <v>3007</v>
      </c>
      <c r="L193" s="73" t="s">
        <v>1074</v>
      </c>
    </row>
    <row r="194" spans="1:12" ht="207.6" customHeight="1">
      <c r="A194" s="55" t="s">
        <v>74</v>
      </c>
      <c r="B194" s="67" t="s">
        <v>3251</v>
      </c>
      <c r="C194" s="71" t="s">
        <v>2999</v>
      </c>
      <c r="E194" s="72">
        <f>SUMIF(History1!B:B, A194, History1!C:C)</f>
        <v>14</v>
      </c>
      <c r="F194" s="71" t="s">
        <v>2987</v>
      </c>
      <c r="H194" s="71" t="s">
        <v>2980</v>
      </c>
      <c r="J194" s="71" t="s">
        <v>3002</v>
      </c>
      <c r="K194" s="71" t="s">
        <v>3008</v>
      </c>
      <c r="L194" s="73" t="s">
        <v>1075</v>
      </c>
    </row>
    <row r="195" spans="1:12" ht="207.6" customHeight="1">
      <c r="A195" s="55" t="s">
        <v>75</v>
      </c>
      <c r="B195" s="67" t="s">
        <v>3252</v>
      </c>
      <c r="C195" s="71" t="s">
        <v>2999</v>
      </c>
      <c r="E195" s="72">
        <f>SUMIF(History1!B:B, A195, History1!C:C)</f>
        <v>18</v>
      </c>
      <c r="F195" s="71" t="s">
        <v>2987</v>
      </c>
      <c r="H195" s="71" t="s">
        <v>2980</v>
      </c>
      <c r="J195" s="71" t="s">
        <v>3009</v>
      </c>
      <c r="K195" s="71" t="s">
        <v>3010</v>
      </c>
      <c r="L195" s="73" t="s">
        <v>1076</v>
      </c>
    </row>
    <row r="196" spans="1:12" ht="207.6" customHeight="1">
      <c r="A196" s="55" t="s">
        <v>79</v>
      </c>
      <c r="B196" s="67" t="s">
        <v>3253</v>
      </c>
      <c r="C196" s="71" t="s">
        <v>2999</v>
      </c>
      <c r="E196" s="72">
        <f>SUMIF(History1!B:B, A196, History1!C:C)</f>
        <v>85</v>
      </c>
      <c r="F196" s="71" t="s">
        <v>2987</v>
      </c>
      <c r="H196" s="71" t="s">
        <v>2980</v>
      </c>
      <c r="J196" s="71" t="s">
        <v>3020</v>
      </c>
      <c r="K196" s="71" t="s">
        <v>3021</v>
      </c>
      <c r="L196" s="73" t="s">
        <v>1080</v>
      </c>
    </row>
    <row r="197" spans="1:12" ht="207.6" customHeight="1">
      <c r="A197" s="55" t="s">
        <v>80</v>
      </c>
      <c r="B197" s="67" t="s">
        <v>3254</v>
      </c>
      <c r="C197" s="71" t="s">
        <v>2999</v>
      </c>
      <c r="E197" s="72">
        <f>SUMIF(History1!B:B, A197, History1!C:C)</f>
        <v>70</v>
      </c>
      <c r="F197" s="71" t="s">
        <v>2987</v>
      </c>
      <c r="H197" s="71" t="s">
        <v>2980</v>
      </c>
      <c r="J197" s="71" t="s">
        <v>3002</v>
      </c>
      <c r="K197" s="71" t="s">
        <v>3022</v>
      </c>
      <c r="L197" s="73" t="s">
        <v>1081</v>
      </c>
    </row>
    <row r="198" spans="1:12" ht="207.6" customHeight="1">
      <c r="A198" s="55" t="s">
        <v>83</v>
      </c>
      <c r="B198" s="67" t="s">
        <v>3255</v>
      </c>
      <c r="C198" s="71" t="s">
        <v>2999</v>
      </c>
      <c r="E198" s="72">
        <f>SUMIF(History1!B:B, A198, History1!C:C)</f>
        <v>310</v>
      </c>
      <c r="F198" s="71" t="s">
        <v>2987</v>
      </c>
      <c r="H198" s="71" t="s">
        <v>2980</v>
      </c>
      <c r="J198" s="71" t="s">
        <v>3002</v>
      </c>
      <c r="K198" s="71" t="s">
        <v>3029</v>
      </c>
      <c r="L198" s="73" t="s">
        <v>1084</v>
      </c>
    </row>
    <row r="199" spans="1:12" ht="207.6" customHeight="1">
      <c r="A199" s="55" t="s">
        <v>89</v>
      </c>
      <c r="B199" s="67" t="s">
        <v>3256</v>
      </c>
      <c r="C199" s="71" t="s">
        <v>2999</v>
      </c>
      <c r="E199" s="72">
        <f>SUMIF(History1!B:B, A199, History1!C:C)</f>
        <v>145</v>
      </c>
      <c r="F199" s="71" t="s">
        <v>3035</v>
      </c>
      <c r="H199" s="71" t="s">
        <v>2980</v>
      </c>
      <c r="J199" s="71" t="s">
        <v>3002</v>
      </c>
      <c r="K199" s="71" t="s">
        <v>3039</v>
      </c>
      <c r="L199" s="73" t="s">
        <v>1090</v>
      </c>
    </row>
    <row r="200" spans="1:12" ht="207.6" customHeight="1">
      <c r="A200" s="55" t="s">
        <v>90</v>
      </c>
      <c r="B200" s="67" t="s">
        <v>3257</v>
      </c>
      <c r="C200" s="71" t="s">
        <v>2999</v>
      </c>
      <c r="E200" s="72">
        <f>SUMIF(History1!B:B, A200, History1!C:C)</f>
        <v>125</v>
      </c>
      <c r="F200" s="71" t="s">
        <v>3041</v>
      </c>
      <c r="H200" s="71" t="s">
        <v>2980</v>
      </c>
      <c r="J200" s="71" t="s">
        <v>3002</v>
      </c>
      <c r="K200" s="71" t="s">
        <v>3040</v>
      </c>
      <c r="L200" s="73" t="s">
        <v>1091</v>
      </c>
    </row>
    <row r="201" spans="1:12" ht="207.6" customHeight="1">
      <c r="A201" s="55" t="s">
        <v>99</v>
      </c>
      <c r="B201" s="67" t="s">
        <v>3258</v>
      </c>
      <c r="C201" s="71" t="s">
        <v>2999</v>
      </c>
      <c r="E201" s="72">
        <f>SUMIF(History1!B:B, A201, History1!C:C)</f>
        <v>36</v>
      </c>
      <c r="F201" s="71" t="s">
        <v>3052</v>
      </c>
      <c r="H201" s="71" t="s">
        <v>2980</v>
      </c>
      <c r="J201" s="71" t="s">
        <v>3053</v>
      </c>
      <c r="K201" s="71" t="str">
        <f t="shared" ref="K201:K208" si="7">LOWER(A201)&amp;".jpeg"</f>
        <v>fp0088.jpeg</v>
      </c>
      <c r="L201" s="73" t="s">
        <v>1100</v>
      </c>
    </row>
    <row r="202" spans="1:12" ht="207.6" customHeight="1">
      <c r="A202" s="55" t="s">
        <v>110</v>
      </c>
      <c r="B202" s="67" t="s">
        <v>3259</v>
      </c>
      <c r="C202" s="71" t="s">
        <v>3052</v>
      </c>
      <c r="E202" s="72">
        <f>SUMIF(History1!B:B, A202, History1!C:C)</f>
        <v>0</v>
      </c>
      <c r="F202" s="71" t="s">
        <v>3060</v>
      </c>
      <c r="H202" s="71" t="s">
        <v>2980</v>
      </c>
      <c r="J202" s="71" t="s">
        <v>3067</v>
      </c>
      <c r="K202" s="71" t="str">
        <f t="shared" si="7"/>
        <v>fp0099.jpeg</v>
      </c>
      <c r="L202" s="73" t="s">
        <v>1111</v>
      </c>
    </row>
    <row r="203" spans="1:12" ht="207.6" customHeight="1">
      <c r="A203" s="55" t="s">
        <v>117</v>
      </c>
      <c r="B203" s="67" t="s">
        <v>3260</v>
      </c>
      <c r="C203" s="71" t="s">
        <v>3052</v>
      </c>
      <c r="E203" s="72">
        <f>SUMIF(History1!B:B, A203, History1!C:C)</f>
        <v>0</v>
      </c>
      <c r="F203" s="71" t="s">
        <v>3060</v>
      </c>
      <c r="H203" s="71" t="s">
        <v>2980</v>
      </c>
      <c r="J203" s="71" t="s">
        <v>3066</v>
      </c>
      <c r="K203" s="71" t="str">
        <f t="shared" si="7"/>
        <v>fp0106.jpeg</v>
      </c>
      <c r="L203" s="73" t="s">
        <v>1118</v>
      </c>
    </row>
    <row r="204" spans="1:12" ht="207.6" customHeight="1">
      <c r="A204" s="55" t="s">
        <v>214</v>
      </c>
      <c r="E204" s="72">
        <f>SUMIF(History1!B:B, A204, History1!C:C)</f>
        <v>0</v>
      </c>
      <c r="K204" s="71" t="str">
        <f t="shared" si="7"/>
        <v>fp0203.jpeg</v>
      </c>
      <c r="L204" s="73" t="s">
        <v>1215</v>
      </c>
    </row>
    <row r="205" spans="1:12" ht="207.6" customHeight="1">
      <c r="A205" s="55" t="s">
        <v>215</v>
      </c>
      <c r="E205" s="72">
        <f>SUMIF(History1!B:B, A205, History1!C:C)</f>
        <v>0</v>
      </c>
      <c r="K205" s="71" t="str">
        <f t="shared" si="7"/>
        <v>fp0204.jpeg</v>
      </c>
      <c r="L205" s="73" t="s">
        <v>1216</v>
      </c>
    </row>
    <row r="206" spans="1:12" ht="207.6" customHeight="1">
      <c r="A206" s="55" t="s">
        <v>216</v>
      </c>
      <c r="E206" s="72">
        <f>SUMIF(History1!B:B, A206, History1!C:C)</f>
        <v>0</v>
      </c>
      <c r="K206" s="71" t="str">
        <f t="shared" si="7"/>
        <v>fp0205.jpeg</v>
      </c>
      <c r="L206" s="73" t="s">
        <v>1217</v>
      </c>
    </row>
    <row r="207" spans="1:12" ht="207.6" customHeight="1">
      <c r="A207" s="55" t="s">
        <v>217</v>
      </c>
      <c r="E207" s="72">
        <f>SUMIF(History1!B:B, A207, History1!C:C)</f>
        <v>0</v>
      </c>
      <c r="K207" s="71" t="str">
        <f t="shared" si="7"/>
        <v>fp0206.jpeg</v>
      </c>
      <c r="L207" s="73" t="s">
        <v>1218</v>
      </c>
    </row>
    <row r="208" spans="1:12" ht="207.6" customHeight="1">
      <c r="A208" s="55" t="s">
        <v>218</v>
      </c>
      <c r="E208" s="72">
        <f>SUMIF(History1!B:B, A208, History1!C:C)</f>
        <v>0</v>
      </c>
      <c r="K208" s="71" t="str">
        <f t="shared" si="7"/>
        <v>fp0207.jpeg</v>
      </c>
      <c r="L208" s="73" t="s">
        <v>1219</v>
      </c>
    </row>
    <row r="209" spans="1:12" ht="207.6" customHeight="1">
      <c r="A209" s="55" t="s">
        <v>219</v>
      </c>
      <c r="E209" s="72">
        <f>SUMIF(History1!B:B, A209, History1!C:C)</f>
        <v>0</v>
      </c>
      <c r="K209" s="71" t="s">
        <v>2178</v>
      </c>
      <c r="L209" s="73" t="s">
        <v>1220</v>
      </c>
    </row>
    <row r="210" spans="1:12" ht="207.6" customHeight="1">
      <c r="A210" s="55" t="s">
        <v>220</v>
      </c>
      <c r="E210" s="72">
        <f>SUMIF(History1!B:B, A210, History1!C:C)</f>
        <v>0</v>
      </c>
      <c r="K210" s="71" t="s">
        <v>2179</v>
      </c>
      <c r="L210" s="73" t="s">
        <v>1221</v>
      </c>
    </row>
    <row r="211" spans="1:12" ht="207.6" customHeight="1">
      <c r="A211" s="55" t="s">
        <v>221</v>
      </c>
      <c r="E211" s="72">
        <f>SUMIF(History1!B:B, A211, History1!C:C)</f>
        <v>0</v>
      </c>
      <c r="K211" s="71" t="s">
        <v>2180</v>
      </c>
      <c r="L211" s="73" t="s">
        <v>1222</v>
      </c>
    </row>
    <row r="212" spans="1:12" ht="207.6" customHeight="1">
      <c r="A212" s="55" t="s">
        <v>222</v>
      </c>
      <c r="E212" s="72">
        <f>SUMIF(History1!B:B, A212, History1!C:C)</f>
        <v>0</v>
      </c>
      <c r="K212" s="71" t="s">
        <v>2181</v>
      </c>
      <c r="L212" s="73" t="s">
        <v>1223</v>
      </c>
    </row>
    <row r="213" spans="1:12" ht="207.6" customHeight="1">
      <c r="A213" s="55" t="s">
        <v>223</v>
      </c>
      <c r="E213" s="72">
        <f>SUMIF(History1!B:B, A213, History1!C:C)</f>
        <v>0</v>
      </c>
      <c r="K213" s="71" t="s">
        <v>2182</v>
      </c>
      <c r="L213" s="73" t="s">
        <v>1224</v>
      </c>
    </row>
    <row r="214" spans="1:12" ht="207.6" customHeight="1">
      <c r="A214" s="55" t="s">
        <v>224</v>
      </c>
      <c r="E214" s="72">
        <f>SUMIF(History1!B:B, A214, History1!C:C)</f>
        <v>0</v>
      </c>
      <c r="K214" s="71" t="s">
        <v>2183</v>
      </c>
      <c r="L214" s="73" t="s">
        <v>1225</v>
      </c>
    </row>
    <row r="215" spans="1:12" ht="207.6" customHeight="1">
      <c r="A215" s="55" t="s">
        <v>225</v>
      </c>
      <c r="E215" s="72">
        <f>SUMIF(History1!B:B, A215, History1!C:C)</f>
        <v>0</v>
      </c>
      <c r="K215" s="71" t="s">
        <v>2184</v>
      </c>
      <c r="L215" s="73" t="s">
        <v>1226</v>
      </c>
    </row>
    <row r="216" spans="1:12" ht="207.6" customHeight="1">
      <c r="A216" s="55" t="s">
        <v>226</v>
      </c>
      <c r="E216" s="72">
        <f>SUMIF(History1!B:B, A216, History1!C:C)</f>
        <v>0</v>
      </c>
      <c r="K216" s="71" t="s">
        <v>2185</v>
      </c>
      <c r="L216" s="73" t="s">
        <v>1227</v>
      </c>
    </row>
    <row r="217" spans="1:12" ht="207.6" customHeight="1">
      <c r="A217" s="55" t="s">
        <v>227</v>
      </c>
      <c r="E217" s="72">
        <f>SUMIF(History1!B:B, A217, History1!C:C)</f>
        <v>0</v>
      </c>
      <c r="K217" s="71" t="s">
        <v>2186</v>
      </c>
      <c r="L217" s="73" t="s">
        <v>1228</v>
      </c>
    </row>
    <row r="218" spans="1:12" ht="207.6" customHeight="1">
      <c r="A218" s="55" t="s">
        <v>228</v>
      </c>
      <c r="E218" s="72">
        <f>SUMIF(History1!B:B, A218, History1!C:C)</f>
        <v>0</v>
      </c>
      <c r="K218" s="71" t="s">
        <v>2187</v>
      </c>
      <c r="L218" s="73" t="s">
        <v>1229</v>
      </c>
    </row>
    <row r="219" spans="1:12" ht="207.6" customHeight="1">
      <c r="A219" s="55" t="s">
        <v>229</v>
      </c>
      <c r="E219" s="72">
        <f>SUMIF(History1!B:B, A219, History1!C:C)</f>
        <v>0</v>
      </c>
      <c r="K219" s="71" t="s">
        <v>2188</v>
      </c>
      <c r="L219" s="73" t="s">
        <v>1230</v>
      </c>
    </row>
    <row r="220" spans="1:12" ht="207.6" customHeight="1">
      <c r="A220" s="55" t="s">
        <v>230</v>
      </c>
      <c r="E220" s="72">
        <f>SUMIF(History1!B:B, A220, History1!C:C)</f>
        <v>0</v>
      </c>
      <c r="K220" s="71" t="s">
        <v>2189</v>
      </c>
      <c r="L220" s="73" t="s">
        <v>1231</v>
      </c>
    </row>
    <row r="221" spans="1:12" ht="207.6" customHeight="1">
      <c r="A221" s="55" t="s">
        <v>231</v>
      </c>
      <c r="E221" s="72">
        <f>SUMIF(History1!B:B, A221, History1!C:C)</f>
        <v>0</v>
      </c>
      <c r="K221" s="71" t="s">
        <v>2190</v>
      </c>
      <c r="L221" s="73" t="s">
        <v>1232</v>
      </c>
    </row>
    <row r="222" spans="1:12" ht="207.6" customHeight="1">
      <c r="A222" s="55" t="s">
        <v>232</v>
      </c>
      <c r="E222" s="72">
        <f>SUMIF(History1!B:B, A222, History1!C:C)</f>
        <v>0</v>
      </c>
      <c r="K222" s="71" t="s">
        <v>2191</v>
      </c>
      <c r="L222" s="73" t="s">
        <v>1233</v>
      </c>
    </row>
    <row r="223" spans="1:12" ht="207.6" customHeight="1">
      <c r="A223" s="55" t="s">
        <v>233</v>
      </c>
      <c r="E223" s="72">
        <f>SUMIF(History1!B:B, A223, History1!C:C)</f>
        <v>0</v>
      </c>
      <c r="K223" s="71" t="s">
        <v>2192</v>
      </c>
      <c r="L223" s="73" t="s">
        <v>1234</v>
      </c>
    </row>
    <row r="224" spans="1:12" ht="207.6" customHeight="1">
      <c r="A224" s="55" t="s">
        <v>234</v>
      </c>
      <c r="E224" s="72">
        <f>SUMIF(History1!B:B, A224, History1!C:C)</f>
        <v>0</v>
      </c>
      <c r="K224" s="71" t="s">
        <v>2193</v>
      </c>
      <c r="L224" s="73" t="s">
        <v>1235</v>
      </c>
    </row>
    <row r="225" spans="1:12" ht="207.6" customHeight="1">
      <c r="A225" s="55" t="s">
        <v>235</v>
      </c>
      <c r="E225" s="72">
        <f>SUMIF(History1!B:B, A225, History1!C:C)</f>
        <v>0</v>
      </c>
      <c r="K225" s="71" t="s">
        <v>2194</v>
      </c>
      <c r="L225" s="73" t="s">
        <v>1236</v>
      </c>
    </row>
    <row r="226" spans="1:12" ht="207.6" customHeight="1">
      <c r="A226" s="55" t="s">
        <v>236</v>
      </c>
      <c r="E226" s="72">
        <f>SUMIF(History1!B:B, A226, History1!C:C)</f>
        <v>0</v>
      </c>
      <c r="K226" s="71" t="s">
        <v>2195</v>
      </c>
      <c r="L226" s="73" t="s">
        <v>1237</v>
      </c>
    </row>
    <row r="227" spans="1:12" ht="207.6" customHeight="1">
      <c r="A227" s="55" t="s">
        <v>237</v>
      </c>
      <c r="E227" s="72">
        <f>SUMIF(History1!B:B, A227, History1!C:C)</f>
        <v>0</v>
      </c>
      <c r="K227" s="71" t="s">
        <v>2196</v>
      </c>
      <c r="L227" s="73" t="s">
        <v>1238</v>
      </c>
    </row>
    <row r="228" spans="1:12" ht="207.6" customHeight="1">
      <c r="A228" s="55" t="s">
        <v>238</v>
      </c>
      <c r="E228" s="72">
        <f>SUMIF(History1!B:B, A228, History1!C:C)</f>
        <v>0</v>
      </c>
      <c r="K228" s="71" t="s">
        <v>2197</v>
      </c>
      <c r="L228" s="73" t="s">
        <v>1239</v>
      </c>
    </row>
    <row r="229" spans="1:12" ht="207.6" customHeight="1">
      <c r="A229" s="55" t="s">
        <v>239</v>
      </c>
      <c r="E229" s="72">
        <f>SUMIF(History1!B:B, A229, History1!C:C)</f>
        <v>0</v>
      </c>
      <c r="K229" s="71" t="s">
        <v>2198</v>
      </c>
      <c r="L229" s="73" t="s">
        <v>1240</v>
      </c>
    </row>
    <row r="230" spans="1:12" ht="207.6" customHeight="1">
      <c r="A230" s="55" t="s">
        <v>240</v>
      </c>
      <c r="E230" s="72">
        <f>SUMIF(History1!B:B, A230, History1!C:C)</f>
        <v>0</v>
      </c>
      <c r="K230" s="71" t="s">
        <v>2199</v>
      </c>
      <c r="L230" s="73" t="s">
        <v>1241</v>
      </c>
    </row>
    <row r="231" spans="1:12" ht="207.6" customHeight="1">
      <c r="A231" s="55" t="s">
        <v>241</v>
      </c>
      <c r="E231" s="72">
        <f>SUMIF(History1!B:B, A231, History1!C:C)</f>
        <v>0</v>
      </c>
      <c r="K231" s="71" t="s">
        <v>2200</v>
      </c>
      <c r="L231" s="73" t="s">
        <v>1242</v>
      </c>
    </row>
    <row r="232" spans="1:12" ht="207.6" customHeight="1">
      <c r="A232" s="55" t="s">
        <v>242</v>
      </c>
      <c r="E232" s="72">
        <f>SUMIF(History1!B:B, A232, History1!C:C)</f>
        <v>0</v>
      </c>
      <c r="K232" s="71" t="s">
        <v>2201</v>
      </c>
      <c r="L232" s="73" t="s">
        <v>1243</v>
      </c>
    </row>
    <row r="233" spans="1:12" ht="207.6" customHeight="1">
      <c r="A233" s="55" t="s">
        <v>243</v>
      </c>
      <c r="E233" s="72">
        <f>SUMIF(History1!B:B, A233, History1!C:C)</f>
        <v>0</v>
      </c>
      <c r="K233" s="71" t="s">
        <v>2202</v>
      </c>
      <c r="L233" s="73" t="s">
        <v>1244</v>
      </c>
    </row>
    <row r="234" spans="1:12" ht="207.6" customHeight="1">
      <c r="A234" s="55" t="s">
        <v>244</v>
      </c>
      <c r="E234" s="72">
        <f>SUMIF(History1!B:B, A234, History1!C:C)</f>
        <v>0</v>
      </c>
      <c r="K234" s="71" t="s">
        <v>2203</v>
      </c>
      <c r="L234" s="73" t="s">
        <v>1245</v>
      </c>
    </row>
    <row r="235" spans="1:12" ht="207.6" customHeight="1">
      <c r="A235" s="55" t="s">
        <v>245</v>
      </c>
      <c r="E235" s="72">
        <f>SUMIF(History1!B:B, A235, History1!C:C)</f>
        <v>0</v>
      </c>
      <c r="K235" s="71" t="s">
        <v>2204</v>
      </c>
      <c r="L235" s="73" t="s">
        <v>1246</v>
      </c>
    </row>
    <row r="236" spans="1:12" ht="207.6" customHeight="1">
      <c r="A236" s="55" t="s">
        <v>246</v>
      </c>
      <c r="E236" s="72">
        <f>SUMIF(History1!B:B, A236, History1!C:C)</f>
        <v>0</v>
      </c>
      <c r="K236" s="71" t="s">
        <v>2205</v>
      </c>
      <c r="L236" s="73" t="s">
        <v>1247</v>
      </c>
    </row>
    <row r="237" spans="1:12" ht="207.6" customHeight="1">
      <c r="A237" s="55" t="s">
        <v>247</v>
      </c>
      <c r="E237" s="72">
        <f>SUMIF(History1!B:B, A237, History1!C:C)</f>
        <v>0</v>
      </c>
      <c r="K237" s="71" t="s">
        <v>2206</v>
      </c>
      <c r="L237" s="73" t="s">
        <v>1248</v>
      </c>
    </row>
    <row r="238" spans="1:12" ht="207.6" customHeight="1">
      <c r="A238" s="55" t="s">
        <v>248</v>
      </c>
      <c r="E238" s="72">
        <f>SUMIF(History1!B:B, A238, History1!C:C)</f>
        <v>0</v>
      </c>
      <c r="K238" s="71" t="s">
        <v>2207</v>
      </c>
      <c r="L238" s="73" t="s">
        <v>1249</v>
      </c>
    </row>
    <row r="239" spans="1:12" ht="207.6" customHeight="1">
      <c r="A239" s="55" t="s">
        <v>249</v>
      </c>
      <c r="E239" s="72">
        <f>SUMIF(History1!B:B, A239, History1!C:C)</f>
        <v>0</v>
      </c>
      <c r="K239" s="71" t="s">
        <v>2208</v>
      </c>
      <c r="L239" s="73" t="s">
        <v>1250</v>
      </c>
    </row>
    <row r="240" spans="1:12" ht="207.6" customHeight="1">
      <c r="A240" s="55" t="s">
        <v>250</v>
      </c>
      <c r="E240" s="72">
        <f>SUMIF(History1!B:B, A240, History1!C:C)</f>
        <v>0</v>
      </c>
      <c r="K240" s="71" t="s">
        <v>2209</v>
      </c>
      <c r="L240" s="73" t="s">
        <v>1251</v>
      </c>
    </row>
    <row r="241" spans="1:12" ht="207.6" customHeight="1">
      <c r="A241" s="55" t="s">
        <v>251</v>
      </c>
      <c r="E241" s="72">
        <f>SUMIF(History1!B:B, A241, History1!C:C)</f>
        <v>0</v>
      </c>
      <c r="K241" s="71" t="s">
        <v>2210</v>
      </c>
      <c r="L241" s="73" t="s">
        <v>1252</v>
      </c>
    </row>
    <row r="242" spans="1:12" ht="207.6" customHeight="1">
      <c r="A242" s="55" t="s">
        <v>252</v>
      </c>
      <c r="E242" s="72">
        <f>SUMIF(History1!B:B, A242, History1!C:C)</f>
        <v>0</v>
      </c>
      <c r="K242" s="71" t="s">
        <v>2211</v>
      </c>
      <c r="L242" s="73" t="s">
        <v>1253</v>
      </c>
    </row>
    <row r="243" spans="1:12" ht="207.6" customHeight="1">
      <c r="A243" s="55" t="s">
        <v>253</v>
      </c>
      <c r="E243" s="72">
        <f>SUMIF(History1!B:B, A243, History1!C:C)</f>
        <v>0</v>
      </c>
      <c r="K243" s="71" t="s">
        <v>2212</v>
      </c>
      <c r="L243" s="73" t="s">
        <v>1254</v>
      </c>
    </row>
    <row r="244" spans="1:12" ht="207.6" customHeight="1">
      <c r="A244" s="55" t="s">
        <v>254</v>
      </c>
      <c r="E244" s="72">
        <f>SUMIF(History1!B:B, A244, History1!C:C)</f>
        <v>0</v>
      </c>
      <c r="K244" s="71" t="s">
        <v>2213</v>
      </c>
      <c r="L244" s="73" t="s">
        <v>1255</v>
      </c>
    </row>
    <row r="245" spans="1:12" ht="207.6" customHeight="1">
      <c r="A245" s="55" t="s">
        <v>255</v>
      </c>
      <c r="E245" s="72">
        <f>SUMIF(History1!B:B, A245, History1!C:C)</f>
        <v>0</v>
      </c>
      <c r="K245" s="71" t="s">
        <v>2214</v>
      </c>
      <c r="L245" s="73" t="s">
        <v>1256</v>
      </c>
    </row>
    <row r="246" spans="1:12" ht="207.6" customHeight="1">
      <c r="A246" s="55" t="s">
        <v>256</v>
      </c>
      <c r="E246" s="72">
        <f>SUMIF(History1!B:B, A246, History1!C:C)</f>
        <v>0</v>
      </c>
      <c r="K246" s="71" t="s">
        <v>2215</v>
      </c>
      <c r="L246" s="73" t="s">
        <v>1257</v>
      </c>
    </row>
    <row r="247" spans="1:12" ht="207.6" customHeight="1">
      <c r="A247" s="55" t="s">
        <v>257</v>
      </c>
      <c r="E247" s="72">
        <f>SUMIF(History1!B:B, A247, History1!C:C)</f>
        <v>0</v>
      </c>
      <c r="K247" s="71" t="s">
        <v>2216</v>
      </c>
      <c r="L247" s="73" t="s">
        <v>1258</v>
      </c>
    </row>
    <row r="248" spans="1:12" ht="207.6" customHeight="1">
      <c r="A248" s="55" t="s">
        <v>258</v>
      </c>
      <c r="E248" s="72">
        <f>SUMIF(History1!B:B, A248, History1!C:C)</f>
        <v>0</v>
      </c>
      <c r="K248" s="71" t="s">
        <v>2217</v>
      </c>
      <c r="L248" s="73" t="s">
        <v>1259</v>
      </c>
    </row>
    <row r="249" spans="1:12" ht="207.6" customHeight="1">
      <c r="A249" s="55" t="s">
        <v>259</v>
      </c>
      <c r="E249" s="72">
        <f>SUMIF(History1!B:B, A249, History1!C:C)</f>
        <v>0</v>
      </c>
      <c r="K249" s="71" t="s">
        <v>2218</v>
      </c>
      <c r="L249" s="73" t="s">
        <v>1260</v>
      </c>
    </row>
    <row r="250" spans="1:12" ht="207.6" customHeight="1">
      <c r="A250" s="55" t="s">
        <v>260</v>
      </c>
      <c r="E250" s="72">
        <f>SUMIF(History1!B:B, A250, History1!C:C)</f>
        <v>0</v>
      </c>
      <c r="K250" s="71" t="s">
        <v>2219</v>
      </c>
      <c r="L250" s="73" t="s">
        <v>1261</v>
      </c>
    </row>
    <row r="251" spans="1:12" ht="207.6" customHeight="1">
      <c r="A251" s="55" t="s">
        <v>261</v>
      </c>
      <c r="E251" s="72">
        <f>SUMIF(History1!B:B, A251, History1!C:C)</f>
        <v>0</v>
      </c>
      <c r="K251" s="71" t="s">
        <v>2220</v>
      </c>
      <c r="L251" s="73" t="s">
        <v>1262</v>
      </c>
    </row>
    <row r="252" spans="1:12" ht="207.6" customHeight="1">
      <c r="A252" s="55" t="s">
        <v>262</v>
      </c>
      <c r="E252" s="72">
        <f>SUMIF(History1!B:B, A252, History1!C:C)</f>
        <v>0</v>
      </c>
      <c r="K252" s="71" t="s">
        <v>2221</v>
      </c>
      <c r="L252" s="73" t="s">
        <v>1263</v>
      </c>
    </row>
    <row r="253" spans="1:12" ht="207.6" customHeight="1">
      <c r="A253" s="55" t="s">
        <v>263</v>
      </c>
      <c r="E253" s="72">
        <f>SUMIF(History1!B:B, A253, History1!C:C)</f>
        <v>0</v>
      </c>
      <c r="K253" s="71" t="s">
        <v>2222</v>
      </c>
      <c r="L253" s="73" t="s">
        <v>1264</v>
      </c>
    </row>
    <row r="254" spans="1:12" ht="207.6" customHeight="1">
      <c r="A254" s="55" t="s">
        <v>264</v>
      </c>
      <c r="E254" s="72">
        <f>SUMIF(History1!B:B, A254, History1!C:C)</f>
        <v>0</v>
      </c>
      <c r="K254" s="71" t="s">
        <v>2223</v>
      </c>
      <c r="L254" s="73" t="s">
        <v>1265</v>
      </c>
    </row>
    <row r="255" spans="1:12" ht="207.6" customHeight="1">
      <c r="A255" s="55" t="s">
        <v>265</v>
      </c>
      <c r="E255" s="72">
        <f>SUMIF(History1!B:B, A255, History1!C:C)</f>
        <v>0</v>
      </c>
      <c r="K255" s="71" t="s">
        <v>2224</v>
      </c>
      <c r="L255" s="73" t="s">
        <v>1266</v>
      </c>
    </row>
    <row r="256" spans="1:12" ht="207.6" customHeight="1">
      <c r="A256" s="55" t="s">
        <v>266</v>
      </c>
      <c r="E256" s="72">
        <f>SUMIF(History1!B:B, A256, History1!C:C)</f>
        <v>0</v>
      </c>
      <c r="K256" s="71" t="s">
        <v>2225</v>
      </c>
      <c r="L256" s="73" t="s">
        <v>1267</v>
      </c>
    </row>
    <row r="257" spans="1:12" ht="207.6" customHeight="1">
      <c r="A257" s="55" t="s">
        <v>267</v>
      </c>
      <c r="E257" s="72">
        <f>SUMIF(History1!B:B, A257, History1!C:C)</f>
        <v>0</v>
      </c>
      <c r="K257" s="71" t="s">
        <v>2226</v>
      </c>
      <c r="L257" s="73" t="s">
        <v>1268</v>
      </c>
    </row>
    <row r="258" spans="1:12" ht="207.6" customHeight="1">
      <c r="A258" s="55" t="s">
        <v>268</v>
      </c>
      <c r="E258" s="72">
        <f>SUMIF(History1!B:B, A258, History1!C:C)</f>
        <v>0</v>
      </c>
      <c r="K258" s="71" t="s">
        <v>2227</v>
      </c>
      <c r="L258" s="73" t="s">
        <v>1269</v>
      </c>
    </row>
    <row r="259" spans="1:12" ht="207.6" customHeight="1">
      <c r="A259" s="55" t="s">
        <v>269</v>
      </c>
      <c r="E259" s="72">
        <f>SUMIF(History1!B:B, A259, History1!C:C)</f>
        <v>0</v>
      </c>
      <c r="K259" s="71" t="s">
        <v>2228</v>
      </c>
      <c r="L259" s="73" t="s">
        <v>1270</v>
      </c>
    </row>
    <row r="260" spans="1:12" ht="207.6" customHeight="1">
      <c r="A260" s="55" t="s">
        <v>270</v>
      </c>
      <c r="E260" s="72">
        <f>SUMIF(History1!B:B, A260, History1!C:C)</f>
        <v>0</v>
      </c>
      <c r="K260" s="71" t="s">
        <v>2229</v>
      </c>
      <c r="L260" s="73" t="s">
        <v>1271</v>
      </c>
    </row>
    <row r="261" spans="1:12" ht="207.6" customHeight="1">
      <c r="A261" s="55" t="s">
        <v>271</v>
      </c>
      <c r="E261" s="72">
        <f>SUMIF(History1!B:B, A261, History1!C:C)</f>
        <v>0</v>
      </c>
      <c r="K261" s="71" t="s">
        <v>2230</v>
      </c>
      <c r="L261" s="73" t="s">
        <v>1272</v>
      </c>
    </row>
    <row r="262" spans="1:12" ht="207.6" customHeight="1">
      <c r="A262" s="55" t="s">
        <v>272</v>
      </c>
      <c r="E262" s="72">
        <f>SUMIF(History1!B:B, A262, History1!C:C)</f>
        <v>0</v>
      </c>
      <c r="K262" s="71" t="s">
        <v>2231</v>
      </c>
      <c r="L262" s="73" t="s">
        <v>1273</v>
      </c>
    </row>
    <row r="263" spans="1:12" ht="207.6" customHeight="1">
      <c r="A263" s="55" t="s">
        <v>273</v>
      </c>
      <c r="E263" s="72">
        <f>SUMIF(History1!B:B, A263, History1!C:C)</f>
        <v>0</v>
      </c>
      <c r="K263" s="71" t="s">
        <v>2232</v>
      </c>
      <c r="L263" s="73" t="s">
        <v>1274</v>
      </c>
    </row>
    <row r="264" spans="1:12" ht="207.6" customHeight="1">
      <c r="A264" s="55" t="s">
        <v>274</v>
      </c>
      <c r="E264" s="72">
        <f>SUMIF(History1!B:B, A264, History1!C:C)</f>
        <v>0</v>
      </c>
      <c r="K264" s="71" t="s">
        <v>2233</v>
      </c>
      <c r="L264" s="73" t="s">
        <v>1275</v>
      </c>
    </row>
    <row r="265" spans="1:12" ht="207.6" customHeight="1">
      <c r="A265" s="55" t="s">
        <v>275</v>
      </c>
      <c r="E265" s="72">
        <f>SUMIF(History1!B:B, A265, History1!C:C)</f>
        <v>0</v>
      </c>
      <c r="K265" s="71" t="s">
        <v>2234</v>
      </c>
      <c r="L265" s="73" t="s">
        <v>1276</v>
      </c>
    </row>
    <row r="266" spans="1:12" ht="207.6" customHeight="1">
      <c r="A266" s="55" t="s">
        <v>276</v>
      </c>
      <c r="E266" s="72">
        <f>SUMIF(History1!B:B, A266, History1!C:C)</f>
        <v>0</v>
      </c>
      <c r="K266" s="71" t="s">
        <v>2235</v>
      </c>
      <c r="L266" s="73" t="s">
        <v>1277</v>
      </c>
    </row>
    <row r="267" spans="1:12" ht="207.6" customHeight="1">
      <c r="A267" s="55" t="s">
        <v>277</v>
      </c>
      <c r="E267" s="72">
        <f>SUMIF(History1!B:B, A267, History1!C:C)</f>
        <v>0</v>
      </c>
      <c r="K267" s="71" t="s">
        <v>2236</v>
      </c>
      <c r="L267" s="73" t="s">
        <v>1278</v>
      </c>
    </row>
    <row r="268" spans="1:12" ht="207.6" customHeight="1">
      <c r="A268" s="55" t="s">
        <v>278</v>
      </c>
      <c r="E268" s="72">
        <f>SUMIF(History1!B:B, A268, History1!C:C)</f>
        <v>0</v>
      </c>
      <c r="K268" s="71" t="s">
        <v>2237</v>
      </c>
      <c r="L268" s="73" t="s">
        <v>1279</v>
      </c>
    </row>
    <row r="269" spans="1:12" ht="207.6" customHeight="1">
      <c r="A269" s="55" t="s">
        <v>279</v>
      </c>
      <c r="E269" s="72">
        <f>SUMIF(History1!B:B, A269, History1!C:C)</f>
        <v>0</v>
      </c>
      <c r="K269" s="71" t="s">
        <v>2238</v>
      </c>
      <c r="L269" s="73" t="s">
        <v>1280</v>
      </c>
    </row>
    <row r="270" spans="1:12" ht="207.6" customHeight="1">
      <c r="A270" s="55" t="s">
        <v>280</v>
      </c>
      <c r="E270" s="72">
        <f>SUMIF(History1!B:B, A270, History1!C:C)</f>
        <v>0</v>
      </c>
      <c r="K270" s="71" t="s">
        <v>2239</v>
      </c>
      <c r="L270" s="73" t="s">
        <v>1281</v>
      </c>
    </row>
    <row r="271" spans="1:12" ht="207.6" customHeight="1">
      <c r="A271" s="55" t="s">
        <v>281</v>
      </c>
      <c r="E271" s="72">
        <f>SUMIF(History1!B:B, A271, History1!C:C)</f>
        <v>0</v>
      </c>
      <c r="K271" s="71" t="s">
        <v>2240</v>
      </c>
      <c r="L271" s="73" t="s">
        <v>1282</v>
      </c>
    </row>
    <row r="272" spans="1:12" ht="207.6" customHeight="1">
      <c r="A272" s="55" t="s">
        <v>282</v>
      </c>
      <c r="E272" s="72">
        <f>SUMIF(History1!B:B, A272, History1!C:C)</f>
        <v>0</v>
      </c>
      <c r="K272" s="71" t="s">
        <v>2241</v>
      </c>
      <c r="L272" s="73" t="s">
        <v>1283</v>
      </c>
    </row>
    <row r="273" spans="1:12" ht="207.6" customHeight="1">
      <c r="A273" s="55" t="s">
        <v>283</v>
      </c>
      <c r="E273" s="72">
        <f>SUMIF(History1!B:B, A273, History1!C:C)</f>
        <v>0</v>
      </c>
      <c r="K273" s="71" t="s">
        <v>2242</v>
      </c>
      <c r="L273" s="73" t="s">
        <v>1284</v>
      </c>
    </row>
    <row r="274" spans="1:12" ht="207.6" customHeight="1">
      <c r="A274" s="55" t="s">
        <v>284</v>
      </c>
      <c r="E274" s="72">
        <f>SUMIF(History1!B:B, A274, History1!C:C)</f>
        <v>0</v>
      </c>
      <c r="K274" s="71" t="s">
        <v>2243</v>
      </c>
      <c r="L274" s="73" t="s">
        <v>1285</v>
      </c>
    </row>
    <row r="275" spans="1:12" ht="207.6" customHeight="1">
      <c r="A275" s="55" t="s">
        <v>285</v>
      </c>
      <c r="E275" s="72">
        <f>SUMIF(History1!B:B, A275, History1!C:C)</f>
        <v>0</v>
      </c>
      <c r="K275" s="71" t="s">
        <v>2244</v>
      </c>
      <c r="L275" s="73" t="s">
        <v>1286</v>
      </c>
    </row>
    <row r="276" spans="1:12" ht="207.6" customHeight="1">
      <c r="A276" s="55" t="s">
        <v>286</v>
      </c>
      <c r="E276" s="72">
        <f>SUMIF(History1!B:B, A276, History1!C:C)</f>
        <v>0</v>
      </c>
      <c r="K276" s="71" t="s">
        <v>2245</v>
      </c>
      <c r="L276" s="73" t="s">
        <v>1287</v>
      </c>
    </row>
    <row r="277" spans="1:12" ht="207.6" customHeight="1">
      <c r="A277" s="55" t="s">
        <v>287</v>
      </c>
      <c r="E277" s="72">
        <f>SUMIF(History1!B:B, A277, History1!C:C)</f>
        <v>0</v>
      </c>
      <c r="K277" s="71" t="s">
        <v>2246</v>
      </c>
      <c r="L277" s="73" t="s">
        <v>1288</v>
      </c>
    </row>
    <row r="278" spans="1:12" ht="207.6" customHeight="1">
      <c r="A278" s="55" t="s">
        <v>288</v>
      </c>
      <c r="E278" s="72">
        <f>SUMIF(History1!B:B, A278, History1!C:C)</f>
        <v>0</v>
      </c>
      <c r="K278" s="71" t="s">
        <v>2247</v>
      </c>
      <c r="L278" s="73" t="s">
        <v>1289</v>
      </c>
    </row>
    <row r="279" spans="1:12" ht="207.6" customHeight="1">
      <c r="A279" s="55" t="s">
        <v>289</v>
      </c>
      <c r="E279" s="72">
        <f>SUMIF(History1!B:B, A279, History1!C:C)</f>
        <v>0</v>
      </c>
      <c r="K279" s="71" t="s">
        <v>2248</v>
      </c>
      <c r="L279" s="73" t="s">
        <v>1290</v>
      </c>
    </row>
    <row r="280" spans="1:12" ht="207.6" customHeight="1">
      <c r="A280" s="55" t="s">
        <v>290</v>
      </c>
      <c r="E280" s="72">
        <f>SUMIF(History1!B:B, A280, History1!C:C)</f>
        <v>0</v>
      </c>
      <c r="K280" s="71" t="s">
        <v>2249</v>
      </c>
      <c r="L280" s="73" t="s">
        <v>1291</v>
      </c>
    </row>
    <row r="281" spans="1:12" ht="207.6" customHeight="1">
      <c r="A281" s="55" t="s">
        <v>291</v>
      </c>
      <c r="E281" s="72">
        <f>SUMIF(History1!B:B, A281, History1!C:C)</f>
        <v>0</v>
      </c>
      <c r="K281" s="71" t="s">
        <v>2250</v>
      </c>
      <c r="L281" s="73" t="s">
        <v>1292</v>
      </c>
    </row>
    <row r="282" spans="1:12" ht="207.6" customHeight="1">
      <c r="A282" s="55" t="s">
        <v>292</v>
      </c>
      <c r="E282" s="72">
        <f>SUMIF(History1!B:B, A282, History1!C:C)</f>
        <v>0</v>
      </c>
      <c r="K282" s="71" t="s">
        <v>2251</v>
      </c>
      <c r="L282" s="73" t="s">
        <v>1293</v>
      </c>
    </row>
    <row r="283" spans="1:12" ht="207.6" customHeight="1">
      <c r="A283" s="55" t="s">
        <v>293</v>
      </c>
      <c r="E283" s="72">
        <f>SUMIF(History1!B:B, A283, History1!C:C)</f>
        <v>0</v>
      </c>
      <c r="K283" s="71" t="s">
        <v>2252</v>
      </c>
      <c r="L283" s="73" t="s">
        <v>1294</v>
      </c>
    </row>
    <row r="284" spans="1:12" ht="207.6" customHeight="1">
      <c r="A284" s="55" t="s">
        <v>294</v>
      </c>
      <c r="E284" s="72">
        <f>SUMIF(History1!B:B, A284, History1!C:C)</f>
        <v>0</v>
      </c>
      <c r="K284" s="71" t="s">
        <v>2253</v>
      </c>
      <c r="L284" s="73" t="s">
        <v>1295</v>
      </c>
    </row>
    <row r="285" spans="1:12" ht="207.6" customHeight="1">
      <c r="A285" s="55" t="s">
        <v>295</v>
      </c>
      <c r="E285" s="72">
        <f>SUMIF(History1!B:B, A285, History1!C:C)</f>
        <v>0</v>
      </c>
      <c r="K285" s="71" t="s">
        <v>2254</v>
      </c>
      <c r="L285" s="73" t="s">
        <v>1296</v>
      </c>
    </row>
    <row r="286" spans="1:12" ht="207.6" customHeight="1">
      <c r="A286" s="55" t="s">
        <v>296</v>
      </c>
      <c r="E286" s="72">
        <f>SUMIF(History1!B:B, A286, History1!C:C)</f>
        <v>0</v>
      </c>
      <c r="K286" s="71" t="s">
        <v>2255</v>
      </c>
      <c r="L286" s="73" t="s">
        <v>1297</v>
      </c>
    </row>
    <row r="287" spans="1:12" ht="207.6" customHeight="1">
      <c r="A287" s="55" t="s">
        <v>297</v>
      </c>
      <c r="E287" s="72">
        <f>SUMIF(History1!B:B, A287, History1!C:C)</f>
        <v>0</v>
      </c>
      <c r="K287" s="71" t="s">
        <v>2256</v>
      </c>
      <c r="L287" s="73" t="s">
        <v>1298</v>
      </c>
    </row>
    <row r="288" spans="1:12" ht="207.6" customHeight="1">
      <c r="A288" s="55" t="s">
        <v>298</v>
      </c>
      <c r="E288" s="72">
        <f>SUMIF(History1!B:B, A288, History1!C:C)</f>
        <v>0</v>
      </c>
      <c r="K288" s="71" t="s">
        <v>2257</v>
      </c>
      <c r="L288" s="73" t="s">
        <v>1299</v>
      </c>
    </row>
    <row r="289" spans="1:12" ht="207.6" customHeight="1">
      <c r="A289" s="55" t="s">
        <v>299</v>
      </c>
      <c r="E289" s="72">
        <f>SUMIF(History1!B:B, A289, History1!C:C)</f>
        <v>0</v>
      </c>
      <c r="K289" s="71" t="s">
        <v>2258</v>
      </c>
      <c r="L289" s="73" t="s">
        <v>1300</v>
      </c>
    </row>
    <row r="290" spans="1:12" ht="207.6" customHeight="1">
      <c r="A290" s="55" t="s">
        <v>300</v>
      </c>
      <c r="E290" s="72">
        <f>SUMIF(History1!B:B, A290, History1!C:C)</f>
        <v>0</v>
      </c>
      <c r="K290" s="71" t="s">
        <v>2259</v>
      </c>
      <c r="L290" s="73" t="s">
        <v>1301</v>
      </c>
    </row>
    <row r="291" spans="1:12" ht="207.6" customHeight="1">
      <c r="A291" s="55" t="s">
        <v>301</v>
      </c>
      <c r="E291" s="72">
        <f>SUMIF(History1!B:B, A291, History1!C:C)</f>
        <v>0</v>
      </c>
      <c r="K291" s="71" t="s">
        <v>2260</v>
      </c>
      <c r="L291" s="73" t="s">
        <v>1302</v>
      </c>
    </row>
    <row r="292" spans="1:12" ht="207.6" customHeight="1">
      <c r="A292" s="55" t="s">
        <v>302</v>
      </c>
      <c r="E292" s="72">
        <f>SUMIF(History1!B:B, A292, History1!C:C)</f>
        <v>0</v>
      </c>
      <c r="K292" s="71" t="s">
        <v>2261</v>
      </c>
      <c r="L292" s="73" t="s">
        <v>1303</v>
      </c>
    </row>
    <row r="293" spans="1:12" ht="207.6" customHeight="1">
      <c r="A293" s="55" t="s">
        <v>303</v>
      </c>
      <c r="E293" s="72">
        <f>SUMIF(History1!B:B, A293, History1!C:C)</f>
        <v>0</v>
      </c>
      <c r="K293" s="71" t="s">
        <v>2262</v>
      </c>
      <c r="L293" s="73" t="s">
        <v>1304</v>
      </c>
    </row>
    <row r="294" spans="1:12" ht="207.6" customHeight="1">
      <c r="A294" s="55" t="s">
        <v>304</v>
      </c>
      <c r="E294" s="72">
        <f>SUMIF(History1!B:B, A294, History1!C:C)</f>
        <v>0</v>
      </c>
      <c r="K294" s="71" t="s">
        <v>2263</v>
      </c>
      <c r="L294" s="73" t="s">
        <v>1305</v>
      </c>
    </row>
    <row r="295" spans="1:12" ht="207.6" customHeight="1">
      <c r="A295" s="55" t="s">
        <v>305</v>
      </c>
      <c r="E295" s="72">
        <f>SUMIF(History1!B:B, A295, History1!C:C)</f>
        <v>0</v>
      </c>
      <c r="K295" s="71" t="s">
        <v>2264</v>
      </c>
      <c r="L295" s="73" t="s">
        <v>1306</v>
      </c>
    </row>
    <row r="296" spans="1:12" ht="207.6" customHeight="1">
      <c r="A296" s="55" t="s">
        <v>306</v>
      </c>
      <c r="E296" s="72">
        <f>SUMIF(History1!B:B, A296, History1!C:C)</f>
        <v>0</v>
      </c>
      <c r="K296" s="71" t="s">
        <v>2265</v>
      </c>
      <c r="L296" s="73" t="s">
        <v>1307</v>
      </c>
    </row>
    <row r="297" spans="1:12" ht="207.6" customHeight="1">
      <c r="A297" s="55" t="s">
        <v>307</v>
      </c>
      <c r="E297" s="72">
        <f>SUMIF(History1!B:B, A297, History1!C:C)</f>
        <v>0</v>
      </c>
      <c r="K297" s="71" t="s">
        <v>2266</v>
      </c>
      <c r="L297" s="73" t="s">
        <v>1308</v>
      </c>
    </row>
    <row r="298" spans="1:12" ht="207.6" customHeight="1">
      <c r="A298" s="55" t="s">
        <v>308</v>
      </c>
      <c r="E298" s="72">
        <f>SUMIF(History1!B:B, A298, History1!C:C)</f>
        <v>0</v>
      </c>
      <c r="K298" s="71" t="s">
        <v>2267</v>
      </c>
      <c r="L298" s="73" t="s">
        <v>1309</v>
      </c>
    </row>
    <row r="299" spans="1:12" ht="207.6" customHeight="1">
      <c r="A299" s="55" t="s">
        <v>309</v>
      </c>
      <c r="E299" s="72">
        <f>SUMIF(History1!B:B, A299, History1!C:C)</f>
        <v>0</v>
      </c>
      <c r="K299" s="71" t="s">
        <v>2268</v>
      </c>
      <c r="L299" s="73" t="s">
        <v>1310</v>
      </c>
    </row>
    <row r="300" spans="1:12" ht="207.6" customHeight="1">
      <c r="A300" s="55" t="s">
        <v>310</v>
      </c>
      <c r="E300" s="72">
        <f>SUMIF(History1!B:B, A300, History1!C:C)</f>
        <v>0</v>
      </c>
      <c r="K300" s="71" t="s">
        <v>2269</v>
      </c>
      <c r="L300" s="73" t="s">
        <v>1311</v>
      </c>
    </row>
    <row r="301" spans="1:12" ht="207.6" customHeight="1">
      <c r="A301" s="55" t="s">
        <v>311</v>
      </c>
      <c r="E301" s="72">
        <f>SUMIF(History1!B:B, A301, History1!C:C)</f>
        <v>0</v>
      </c>
      <c r="K301" s="71" t="s">
        <v>2270</v>
      </c>
      <c r="L301" s="73" t="s">
        <v>1312</v>
      </c>
    </row>
    <row r="302" spans="1:12" ht="207.6" customHeight="1">
      <c r="A302" s="55" t="s">
        <v>312</v>
      </c>
      <c r="E302" s="72">
        <f>SUMIF(History1!B:B, A302, History1!C:C)</f>
        <v>0</v>
      </c>
      <c r="K302" s="71" t="s">
        <v>2271</v>
      </c>
      <c r="L302" s="73" t="s">
        <v>1313</v>
      </c>
    </row>
    <row r="303" spans="1:12" ht="207.6" customHeight="1">
      <c r="A303" s="55" t="s">
        <v>313</v>
      </c>
      <c r="E303" s="72">
        <f>SUMIF(History1!B:B, A303, History1!C:C)</f>
        <v>0</v>
      </c>
      <c r="K303" s="71" t="s">
        <v>2272</v>
      </c>
      <c r="L303" s="73" t="s">
        <v>1314</v>
      </c>
    </row>
    <row r="304" spans="1:12" ht="207.6" customHeight="1">
      <c r="A304" s="55" t="s">
        <v>314</v>
      </c>
      <c r="E304" s="72">
        <f>SUMIF(History1!B:B, A304, History1!C:C)</f>
        <v>0</v>
      </c>
      <c r="K304" s="71" t="s">
        <v>2273</v>
      </c>
      <c r="L304" s="73" t="s">
        <v>1315</v>
      </c>
    </row>
    <row r="305" spans="1:12" ht="207.6" customHeight="1">
      <c r="A305" s="55" t="s">
        <v>315</v>
      </c>
      <c r="E305" s="72">
        <f>SUMIF(History1!B:B, A305, History1!C:C)</f>
        <v>0</v>
      </c>
      <c r="K305" s="71" t="s">
        <v>2274</v>
      </c>
      <c r="L305" s="73" t="s">
        <v>1316</v>
      </c>
    </row>
    <row r="306" spans="1:12" ht="207.6" customHeight="1">
      <c r="A306" s="55" t="s">
        <v>316</v>
      </c>
      <c r="E306" s="72">
        <f>SUMIF(History1!B:B, A306, History1!C:C)</f>
        <v>0</v>
      </c>
      <c r="K306" s="71" t="s">
        <v>2275</v>
      </c>
      <c r="L306" s="73" t="s">
        <v>1317</v>
      </c>
    </row>
    <row r="307" spans="1:12" ht="207.6" customHeight="1">
      <c r="A307" s="55" t="s">
        <v>317</v>
      </c>
      <c r="E307" s="72">
        <f>SUMIF(History1!B:B, A307, History1!C:C)</f>
        <v>0</v>
      </c>
      <c r="K307" s="71" t="s">
        <v>2276</v>
      </c>
      <c r="L307" s="73" t="s">
        <v>1318</v>
      </c>
    </row>
    <row r="308" spans="1:12" ht="207.6" customHeight="1">
      <c r="A308" s="55" t="s">
        <v>318</v>
      </c>
      <c r="E308" s="72">
        <f>SUMIF(History1!B:B, A308, History1!C:C)</f>
        <v>0</v>
      </c>
      <c r="K308" s="71" t="s">
        <v>2277</v>
      </c>
      <c r="L308" s="73" t="s">
        <v>1319</v>
      </c>
    </row>
    <row r="309" spans="1:12" ht="207.6" customHeight="1">
      <c r="A309" s="55" t="s">
        <v>319</v>
      </c>
      <c r="E309" s="72">
        <f>SUMIF(History1!B:B, A309, History1!C:C)</f>
        <v>0</v>
      </c>
      <c r="K309" s="71" t="s">
        <v>2278</v>
      </c>
      <c r="L309" s="73" t="s">
        <v>1320</v>
      </c>
    </row>
    <row r="310" spans="1:12" ht="207.6" customHeight="1">
      <c r="A310" s="55" t="s">
        <v>320</v>
      </c>
      <c r="E310" s="72">
        <f>SUMIF(History1!B:B, A310, History1!C:C)</f>
        <v>0</v>
      </c>
      <c r="K310" s="71" t="s">
        <v>2279</v>
      </c>
      <c r="L310" s="73" t="s">
        <v>1321</v>
      </c>
    </row>
    <row r="311" spans="1:12" ht="207.6" customHeight="1">
      <c r="A311" s="55" t="s">
        <v>321</v>
      </c>
      <c r="E311" s="72">
        <f>SUMIF(History1!B:B, A311, History1!C:C)</f>
        <v>0</v>
      </c>
      <c r="K311" s="71" t="s">
        <v>2280</v>
      </c>
      <c r="L311" s="73" t="s">
        <v>1322</v>
      </c>
    </row>
    <row r="312" spans="1:12" ht="207.6" customHeight="1">
      <c r="A312" s="55" t="s">
        <v>322</v>
      </c>
      <c r="E312" s="72">
        <f>SUMIF(History1!B:B, A312, History1!C:C)</f>
        <v>0</v>
      </c>
      <c r="K312" s="71" t="s">
        <v>2281</v>
      </c>
      <c r="L312" s="73" t="s">
        <v>1323</v>
      </c>
    </row>
    <row r="313" spans="1:12" ht="207.6" customHeight="1">
      <c r="A313" s="55" t="s">
        <v>323</v>
      </c>
      <c r="E313" s="72">
        <f>SUMIF(History1!B:B, A313, History1!C:C)</f>
        <v>0</v>
      </c>
      <c r="K313" s="71" t="s">
        <v>2282</v>
      </c>
      <c r="L313" s="73" t="s">
        <v>1324</v>
      </c>
    </row>
    <row r="314" spans="1:12" ht="207.6" customHeight="1">
      <c r="A314" s="55" t="s">
        <v>324</v>
      </c>
      <c r="E314" s="72">
        <f>SUMIF(History1!B:B, A314, History1!C:C)</f>
        <v>0</v>
      </c>
      <c r="K314" s="71" t="s">
        <v>2283</v>
      </c>
      <c r="L314" s="73" t="s">
        <v>1325</v>
      </c>
    </row>
    <row r="315" spans="1:12" ht="207.6" customHeight="1">
      <c r="A315" s="55" t="s">
        <v>325</v>
      </c>
      <c r="E315" s="72">
        <f>SUMIF(History1!B:B, A315, History1!C:C)</f>
        <v>0</v>
      </c>
      <c r="K315" s="71" t="s">
        <v>2284</v>
      </c>
      <c r="L315" s="73" t="s">
        <v>1326</v>
      </c>
    </row>
    <row r="316" spans="1:12" ht="207.6" customHeight="1">
      <c r="A316" s="55" t="s">
        <v>326</v>
      </c>
      <c r="E316" s="72">
        <f>SUMIF(History1!B:B, A316, History1!C:C)</f>
        <v>0</v>
      </c>
      <c r="K316" s="71" t="s">
        <v>2285</v>
      </c>
      <c r="L316" s="73" t="s">
        <v>1327</v>
      </c>
    </row>
    <row r="317" spans="1:12" ht="207.6" customHeight="1">
      <c r="A317" s="55" t="s">
        <v>327</v>
      </c>
      <c r="E317" s="72">
        <f>SUMIF(History1!B:B, A317, History1!C:C)</f>
        <v>0</v>
      </c>
      <c r="K317" s="71" t="s">
        <v>2286</v>
      </c>
      <c r="L317" s="73" t="s">
        <v>1328</v>
      </c>
    </row>
    <row r="318" spans="1:12" ht="207.6" customHeight="1">
      <c r="A318" s="55" t="s">
        <v>328</v>
      </c>
      <c r="E318" s="72">
        <f>SUMIF(History1!B:B, A318, History1!C:C)</f>
        <v>0</v>
      </c>
      <c r="K318" s="71" t="s">
        <v>2287</v>
      </c>
      <c r="L318" s="73" t="s">
        <v>1329</v>
      </c>
    </row>
    <row r="319" spans="1:12" ht="207.6" customHeight="1">
      <c r="A319" s="55" t="s">
        <v>329</v>
      </c>
      <c r="E319" s="72">
        <f>SUMIF(History1!B:B, A319, History1!C:C)</f>
        <v>0</v>
      </c>
      <c r="K319" s="71" t="s">
        <v>2288</v>
      </c>
      <c r="L319" s="73" t="s">
        <v>1330</v>
      </c>
    </row>
    <row r="320" spans="1:12" ht="207.6" customHeight="1">
      <c r="A320" s="55" t="s">
        <v>330</v>
      </c>
      <c r="E320" s="72">
        <f>SUMIF(History1!B:B, A320, History1!C:C)</f>
        <v>0</v>
      </c>
      <c r="K320" s="71" t="s">
        <v>2289</v>
      </c>
      <c r="L320" s="73" t="s">
        <v>1331</v>
      </c>
    </row>
    <row r="321" spans="1:12" ht="207.6" customHeight="1">
      <c r="A321" s="55" t="s">
        <v>331</v>
      </c>
      <c r="E321" s="72">
        <f>SUMIF(History1!B:B, A321, History1!C:C)</f>
        <v>0</v>
      </c>
      <c r="K321" s="71" t="s">
        <v>2290</v>
      </c>
      <c r="L321" s="73" t="s">
        <v>1332</v>
      </c>
    </row>
    <row r="322" spans="1:12" ht="207.6" customHeight="1">
      <c r="A322" s="55" t="s">
        <v>332</v>
      </c>
      <c r="E322" s="72">
        <f>SUMIF(History1!B:B, A322, History1!C:C)</f>
        <v>0</v>
      </c>
      <c r="K322" s="71" t="s">
        <v>2291</v>
      </c>
      <c r="L322" s="73" t="s">
        <v>1333</v>
      </c>
    </row>
    <row r="323" spans="1:12" ht="207.6" customHeight="1">
      <c r="A323" s="55" t="s">
        <v>333</v>
      </c>
      <c r="E323" s="72">
        <f>SUMIF(History1!B:B, A323, History1!C:C)</f>
        <v>0</v>
      </c>
      <c r="K323" s="71" t="s">
        <v>2292</v>
      </c>
      <c r="L323" s="73" t="s">
        <v>1334</v>
      </c>
    </row>
    <row r="324" spans="1:12" ht="207.6" customHeight="1">
      <c r="A324" s="55" t="s">
        <v>334</v>
      </c>
      <c r="E324" s="72">
        <f>SUMIF(History1!B:B, A324, History1!C:C)</f>
        <v>0</v>
      </c>
      <c r="K324" s="71" t="s">
        <v>2293</v>
      </c>
      <c r="L324" s="73" t="s">
        <v>1335</v>
      </c>
    </row>
    <row r="325" spans="1:12" ht="207.6" customHeight="1">
      <c r="A325" s="55" t="s">
        <v>335</v>
      </c>
      <c r="E325" s="72">
        <f>SUMIF(History1!B:B, A325, History1!C:C)</f>
        <v>0</v>
      </c>
      <c r="K325" s="71" t="s">
        <v>2294</v>
      </c>
      <c r="L325" s="73" t="s">
        <v>1336</v>
      </c>
    </row>
    <row r="326" spans="1:12" ht="207.6" customHeight="1">
      <c r="A326" s="55" t="s">
        <v>336</v>
      </c>
      <c r="E326" s="72">
        <f>SUMIF(History1!B:B, A326, History1!C:C)</f>
        <v>0</v>
      </c>
      <c r="K326" s="71" t="s">
        <v>2295</v>
      </c>
      <c r="L326" s="73" t="s">
        <v>1337</v>
      </c>
    </row>
    <row r="327" spans="1:12" ht="207.6" customHeight="1">
      <c r="A327" s="55" t="s">
        <v>337</v>
      </c>
      <c r="E327" s="72">
        <f>SUMIF(History1!B:B, A327, History1!C:C)</f>
        <v>0</v>
      </c>
      <c r="K327" s="71" t="s">
        <v>2296</v>
      </c>
      <c r="L327" s="73" t="s">
        <v>1338</v>
      </c>
    </row>
    <row r="328" spans="1:12" ht="207.6" customHeight="1">
      <c r="A328" s="55" t="s">
        <v>338</v>
      </c>
      <c r="E328" s="72">
        <f>SUMIF(History1!B:B, A328, History1!C:C)</f>
        <v>0</v>
      </c>
      <c r="K328" s="71" t="s">
        <v>2297</v>
      </c>
      <c r="L328" s="73" t="s">
        <v>1339</v>
      </c>
    </row>
    <row r="329" spans="1:12" ht="207.6" customHeight="1">
      <c r="A329" s="55" t="s">
        <v>339</v>
      </c>
      <c r="E329" s="72">
        <f>SUMIF(History1!B:B, A329, History1!C:C)</f>
        <v>0</v>
      </c>
      <c r="K329" s="71" t="s">
        <v>2298</v>
      </c>
      <c r="L329" s="73" t="s">
        <v>1340</v>
      </c>
    </row>
    <row r="330" spans="1:12" ht="207.6" customHeight="1">
      <c r="A330" s="55" t="s">
        <v>340</v>
      </c>
      <c r="E330" s="72">
        <f>SUMIF(History1!B:B, A330, History1!C:C)</f>
        <v>0</v>
      </c>
      <c r="K330" s="71" t="s">
        <v>2299</v>
      </c>
      <c r="L330" s="73" t="s">
        <v>1341</v>
      </c>
    </row>
    <row r="331" spans="1:12" ht="207.6" customHeight="1">
      <c r="A331" s="55" t="s">
        <v>341</v>
      </c>
      <c r="E331" s="72">
        <f>SUMIF(History1!B:B, A331, History1!C:C)</f>
        <v>0</v>
      </c>
      <c r="K331" s="71" t="s">
        <v>2300</v>
      </c>
      <c r="L331" s="73" t="s">
        <v>1342</v>
      </c>
    </row>
    <row r="332" spans="1:12" ht="207.6" customHeight="1">
      <c r="A332" s="55" t="s">
        <v>342</v>
      </c>
      <c r="E332" s="72">
        <f>SUMIF(History1!B:B, A332, History1!C:C)</f>
        <v>0</v>
      </c>
      <c r="K332" s="71" t="s">
        <v>2301</v>
      </c>
      <c r="L332" s="73" t="s">
        <v>1343</v>
      </c>
    </row>
    <row r="333" spans="1:12" ht="207.6" customHeight="1">
      <c r="A333" s="55" t="s">
        <v>343</v>
      </c>
      <c r="E333" s="72">
        <f>SUMIF(History1!B:B, A333, History1!C:C)</f>
        <v>0</v>
      </c>
      <c r="K333" s="71" t="s">
        <v>2302</v>
      </c>
      <c r="L333" s="73" t="s">
        <v>1344</v>
      </c>
    </row>
    <row r="334" spans="1:12" ht="207.6" customHeight="1">
      <c r="A334" s="55" t="s">
        <v>344</v>
      </c>
      <c r="E334" s="72">
        <f>SUMIF(History1!B:B, A334, History1!C:C)</f>
        <v>0</v>
      </c>
      <c r="K334" s="71" t="s">
        <v>2303</v>
      </c>
      <c r="L334" s="73" t="s">
        <v>1345</v>
      </c>
    </row>
    <row r="335" spans="1:12" ht="207.6" customHeight="1">
      <c r="A335" s="55" t="s">
        <v>345</v>
      </c>
      <c r="E335" s="72">
        <f>SUMIF(History1!B:B, A335, History1!C:C)</f>
        <v>0</v>
      </c>
      <c r="K335" s="71" t="s">
        <v>2304</v>
      </c>
      <c r="L335" s="73" t="s">
        <v>1346</v>
      </c>
    </row>
    <row r="336" spans="1:12" ht="207.6" customHeight="1">
      <c r="A336" s="55" t="s">
        <v>346</v>
      </c>
      <c r="E336" s="72">
        <f>SUMIF(History1!B:B, A336, History1!C:C)</f>
        <v>0</v>
      </c>
      <c r="K336" s="71" t="s">
        <v>2305</v>
      </c>
      <c r="L336" s="73" t="s">
        <v>1347</v>
      </c>
    </row>
    <row r="337" spans="1:12" ht="207.6" customHeight="1">
      <c r="A337" s="55" t="s">
        <v>347</v>
      </c>
      <c r="E337" s="72">
        <f>SUMIF(History1!B:B, A337, History1!C:C)</f>
        <v>0</v>
      </c>
      <c r="K337" s="71" t="s">
        <v>2306</v>
      </c>
      <c r="L337" s="73" t="s">
        <v>1348</v>
      </c>
    </row>
    <row r="338" spans="1:12" ht="207.6" customHeight="1">
      <c r="A338" s="55" t="s">
        <v>348</v>
      </c>
      <c r="E338" s="72">
        <f>SUMIF(History1!B:B, A338, History1!C:C)</f>
        <v>0</v>
      </c>
      <c r="K338" s="71" t="s">
        <v>2307</v>
      </c>
      <c r="L338" s="73" t="s">
        <v>1349</v>
      </c>
    </row>
    <row r="339" spans="1:12" ht="207.6" customHeight="1">
      <c r="A339" s="55" t="s">
        <v>349</v>
      </c>
      <c r="E339" s="72">
        <f>SUMIF(History1!B:B, A339, History1!C:C)</f>
        <v>0</v>
      </c>
      <c r="K339" s="71" t="s">
        <v>2308</v>
      </c>
      <c r="L339" s="73" t="s">
        <v>1350</v>
      </c>
    </row>
    <row r="340" spans="1:12" ht="207.6" customHeight="1">
      <c r="A340" s="55" t="s">
        <v>350</v>
      </c>
      <c r="E340" s="72">
        <f>SUMIF(History1!B:B, A340, History1!C:C)</f>
        <v>0</v>
      </c>
      <c r="K340" s="71" t="s">
        <v>2309</v>
      </c>
      <c r="L340" s="73" t="s">
        <v>1351</v>
      </c>
    </row>
    <row r="341" spans="1:12" ht="207.6" customHeight="1">
      <c r="A341" s="55" t="s">
        <v>351</v>
      </c>
      <c r="E341" s="72">
        <f>SUMIF(History1!B:B, A341, History1!C:C)</f>
        <v>0</v>
      </c>
      <c r="K341" s="71" t="s">
        <v>2310</v>
      </c>
      <c r="L341" s="73" t="s">
        <v>1352</v>
      </c>
    </row>
    <row r="342" spans="1:12" ht="207.6" customHeight="1">
      <c r="A342" s="55" t="s">
        <v>352</v>
      </c>
      <c r="E342" s="72">
        <f>SUMIF(History1!B:B, A342, History1!C:C)</f>
        <v>0</v>
      </c>
      <c r="K342" s="71" t="s">
        <v>2311</v>
      </c>
      <c r="L342" s="73" t="s">
        <v>1353</v>
      </c>
    </row>
    <row r="343" spans="1:12" ht="207.6" customHeight="1">
      <c r="A343" s="55" t="s">
        <v>353</v>
      </c>
      <c r="E343" s="72">
        <f>SUMIF(History1!B:B, A343, History1!C:C)</f>
        <v>0</v>
      </c>
      <c r="K343" s="71" t="s">
        <v>2312</v>
      </c>
      <c r="L343" s="73" t="s">
        <v>1354</v>
      </c>
    </row>
    <row r="344" spans="1:12" ht="207.6" customHeight="1">
      <c r="A344" s="55" t="s">
        <v>354</v>
      </c>
      <c r="E344" s="72">
        <f>SUMIF(History1!B:B, A344, History1!C:C)</f>
        <v>0</v>
      </c>
      <c r="K344" s="71" t="s">
        <v>2313</v>
      </c>
      <c r="L344" s="73" t="s">
        <v>1355</v>
      </c>
    </row>
    <row r="345" spans="1:12" ht="207.6" customHeight="1">
      <c r="A345" s="55" t="s">
        <v>355</v>
      </c>
      <c r="E345" s="72">
        <f>SUMIF(History1!B:B, A345, History1!C:C)</f>
        <v>0</v>
      </c>
      <c r="K345" s="71" t="s">
        <v>2314</v>
      </c>
      <c r="L345" s="73" t="s">
        <v>1356</v>
      </c>
    </row>
    <row r="346" spans="1:12" ht="207.6" customHeight="1">
      <c r="A346" s="55" t="s">
        <v>356</v>
      </c>
      <c r="E346" s="72">
        <f>SUMIF(History1!B:B, A346, History1!C:C)</f>
        <v>0</v>
      </c>
      <c r="K346" s="71" t="s">
        <v>2315</v>
      </c>
      <c r="L346" s="73" t="s">
        <v>1357</v>
      </c>
    </row>
    <row r="347" spans="1:12" ht="207.6" customHeight="1">
      <c r="A347" s="55" t="s">
        <v>357</v>
      </c>
      <c r="E347" s="72">
        <f>SUMIF(History1!B:B, A347, History1!C:C)</f>
        <v>0</v>
      </c>
      <c r="K347" s="71" t="s">
        <v>2316</v>
      </c>
      <c r="L347" s="73" t="s">
        <v>1358</v>
      </c>
    </row>
    <row r="348" spans="1:12" ht="207.6" customHeight="1">
      <c r="A348" s="55" t="s">
        <v>358</v>
      </c>
      <c r="E348" s="72">
        <f>SUMIF(History1!B:B, A348, History1!C:C)</f>
        <v>0</v>
      </c>
      <c r="K348" s="71" t="s">
        <v>2317</v>
      </c>
      <c r="L348" s="73" t="s">
        <v>1359</v>
      </c>
    </row>
    <row r="349" spans="1:12" ht="207.6" customHeight="1">
      <c r="A349" s="55" t="s">
        <v>359</v>
      </c>
      <c r="E349" s="72">
        <f>SUMIF(History1!B:B, A349, History1!C:C)</f>
        <v>0</v>
      </c>
      <c r="K349" s="71" t="s">
        <v>2318</v>
      </c>
      <c r="L349" s="73" t="s">
        <v>1360</v>
      </c>
    </row>
    <row r="350" spans="1:12" ht="207.6" customHeight="1">
      <c r="A350" s="55" t="s">
        <v>360</v>
      </c>
      <c r="E350" s="72">
        <f>SUMIF(History1!B:B, A350, History1!C:C)</f>
        <v>0</v>
      </c>
      <c r="K350" s="71" t="s">
        <v>2319</v>
      </c>
      <c r="L350" s="73" t="s">
        <v>1361</v>
      </c>
    </row>
    <row r="351" spans="1:12" ht="207.6" customHeight="1">
      <c r="A351" s="55" t="s">
        <v>361</v>
      </c>
      <c r="E351" s="72">
        <f>SUMIF(History1!B:B, A351, History1!C:C)</f>
        <v>0</v>
      </c>
      <c r="K351" s="71" t="s">
        <v>2320</v>
      </c>
      <c r="L351" s="73" t="s">
        <v>1362</v>
      </c>
    </row>
    <row r="352" spans="1:12" ht="207.6" customHeight="1">
      <c r="A352" s="55" t="s">
        <v>362</v>
      </c>
      <c r="E352" s="72">
        <f>SUMIF(History1!B:B, A352, History1!C:C)</f>
        <v>0</v>
      </c>
      <c r="K352" s="71" t="s">
        <v>2321</v>
      </c>
      <c r="L352" s="73" t="s">
        <v>1363</v>
      </c>
    </row>
    <row r="353" spans="1:12" ht="207.6" customHeight="1">
      <c r="A353" s="55" t="s">
        <v>363</v>
      </c>
      <c r="E353" s="72">
        <f>SUMIF(History1!B:B, A353, History1!C:C)</f>
        <v>0</v>
      </c>
      <c r="K353" s="71" t="s">
        <v>2322</v>
      </c>
      <c r="L353" s="73" t="s">
        <v>1364</v>
      </c>
    </row>
    <row r="354" spans="1:12" ht="207.6" customHeight="1">
      <c r="A354" s="55" t="s">
        <v>364</v>
      </c>
      <c r="E354" s="72">
        <f>SUMIF(History1!B:B, A354, History1!C:C)</f>
        <v>0</v>
      </c>
      <c r="K354" s="71" t="s">
        <v>2323</v>
      </c>
      <c r="L354" s="73" t="s">
        <v>1365</v>
      </c>
    </row>
    <row r="355" spans="1:12" ht="207.6" customHeight="1">
      <c r="A355" s="55" t="s">
        <v>365</v>
      </c>
      <c r="E355" s="72">
        <f>SUMIF(History1!B:B, A355, History1!C:C)</f>
        <v>0</v>
      </c>
      <c r="K355" s="71" t="s">
        <v>2324</v>
      </c>
      <c r="L355" s="73" t="s">
        <v>1366</v>
      </c>
    </row>
    <row r="356" spans="1:12" ht="207.6" customHeight="1">
      <c r="A356" s="55" t="s">
        <v>366</v>
      </c>
      <c r="E356" s="72">
        <f>SUMIF(History1!B:B, A356, History1!C:C)</f>
        <v>0</v>
      </c>
      <c r="K356" s="71" t="s">
        <v>2325</v>
      </c>
      <c r="L356" s="73" t="s">
        <v>1367</v>
      </c>
    </row>
    <row r="357" spans="1:12" ht="207.6" customHeight="1">
      <c r="A357" s="55" t="s">
        <v>367</v>
      </c>
      <c r="E357" s="72">
        <f>SUMIF(History1!B:B, A357, History1!C:C)</f>
        <v>0</v>
      </c>
      <c r="K357" s="71" t="s">
        <v>2326</v>
      </c>
      <c r="L357" s="73" t="s">
        <v>1368</v>
      </c>
    </row>
    <row r="358" spans="1:12" ht="207.6" customHeight="1">
      <c r="A358" s="55" t="s">
        <v>368</v>
      </c>
      <c r="E358" s="72">
        <f>SUMIF(History1!B:B, A358, History1!C:C)</f>
        <v>0</v>
      </c>
      <c r="K358" s="71" t="s">
        <v>2327</v>
      </c>
      <c r="L358" s="73" t="s">
        <v>1369</v>
      </c>
    </row>
    <row r="359" spans="1:12" ht="207.6" customHeight="1">
      <c r="A359" s="55" t="s">
        <v>369</v>
      </c>
      <c r="E359" s="72">
        <f>SUMIF(History1!B:B, A359, History1!C:C)</f>
        <v>0</v>
      </c>
      <c r="K359" s="71" t="s">
        <v>2328</v>
      </c>
      <c r="L359" s="73" t="s">
        <v>1370</v>
      </c>
    </row>
    <row r="360" spans="1:12" ht="207.6" customHeight="1">
      <c r="A360" s="55" t="s">
        <v>370</v>
      </c>
      <c r="E360" s="72">
        <f>SUMIF(History1!B:B, A360, History1!C:C)</f>
        <v>0</v>
      </c>
      <c r="K360" s="71" t="s">
        <v>2329</v>
      </c>
      <c r="L360" s="73" t="s">
        <v>1371</v>
      </c>
    </row>
    <row r="361" spans="1:12" ht="207.6" customHeight="1">
      <c r="A361" s="55" t="s">
        <v>371</v>
      </c>
      <c r="E361" s="72">
        <f>SUMIF(History1!B:B, A361, History1!C:C)</f>
        <v>0</v>
      </c>
      <c r="K361" s="71" t="s">
        <v>2330</v>
      </c>
      <c r="L361" s="73" t="s">
        <v>1372</v>
      </c>
    </row>
    <row r="362" spans="1:12" ht="207.6" customHeight="1">
      <c r="A362" s="55" t="s">
        <v>372</v>
      </c>
      <c r="E362" s="72">
        <f>SUMIF(History1!B:B, A362, History1!C:C)</f>
        <v>0</v>
      </c>
      <c r="K362" s="71" t="s">
        <v>2331</v>
      </c>
      <c r="L362" s="73" t="s">
        <v>1373</v>
      </c>
    </row>
    <row r="363" spans="1:12" ht="207.6" customHeight="1">
      <c r="A363" s="55" t="s">
        <v>373</v>
      </c>
      <c r="E363" s="72">
        <f>SUMIF(History1!B:B, A363, History1!C:C)</f>
        <v>0</v>
      </c>
      <c r="K363" s="71" t="s">
        <v>2332</v>
      </c>
      <c r="L363" s="73" t="s">
        <v>1374</v>
      </c>
    </row>
    <row r="364" spans="1:12" ht="207.6" customHeight="1">
      <c r="A364" s="55" t="s">
        <v>374</v>
      </c>
      <c r="E364" s="72">
        <f>SUMIF(History1!B:B, A364, History1!C:C)</f>
        <v>0</v>
      </c>
      <c r="K364" s="71" t="s">
        <v>2333</v>
      </c>
      <c r="L364" s="73" t="s">
        <v>1375</v>
      </c>
    </row>
    <row r="365" spans="1:12" ht="207.6" customHeight="1">
      <c r="A365" s="55" t="s">
        <v>375</v>
      </c>
      <c r="E365" s="72">
        <f>SUMIF(History1!B:B, A365, History1!C:C)</f>
        <v>0</v>
      </c>
      <c r="K365" s="71" t="s">
        <v>2334</v>
      </c>
      <c r="L365" s="73" t="s">
        <v>1376</v>
      </c>
    </row>
    <row r="366" spans="1:12" ht="207.6" customHeight="1">
      <c r="A366" s="55" t="s">
        <v>376</v>
      </c>
      <c r="E366" s="72">
        <f>SUMIF(History1!B:B, A366, History1!C:C)</f>
        <v>0</v>
      </c>
      <c r="K366" s="71" t="s">
        <v>2335</v>
      </c>
      <c r="L366" s="73" t="s">
        <v>1377</v>
      </c>
    </row>
    <row r="367" spans="1:12" ht="207.6" customHeight="1">
      <c r="A367" s="55" t="s">
        <v>377</v>
      </c>
      <c r="E367" s="72">
        <f>SUMIF(History1!B:B, A367, History1!C:C)</f>
        <v>0</v>
      </c>
      <c r="K367" s="71" t="s">
        <v>2336</v>
      </c>
      <c r="L367" s="73" t="s">
        <v>1378</v>
      </c>
    </row>
    <row r="368" spans="1:12" ht="207.6" customHeight="1">
      <c r="A368" s="55" t="s">
        <v>378</v>
      </c>
      <c r="E368" s="72">
        <f>SUMIF(History1!B:B, A368, History1!C:C)</f>
        <v>0</v>
      </c>
      <c r="K368" s="71" t="s">
        <v>2337</v>
      </c>
      <c r="L368" s="73" t="s">
        <v>1379</v>
      </c>
    </row>
    <row r="369" spans="1:12" ht="207.6" customHeight="1">
      <c r="A369" s="55" t="s">
        <v>379</v>
      </c>
      <c r="E369" s="72">
        <f>SUMIF(History1!B:B, A369, History1!C:C)</f>
        <v>0</v>
      </c>
      <c r="K369" s="71" t="s">
        <v>2338</v>
      </c>
      <c r="L369" s="73" t="s">
        <v>1380</v>
      </c>
    </row>
    <row r="370" spans="1:12" ht="207.6" customHeight="1">
      <c r="A370" s="55" t="s">
        <v>380</v>
      </c>
      <c r="E370" s="72">
        <f>SUMIF(History1!B:B, A370, History1!C:C)</f>
        <v>0</v>
      </c>
      <c r="K370" s="71" t="s">
        <v>2339</v>
      </c>
      <c r="L370" s="73" t="s">
        <v>1381</v>
      </c>
    </row>
    <row r="371" spans="1:12" ht="207.6" customHeight="1">
      <c r="A371" s="55" t="s">
        <v>381</v>
      </c>
      <c r="E371" s="72">
        <f>SUMIF(History1!B:B, A371, History1!C:C)</f>
        <v>0</v>
      </c>
      <c r="K371" s="71" t="s">
        <v>2340</v>
      </c>
      <c r="L371" s="73" t="s">
        <v>1382</v>
      </c>
    </row>
    <row r="372" spans="1:12" ht="207.6" customHeight="1">
      <c r="A372" s="55" t="s">
        <v>382</v>
      </c>
      <c r="E372" s="72">
        <f>SUMIF(History1!B:B, A372, History1!C:C)</f>
        <v>0</v>
      </c>
      <c r="K372" s="71" t="s">
        <v>2341</v>
      </c>
      <c r="L372" s="73" t="s">
        <v>1383</v>
      </c>
    </row>
    <row r="373" spans="1:12" ht="207.6" customHeight="1">
      <c r="A373" s="55" t="s">
        <v>383</v>
      </c>
      <c r="E373" s="72">
        <f>SUMIF(History1!B:B, A373, History1!C:C)</f>
        <v>0</v>
      </c>
      <c r="K373" s="71" t="s">
        <v>2342</v>
      </c>
      <c r="L373" s="73" t="s">
        <v>1384</v>
      </c>
    </row>
    <row r="374" spans="1:12" ht="207.6" customHeight="1">
      <c r="A374" s="55" t="s">
        <v>384</v>
      </c>
      <c r="E374" s="72">
        <f>SUMIF(History1!B:B, A374, History1!C:C)</f>
        <v>0</v>
      </c>
      <c r="K374" s="71" t="s">
        <v>2343</v>
      </c>
      <c r="L374" s="73" t="s">
        <v>1385</v>
      </c>
    </row>
    <row r="375" spans="1:12" ht="207.6" customHeight="1">
      <c r="A375" s="55" t="s">
        <v>385</v>
      </c>
      <c r="E375" s="72">
        <f>SUMIF(History1!B:B, A375, History1!C:C)</f>
        <v>0</v>
      </c>
      <c r="K375" s="71" t="s">
        <v>2344</v>
      </c>
      <c r="L375" s="73" t="s">
        <v>1386</v>
      </c>
    </row>
    <row r="376" spans="1:12" ht="207.6" customHeight="1">
      <c r="A376" s="55" t="s">
        <v>386</v>
      </c>
      <c r="E376" s="72">
        <f>SUMIF(History1!B:B, A376, History1!C:C)</f>
        <v>0</v>
      </c>
      <c r="K376" s="71" t="s">
        <v>2345</v>
      </c>
      <c r="L376" s="73" t="s">
        <v>1387</v>
      </c>
    </row>
    <row r="377" spans="1:12" ht="207.6" customHeight="1">
      <c r="A377" s="55" t="s">
        <v>387</v>
      </c>
      <c r="E377" s="72">
        <f>SUMIF(History1!B:B, A377, History1!C:C)</f>
        <v>0</v>
      </c>
      <c r="K377" s="71" t="s">
        <v>2346</v>
      </c>
      <c r="L377" s="73" t="s">
        <v>1388</v>
      </c>
    </row>
    <row r="378" spans="1:12" ht="207.6" customHeight="1">
      <c r="A378" s="55" t="s">
        <v>388</v>
      </c>
      <c r="E378" s="72">
        <f>SUMIF(History1!B:B, A378, History1!C:C)</f>
        <v>0</v>
      </c>
      <c r="K378" s="71" t="s">
        <v>2347</v>
      </c>
      <c r="L378" s="73" t="s">
        <v>1389</v>
      </c>
    </row>
    <row r="379" spans="1:12" ht="207.6" customHeight="1">
      <c r="A379" s="55" t="s">
        <v>389</v>
      </c>
      <c r="E379" s="72">
        <f>SUMIF(History1!B:B, A379, History1!C:C)</f>
        <v>0</v>
      </c>
      <c r="K379" s="71" t="s">
        <v>2348</v>
      </c>
      <c r="L379" s="73" t="s">
        <v>1390</v>
      </c>
    </row>
    <row r="380" spans="1:12" ht="207.6" customHeight="1">
      <c r="A380" s="55" t="s">
        <v>390</v>
      </c>
      <c r="E380" s="72">
        <f>SUMIF(History1!B:B, A380, History1!C:C)</f>
        <v>0</v>
      </c>
      <c r="K380" s="71" t="s">
        <v>2349</v>
      </c>
      <c r="L380" s="73" t="s">
        <v>1391</v>
      </c>
    </row>
    <row r="381" spans="1:12" ht="207.6" customHeight="1">
      <c r="A381" s="55" t="s">
        <v>391</v>
      </c>
      <c r="E381" s="72">
        <f>SUMIF(History1!B:B, A381, History1!C:C)</f>
        <v>0</v>
      </c>
      <c r="K381" s="71" t="s">
        <v>2350</v>
      </c>
      <c r="L381" s="73" t="s">
        <v>1392</v>
      </c>
    </row>
    <row r="382" spans="1:12" ht="207.6" customHeight="1">
      <c r="A382" s="55" t="s">
        <v>392</v>
      </c>
      <c r="E382" s="72">
        <f>SUMIF(History1!B:B, A382, History1!C:C)</f>
        <v>0</v>
      </c>
      <c r="K382" s="71" t="s">
        <v>2351</v>
      </c>
      <c r="L382" s="73" t="s">
        <v>1393</v>
      </c>
    </row>
    <row r="383" spans="1:12" ht="207.6" customHeight="1">
      <c r="A383" s="55" t="s">
        <v>393</v>
      </c>
      <c r="E383" s="72">
        <f>SUMIF(History1!B:B, A383, History1!C:C)</f>
        <v>0</v>
      </c>
      <c r="K383" s="71" t="s">
        <v>2352</v>
      </c>
      <c r="L383" s="73" t="s">
        <v>1394</v>
      </c>
    </row>
    <row r="384" spans="1:12" ht="207.6" customHeight="1">
      <c r="A384" s="55" t="s">
        <v>394</v>
      </c>
      <c r="E384" s="72">
        <f>SUMIF(History1!B:B, A384, History1!C:C)</f>
        <v>0</v>
      </c>
      <c r="K384" s="71" t="s">
        <v>2353</v>
      </c>
      <c r="L384" s="73" t="s">
        <v>1395</v>
      </c>
    </row>
    <row r="385" spans="1:12" ht="207.6" customHeight="1">
      <c r="A385" s="55" t="s">
        <v>395</v>
      </c>
      <c r="E385" s="72">
        <f>SUMIF(History1!B:B, A385, History1!C:C)</f>
        <v>0</v>
      </c>
      <c r="K385" s="71" t="s">
        <v>2354</v>
      </c>
      <c r="L385" s="73" t="s">
        <v>1396</v>
      </c>
    </row>
    <row r="386" spans="1:12" ht="207.6" customHeight="1">
      <c r="A386" s="55" t="s">
        <v>396</v>
      </c>
      <c r="E386" s="72">
        <f>SUMIF(History1!B:B, A386, History1!C:C)</f>
        <v>0</v>
      </c>
      <c r="K386" s="71" t="s">
        <v>2355</v>
      </c>
      <c r="L386" s="73" t="s">
        <v>1397</v>
      </c>
    </row>
    <row r="387" spans="1:12" ht="207.6" customHeight="1">
      <c r="A387" s="55" t="s">
        <v>397</v>
      </c>
      <c r="E387" s="72">
        <f>SUMIF(History1!B:B, A387, History1!C:C)</f>
        <v>0</v>
      </c>
      <c r="K387" s="71" t="s">
        <v>2356</v>
      </c>
      <c r="L387" s="73" t="s">
        <v>1398</v>
      </c>
    </row>
    <row r="388" spans="1:12" ht="207.6" customHeight="1">
      <c r="A388" s="55" t="s">
        <v>398</v>
      </c>
      <c r="E388" s="72">
        <f>SUMIF(History1!B:B, A388, History1!C:C)</f>
        <v>0</v>
      </c>
      <c r="K388" s="71" t="s">
        <v>2357</v>
      </c>
      <c r="L388" s="73" t="s">
        <v>1399</v>
      </c>
    </row>
    <row r="389" spans="1:12" ht="207.6" customHeight="1">
      <c r="A389" s="55" t="s">
        <v>399</v>
      </c>
      <c r="E389" s="72">
        <f>SUMIF(History1!B:B, A389, History1!C:C)</f>
        <v>0</v>
      </c>
      <c r="K389" s="71" t="s">
        <v>2358</v>
      </c>
      <c r="L389" s="73" t="s">
        <v>1400</v>
      </c>
    </row>
    <row r="390" spans="1:12" ht="207.6" customHeight="1">
      <c r="A390" s="55" t="s">
        <v>400</v>
      </c>
      <c r="E390" s="72">
        <f>SUMIF(History1!B:B, A390, History1!C:C)</f>
        <v>0</v>
      </c>
      <c r="K390" s="71" t="s">
        <v>2359</v>
      </c>
      <c r="L390" s="73" t="s">
        <v>1401</v>
      </c>
    </row>
    <row r="391" spans="1:12" ht="207.6" customHeight="1">
      <c r="A391" s="55" t="s">
        <v>401</v>
      </c>
      <c r="E391" s="72">
        <f>SUMIF(History1!B:B, A391, History1!C:C)</f>
        <v>0</v>
      </c>
      <c r="K391" s="71" t="s">
        <v>2360</v>
      </c>
      <c r="L391" s="73" t="s">
        <v>1402</v>
      </c>
    </row>
    <row r="392" spans="1:12" ht="207.6" customHeight="1">
      <c r="A392" s="55" t="s">
        <v>402</v>
      </c>
      <c r="E392" s="72">
        <f>SUMIF(History1!B:B, A392, History1!C:C)</f>
        <v>0</v>
      </c>
      <c r="K392" s="71" t="s">
        <v>2361</v>
      </c>
      <c r="L392" s="73" t="s">
        <v>1403</v>
      </c>
    </row>
    <row r="393" spans="1:12" ht="207.6" customHeight="1">
      <c r="A393" s="55" t="s">
        <v>403</v>
      </c>
      <c r="E393" s="72">
        <f>SUMIF(History1!B:B, A393, History1!C:C)</f>
        <v>0</v>
      </c>
      <c r="K393" s="71" t="s">
        <v>2362</v>
      </c>
      <c r="L393" s="73" t="s">
        <v>1404</v>
      </c>
    </row>
    <row r="394" spans="1:12" ht="207.6" customHeight="1">
      <c r="A394" s="55" t="s">
        <v>404</v>
      </c>
      <c r="E394" s="72">
        <f>SUMIF(History1!B:B, A394, History1!C:C)</f>
        <v>0</v>
      </c>
      <c r="K394" s="71" t="s">
        <v>2363</v>
      </c>
      <c r="L394" s="73" t="s">
        <v>1405</v>
      </c>
    </row>
    <row r="395" spans="1:12" ht="207.6" customHeight="1">
      <c r="A395" s="55" t="s">
        <v>405</v>
      </c>
      <c r="E395" s="72">
        <f>SUMIF(History1!B:B, A395, History1!C:C)</f>
        <v>0</v>
      </c>
      <c r="K395" s="71" t="s">
        <v>2364</v>
      </c>
      <c r="L395" s="73" t="s">
        <v>1406</v>
      </c>
    </row>
    <row r="396" spans="1:12" ht="207.6" customHeight="1">
      <c r="A396" s="55" t="s">
        <v>406</v>
      </c>
      <c r="E396" s="72">
        <f>SUMIF(History1!B:B, A396, History1!C:C)</f>
        <v>0</v>
      </c>
      <c r="K396" s="71" t="s">
        <v>2365</v>
      </c>
      <c r="L396" s="73" t="s">
        <v>1407</v>
      </c>
    </row>
    <row r="397" spans="1:12" ht="207.6" customHeight="1">
      <c r="A397" s="55" t="s">
        <v>407</v>
      </c>
      <c r="E397" s="72">
        <f>SUMIF(History1!B:B, A397, History1!C:C)</f>
        <v>0</v>
      </c>
      <c r="K397" s="71" t="s">
        <v>2366</v>
      </c>
      <c r="L397" s="73" t="s">
        <v>1408</v>
      </c>
    </row>
    <row r="398" spans="1:12" ht="207.6" customHeight="1">
      <c r="A398" s="55" t="s">
        <v>408</v>
      </c>
      <c r="E398" s="72">
        <f>SUMIF(History1!B:B, A398, History1!C:C)</f>
        <v>0</v>
      </c>
      <c r="K398" s="71" t="s">
        <v>2367</v>
      </c>
      <c r="L398" s="73" t="s">
        <v>1409</v>
      </c>
    </row>
    <row r="399" spans="1:12" ht="207.6" customHeight="1">
      <c r="A399" s="55" t="s">
        <v>409</v>
      </c>
      <c r="E399" s="72">
        <f>SUMIF(History1!B:B, A399, History1!C:C)</f>
        <v>0</v>
      </c>
      <c r="K399" s="71" t="s">
        <v>2368</v>
      </c>
      <c r="L399" s="73" t="s">
        <v>1410</v>
      </c>
    </row>
    <row r="400" spans="1:12" ht="207.6" customHeight="1">
      <c r="A400" s="55" t="s">
        <v>410</v>
      </c>
      <c r="E400" s="72">
        <f>SUMIF(History1!B:B, A400, History1!C:C)</f>
        <v>0</v>
      </c>
      <c r="K400" s="71" t="s">
        <v>2369</v>
      </c>
      <c r="L400" s="73" t="s">
        <v>1411</v>
      </c>
    </row>
    <row r="401" spans="1:12" ht="207.6" customHeight="1">
      <c r="A401" s="55" t="s">
        <v>411</v>
      </c>
      <c r="E401" s="72">
        <f>SUMIF(History1!B:B, A401, History1!C:C)</f>
        <v>0</v>
      </c>
      <c r="K401" s="71" t="s">
        <v>2370</v>
      </c>
      <c r="L401" s="73" t="s">
        <v>1412</v>
      </c>
    </row>
    <row r="402" spans="1:12" ht="207.6" customHeight="1">
      <c r="A402" s="55" t="s">
        <v>412</v>
      </c>
      <c r="E402" s="72">
        <f>SUMIF(History1!B:B, A402, History1!C:C)</f>
        <v>0</v>
      </c>
      <c r="K402" s="71" t="s">
        <v>2371</v>
      </c>
      <c r="L402" s="73" t="s">
        <v>1413</v>
      </c>
    </row>
    <row r="403" spans="1:12" ht="207.6" customHeight="1">
      <c r="A403" s="55" t="s">
        <v>413</v>
      </c>
      <c r="E403" s="72">
        <f>SUMIF(History1!B:B, A403, History1!C:C)</f>
        <v>0</v>
      </c>
      <c r="K403" s="71" t="s">
        <v>2372</v>
      </c>
      <c r="L403" s="73" t="s">
        <v>1414</v>
      </c>
    </row>
    <row r="404" spans="1:12" ht="207.6" customHeight="1">
      <c r="A404" s="55" t="s">
        <v>414</v>
      </c>
      <c r="E404" s="72">
        <f>SUMIF(History1!B:B, A404, History1!C:C)</f>
        <v>0</v>
      </c>
      <c r="K404" s="71" t="s">
        <v>2373</v>
      </c>
      <c r="L404" s="73" t="s">
        <v>1415</v>
      </c>
    </row>
    <row r="405" spans="1:12" ht="207.6" customHeight="1">
      <c r="A405" s="55" t="s">
        <v>415</v>
      </c>
      <c r="E405" s="72">
        <f>SUMIF(History1!B:B, A405, History1!C:C)</f>
        <v>0</v>
      </c>
      <c r="K405" s="71" t="s">
        <v>2374</v>
      </c>
      <c r="L405" s="73" t="s">
        <v>1416</v>
      </c>
    </row>
    <row r="406" spans="1:12" ht="207.6" customHeight="1">
      <c r="A406" s="55" t="s">
        <v>416</v>
      </c>
      <c r="E406" s="72">
        <f>SUMIF(History1!B:B, A406, History1!C:C)</f>
        <v>0</v>
      </c>
      <c r="K406" s="71" t="s">
        <v>2375</v>
      </c>
      <c r="L406" s="73" t="s">
        <v>1417</v>
      </c>
    </row>
    <row r="407" spans="1:12" ht="207.6" customHeight="1">
      <c r="A407" s="55" t="s">
        <v>417</v>
      </c>
      <c r="E407" s="72">
        <f>SUMIF(History1!B:B, A407, History1!C:C)</f>
        <v>0</v>
      </c>
      <c r="K407" s="71" t="s">
        <v>2376</v>
      </c>
      <c r="L407" s="73" t="s">
        <v>1418</v>
      </c>
    </row>
    <row r="408" spans="1:12" ht="207.6" customHeight="1">
      <c r="A408" s="55" t="s">
        <v>418</v>
      </c>
      <c r="E408" s="72">
        <f>SUMIF(History1!B:B, A408, History1!C:C)</f>
        <v>0</v>
      </c>
      <c r="K408" s="71" t="s">
        <v>2377</v>
      </c>
      <c r="L408" s="73" t="s">
        <v>1419</v>
      </c>
    </row>
    <row r="409" spans="1:12" ht="207.6" customHeight="1">
      <c r="A409" s="55" t="s">
        <v>419</v>
      </c>
      <c r="E409" s="72">
        <f>SUMIF(History1!B:B, A409, History1!C:C)</f>
        <v>0</v>
      </c>
      <c r="K409" s="71" t="s">
        <v>2378</v>
      </c>
      <c r="L409" s="73" t="s">
        <v>1420</v>
      </c>
    </row>
    <row r="410" spans="1:12" ht="207.6" customHeight="1">
      <c r="A410" s="55" t="s">
        <v>420</v>
      </c>
      <c r="E410" s="72">
        <f>SUMIF(History1!B:B, A410, History1!C:C)</f>
        <v>0</v>
      </c>
      <c r="K410" s="71" t="s">
        <v>2379</v>
      </c>
      <c r="L410" s="73" t="s">
        <v>1421</v>
      </c>
    </row>
    <row r="411" spans="1:12" ht="207.6" customHeight="1">
      <c r="A411" s="55" t="s">
        <v>421</v>
      </c>
      <c r="E411" s="72">
        <f>SUMIF(History1!B:B, A411, History1!C:C)</f>
        <v>0</v>
      </c>
      <c r="K411" s="71" t="s">
        <v>2380</v>
      </c>
      <c r="L411" s="73" t="s">
        <v>1422</v>
      </c>
    </row>
    <row r="412" spans="1:12" ht="207.6" customHeight="1">
      <c r="A412" s="55" t="s">
        <v>422</v>
      </c>
      <c r="E412" s="72">
        <f>SUMIF(History1!B:B, A412, History1!C:C)</f>
        <v>0</v>
      </c>
      <c r="K412" s="71" t="s">
        <v>2381</v>
      </c>
      <c r="L412" s="73" t="s">
        <v>1423</v>
      </c>
    </row>
    <row r="413" spans="1:12" ht="207.6" customHeight="1">
      <c r="A413" s="55" t="s">
        <v>423</v>
      </c>
      <c r="E413" s="72">
        <f>SUMIF(History1!B:B, A413, History1!C:C)</f>
        <v>0</v>
      </c>
      <c r="K413" s="71" t="s">
        <v>2382</v>
      </c>
      <c r="L413" s="73" t="s">
        <v>1424</v>
      </c>
    </row>
    <row r="414" spans="1:12" ht="207.6" customHeight="1">
      <c r="A414" s="55" t="s">
        <v>424</v>
      </c>
      <c r="E414" s="72">
        <f>SUMIF(History1!B:B, A414, History1!C:C)</f>
        <v>0</v>
      </c>
      <c r="K414" s="71" t="s">
        <v>2383</v>
      </c>
      <c r="L414" s="73" t="s">
        <v>1425</v>
      </c>
    </row>
    <row r="415" spans="1:12" ht="207.6" customHeight="1">
      <c r="A415" s="55" t="s">
        <v>425</v>
      </c>
      <c r="E415" s="72">
        <f>SUMIF(History1!B:B, A415, History1!C:C)</f>
        <v>0</v>
      </c>
      <c r="K415" s="71" t="s">
        <v>2384</v>
      </c>
      <c r="L415" s="73" t="s">
        <v>1426</v>
      </c>
    </row>
    <row r="416" spans="1:12" ht="207.6" customHeight="1">
      <c r="A416" s="55" t="s">
        <v>426</v>
      </c>
      <c r="E416" s="72">
        <f>SUMIF(History1!B:B, A416, History1!C:C)</f>
        <v>0</v>
      </c>
      <c r="K416" s="71" t="s">
        <v>2385</v>
      </c>
      <c r="L416" s="73" t="s">
        <v>1427</v>
      </c>
    </row>
    <row r="417" spans="1:12" ht="207.6" customHeight="1">
      <c r="A417" s="55" t="s">
        <v>427</v>
      </c>
      <c r="E417" s="72">
        <f>SUMIF(History1!B:B, A417, History1!C:C)</f>
        <v>0</v>
      </c>
      <c r="K417" s="71" t="s">
        <v>2386</v>
      </c>
      <c r="L417" s="73" t="s">
        <v>1428</v>
      </c>
    </row>
    <row r="418" spans="1:12" ht="207.6" customHeight="1">
      <c r="A418" s="55" t="s">
        <v>428</v>
      </c>
      <c r="E418" s="72">
        <f>SUMIF(History1!B:B, A418, History1!C:C)</f>
        <v>0</v>
      </c>
      <c r="K418" s="71" t="s">
        <v>2387</v>
      </c>
      <c r="L418" s="73" t="s">
        <v>1429</v>
      </c>
    </row>
    <row r="419" spans="1:12" ht="207.6" customHeight="1">
      <c r="A419" s="55" t="s">
        <v>429</v>
      </c>
      <c r="E419" s="72">
        <f>SUMIF(History1!B:B, A419, History1!C:C)</f>
        <v>0</v>
      </c>
      <c r="K419" s="71" t="s">
        <v>2388</v>
      </c>
      <c r="L419" s="73" t="s">
        <v>1430</v>
      </c>
    </row>
    <row r="420" spans="1:12" ht="207.6" customHeight="1">
      <c r="A420" s="55" t="s">
        <v>430</v>
      </c>
      <c r="E420" s="72">
        <f>SUMIF(History1!B:B, A420, History1!C:C)</f>
        <v>0</v>
      </c>
      <c r="K420" s="71" t="s">
        <v>2389</v>
      </c>
      <c r="L420" s="73" t="s">
        <v>1431</v>
      </c>
    </row>
    <row r="421" spans="1:12" ht="207.6" customHeight="1">
      <c r="A421" s="55" t="s">
        <v>431</v>
      </c>
      <c r="E421" s="72">
        <f>SUMIF(History1!B:B, A421, History1!C:C)</f>
        <v>0</v>
      </c>
      <c r="K421" s="71" t="s">
        <v>2390</v>
      </c>
      <c r="L421" s="73" t="s">
        <v>1432</v>
      </c>
    </row>
    <row r="422" spans="1:12" ht="207.6" customHeight="1">
      <c r="A422" s="55" t="s">
        <v>432</v>
      </c>
      <c r="E422" s="72">
        <f>SUMIF(History1!B:B, A422, History1!C:C)</f>
        <v>0</v>
      </c>
      <c r="K422" s="71" t="s">
        <v>2391</v>
      </c>
      <c r="L422" s="73" t="s">
        <v>1433</v>
      </c>
    </row>
    <row r="423" spans="1:12" ht="207.6" customHeight="1">
      <c r="A423" s="55" t="s">
        <v>433</v>
      </c>
      <c r="E423" s="72">
        <f>SUMIF(History1!B:B, A423, History1!C:C)</f>
        <v>0</v>
      </c>
      <c r="K423" s="71" t="s">
        <v>2392</v>
      </c>
      <c r="L423" s="73" t="s">
        <v>1434</v>
      </c>
    </row>
    <row r="424" spans="1:12" ht="207.6" customHeight="1">
      <c r="A424" s="55" t="s">
        <v>434</v>
      </c>
      <c r="E424" s="72">
        <f>SUMIF(History1!B:B, A424, History1!C:C)</f>
        <v>0</v>
      </c>
      <c r="K424" s="71" t="s">
        <v>2393</v>
      </c>
      <c r="L424" s="73" t="s">
        <v>1435</v>
      </c>
    </row>
    <row r="425" spans="1:12" ht="207.6" customHeight="1">
      <c r="A425" s="55" t="s">
        <v>435</v>
      </c>
      <c r="E425" s="72">
        <f>SUMIF(History1!B:B, A425, History1!C:C)</f>
        <v>0</v>
      </c>
      <c r="K425" s="71" t="s">
        <v>2394</v>
      </c>
      <c r="L425" s="73" t="s">
        <v>1436</v>
      </c>
    </row>
    <row r="426" spans="1:12" ht="207.6" customHeight="1">
      <c r="A426" s="55" t="s">
        <v>436</v>
      </c>
      <c r="E426" s="72">
        <f>SUMIF(History1!B:B, A426, History1!C:C)</f>
        <v>0</v>
      </c>
      <c r="K426" s="71" t="s">
        <v>2395</v>
      </c>
      <c r="L426" s="73" t="s">
        <v>1437</v>
      </c>
    </row>
    <row r="427" spans="1:12" ht="207.6" customHeight="1">
      <c r="A427" s="55" t="s">
        <v>437</v>
      </c>
      <c r="E427" s="72">
        <f>SUMIF(History1!B:B, A427, History1!C:C)</f>
        <v>0</v>
      </c>
      <c r="K427" s="71" t="s">
        <v>2396</v>
      </c>
      <c r="L427" s="73" t="s">
        <v>1438</v>
      </c>
    </row>
    <row r="428" spans="1:12" ht="207.6" customHeight="1">
      <c r="A428" s="55" t="s">
        <v>438</v>
      </c>
      <c r="E428" s="72">
        <f>SUMIF(History1!B:B, A428, History1!C:C)</f>
        <v>0</v>
      </c>
      <c r="K428" s="71" t="s">
        <v>2397</v>
      </c>
      <c r="L428" s="73" t="s">
        <v>1439</v>
      </c>
    </row>
    <row r="429" spans="1:12" ht="207.6" customHeight="1">
      <c r="A429" s="55" t="s">
        <v>439</v>
      </c>
      <c r="E429" s="72">
        <f>SUMIF(History1!B:B, A429, History1!C:C)</f>
        <v>0</v>
      </c>
      <c r="K429" s="71" t="s">
        <v>2398</v>
      </c>
      <c r="L429" s="73" t="s">
        <v>1440</v>
      </c>
    </row>
    <row r="430" spans="1:12" ht="207.6" customHeight="1">
      <c r="A430" s="55" t="s">
        <v>440</v>
      </c>
      <c r="E430" s="72">
        <f>SUMIF(History1!B:B, A430, History1!C:C)</f>
        <v>0</v>
      </c>
      <c r="K430" s="71" t="s">
        <v>2399</v>
      </c>
      <c r="L430" s="73" t="s">
        <v>1441</v>
      </c>
    </row>
    <row r="431" spans="1:12" ht="207.6" customHeight="1">
      <c r="A431" s="55" t="s">
        <v>441</v>
      </c>
      <c r="E431" s="72">
        <f>SUMIF(History1!B:B, A431, History1!C:C)</f>
        <v>0</v>
      </c>
      <c r="K431" s="71" t="s">
        <v>2400</v>
      </c>
      <c r="L431" s="73" t="s">
        <v>1442</v>
      </c>
    </row>
    <row r="432" spans="1:12" ht="207.6" customHeight="1">
      <c r="A432" s="55" t="s">
        <v>442</v>
      </c>
      <c r="E432" s="72">
        <f>SUMIF(History1!B:B, A432, History1!C:C)</f>
        <v>0</v>
      </c>
      <c r="K432" s="71" t="s">
        <v>2401</v>
      </c>
      <c r="L432" s="73" t="s">
        <v>1443</v>
      </c>
    </row>
    <row r="433" spans="1:12" ht="207.6" customHeight="1">
      <c r="A433" s="55" t="s">
        <v>443</v>
      </c>
      <c r="E433" s="72">
        <f>SUMIF(History1!B:B, A433, History1!C:C)</f>
        <v>0</v>
      </c>
      <c r="K433" s="71" t="s">
        <v>2402</v>
      </c>
      <c r="L433" s="73" t="s">
        <v>1444</v>
      </c>
    </row>
    <row r="434" spans="1:12" ht="207.6" customHeight="1">
      <c r="A434" s="55" t="s">
        <v>444</v>
      </c>
      <c r="E434" s="72">
        <f>SUMIF(History1!B:B, A434, History1!C:C)</f>
        <v>0</v>
      </c>
      <c r="K434" s="71" t="s">
        <v>2403</v>
      </c>
      <c r="L434" s="73" t="s">
        <v>1445</v>
      </c>
    </row>
    <row r="435" spans="1:12" ht="207.6" customHeight="1">
      <c r="A435" s="55" t="s">
        <v>445</v>
      </c>
      <c r="E435" s="72">
        <f>SUMIF(History1!B:B, A435, History1!C:C)</f>
        <v>0</v>
      </c>
      <c r="K435" s="71" t="s">
        <v>2404</v>
      </c>
      <c r="L435" s="73" t="s">
        <v>1446</v>
      </c>
    </row>
    <row r="436" spans="1:12" ht="207.6" customHeight="1">
      <c r="A436" s="55" t="s">
        <v>446</v>
      </c>
      <c r="E436" s="72">
        <f>SUMIF(History1!B:B, A436, History1!C:C)</f>
        <v>0</v>
      </c>
      <c r="K436" s="71" t="s">
        <v>2405</v>
      </c>
      <c r="L436" s="73" t="s">
        <v>1447</v>
      </c>
    </row>
    <row r="437" spans="1:12" ht="207.6" customHeight="1">
      <c r="A437" s="55" t="s">
        <v>447</v>
      </c>
      <c r="E437" s="72">
        <f>SUMIF(History1!B:B, A437, History1!C:C)</f>
        <v>0</v>
      </c>
      <c r="K437" s="71" t="s">
        <v>2406</v>
      </c>
      <c r="L437" s="73" t="s">
        <v>1448</v>
      </c>
    </row>
    <row r="438" spans="1:12" ht="207.6" customHeight="1">
      <c r="A438" s="55" t="s">
        <v>448</v>
      </c>
      <c r="E438" s="72">
        <f>SUMIF(History1!B:B, A438, History1!C:C)</f>
        <v>0</v>
      </c>
      <c r="K438" s="71" t="s">
        <v>2407</v>
      </c>
      <c r="L438" s="73" t="s">
        <v>1449</v>
      </c>
    </row>
    <row r="439" spans="1:12" ht="207.6" customHeight="1">
      <c r="A439" s="55" t="s">
        <v>449</v>
      </c>
      <c r="E439" s="72">
        <f>SUMIF(History1!B:B, A439, History1!C:C)</f>
        <v>0</v>
      </c>
      <c r="K439" s="71" t="s">
        <v>2408</v>
      </c>
      <c r="L439" s="73" t="s">
        <v>1450</v>
      </c>
    </row>
    <row r="440" spans="1:12" ht="207.6" customHeight="1">
      <c r="A440" s="55" t="s">
        <v>450</v>
      </c>
      <c r="E440" s="72">
        <f>SUMIF(History1!B:B, A440, History1!C:C)</f>
        <v>0</v>
      </c>
      <c r="K440" s="71" t="s">
        <v>2409</v>
      </c>
      <c r="L440" s="73" t="s">
        <v>1451</v>
      </c>
    </row>
    <row r="441" spans="1:12" ht="207.6" customHeight="1">
      <c r="A441" s="55" t="s">
        <v>451</v>
      </c>
      <c r="E441" s="72">
        <f>SUMIF(History1!B:B, A441, History1!C:C)</f>
        <v>0</v>
      </c>
      <c r="K441" s="71" t="s">
        <v>2410</v>
      </c>
      <c r="L441" s="73" t="s">
        <v>1452</v>
      </c>
    </row>
    <row r="442" spans="1:12" ht="207.6" customHeight="1">
      <c r="A442" s="55" t="s">
        <v>452</v>
      </c>
      <c r="E442" s="72">
        <f>SUMIF(History1!B:B, A442, History1!C:C)</f>
        <v>0</v>
      </c>
      <c r="K442" s="71" t="s">
        <v>2411</v>
      </c>
      <c r="L442" s="73" t="s">
        <v>1453</v>
      </c>
    </row>
    <row r="443" spans="1:12" ht="207.6" customHeight="1">
      <c r="A443" s="55" t="s">
        <v>453</v>
      </c>
      <c r="E443" s="72">
        <f>SUMIF(History1!B:B, A443, History1!C:C)</f>
        <v>0</v>
      </c>
      <c r="K443" s="71" t="s">
        <v>2412</v>
      </c>
      <c r="L443" s="73" t="s">
        <v>1454</v>
      </c>
    </row>
    <row r="444" spans="1:12" ht="207.6" customHeight="1">
      <c r="A444" s="55" t="s">
        <v>454</v>
      </c>
      <c r="E444" s="72">
        <f>SUMIF(History1!B:B, A444, History1!C:C)</f>
        <v>0</v>
      </c>
      <c r="K444" s="71" t="s">
        <v>2413</v>
      </c>
      <c r="L444" s="73" t="s">
        <v>1455</v>
      </c>
    </row>
    <row r="445" spans="1:12" ht="207.6" customHeight="1">
      <c r="A445" s="55" t="s">
        <v>455</v>
      </c>
      <c r="E445" s="72">
        <f>SUMIF(History1!B:B, A445, History1!C:C)</f>
        <v>0</v>
      </c>
      <c r="K445" s="71" t="s">
        <v>2414</v>
      </c>
      <c r="L445" s="73" t="s">
        <v>1456</v>
      </c>
    </row>
    <row r="446" spans="1:12" ht="207.6" customHeight="1">
      <c r="A446" s="55" t="s">
        <v>456</v>
      </c>
      <c r="E446" s="72">
        <f>SUMIF(History1!B:B, A446, History1!C:C)</f>
        <v>0</v>
      </c>
      <c r="K446" s="71" t="s">
        <v>2415</v>
      </c>
      <c r="L446" s="73" t="s">
        <v>1457</v>
      </c>
    </row>
    <row r="447" spans="1:12" ht="207.6" customHeight="1">
      <c r="A447" s="55" t="s">
        <v>457</v>
      </c>
      <c r="E447" s="72">
        <f>SUMIF(History1!B:B, A447, History1!C:C)</f>
        <v>0</v>
      </c>
      <c r="K447" s="71" t="s">
        <v>2416</v>
      </c>
      <c r="L447" s="73" t="s">
        <v>1458</v>
      </c>
    </row>
    <row r="448" spans="1:12" ht="207.6" customHeight="1">
      <c r="A448" s="55" t="s">
        <v>458</v>
      </c>
      <c r="E448" s="72">
        <f>SUMIF(History1!B:B, A448, History1!C:C)</f>
        <v>0</v>
      </c>
      <c r="K448" s="71" t="s">
        <v>2417</v>
      </c>
      <c r="L448" s="73" t="s">
        <v>1459</v>
      </c>
    </row>
    <row r="449" spans="1:12" ht="207.6" customHeight="1">
      <c r="A449" s="55" t="s">
        <v>459</v>
      </c>
      <c r="E449" s="72">
        <f>SUMIF(History1!B:B, A449, History1!C:C)</f>
        <v>0</v>
      </c>
      <c r="K449" s="71" t="s">
        <v>2418</v>
      </c>
      <c r="L449" s="73" t="s">
        <v>1460</v>
      </c>
    </row>
    <row r="450" spans="1:12" ht="207.6" customHeight="1">
      <c r="A450" s="55" t="s">
        <v>460</v>
      </c>
      <c r="E450" s="72">
        <f>SUMIF(History1!B:B, A450, History1!C:C)</f>
        <v>0</v>
      </c>
      <c r="K450" s="71" t="s">
        <v>2419</v>
      </c>
      <c r="L450" s="73" t="s">
        <v>1461</v>
      </c>
    </row>
    <row r="451" spans="1:12" ht="207.6" customHeight="1">
      <c r="A451" s="55" t="s">
        <v>461</v>
      </c>
      <c r="E451" s="72">
        <f>SUMIF(History1!B:B, A451, History1!C:C)</f>
        <v>0</v>
      </c>
      <c r="K451" s="71" t="s">
        <v>2420</v>
      </c>
      <c r="L451" s="73" t="s">
        <v>1462</v>
      </c>
    </row>
    <row r="452" spans="1:12" ht="207.6" customHeight="1">
      <c r="A452" s="55" t="s">
        <v>462</v>
      </c>
      <c r="E452" s="72">
        <f>SUMIF(History1!B:B, A452, History1!C:C)</f>
        <v>0</v>
      </c>
      <c r="K452" s="71" t="s">
        <v>2421</v>
      </c>
      <c r="L452" s="73" t="s">
        <v>1463</v>
      </c>
    </row>
    <row r="453" spans="1:12" ht="207.6" customHeight="1">
      <c r="A453" s="55" t="s">
        <v>463</v>
      </c>
      <c r="E453" s="72">
        <f>SUMIF(History1!B:B, A453, History1!C:C)</f>
        <v>0</v>
      </c>
      <c r="K453" s="71" t="s">
        <v>2422</v>
      </c>
      <c r="L453" s="73" t="s">
        <v>1464</v>
      </c>
    </row>
    <row r="454" spans="1:12" ht="207.6" customHeight="1">
      <c r="A454" s="55" t="s">
        <v>464</v>
      </c>
      <c r="E454" s="72">
        <f>SUMIF(History1!B:B, A454, History1!C:C)</f>
        <v>0</v>
      </c>
      <c r="K454" s="71" t="s">
        <v>2423</v>
      </c>
      <c r="L454" s="73" t="s">
        <v>1465</v>
      </c>
    </row>
    <row r="455" spans="1:12" ht="207.6" customHeight="1">
      <c r="A455" s="55" t="s">
        <v>465</v>
      </c>
      <c r="E455" s="72">
        <f>SUMIF(History1!B:B, A455, History1!C:C)</f>
        <v>0</v>
      </c>
      <c r="K455" s="71" t="s">
        <v>2424</v>
      </c>
      <c r="L455" s="73" t="s">
        <v>1466</v>
      </c>
    </row>
    <row r="456" spans="1:12" ht="207.6" customHeight="1">
      <c r="A456" s="55" t="s">
        <v>466</v>
      </c>
      <c r="E456" s="72">
        <f>SUMIF(History1!B:B, A456, History1!C:C)</f>
        <v>0</v>
      </c>
      <c r="K456" s="71" t="s">
        <v>2425</v>
      </c>
      <c r="L456" s="73" t="s">
        <v>1467</v>
      </c>
    </row>
    <row r="457" spans="1:12" ht="207.6" customHeight="1">
      <c r="A457" s="55" t="s">
        <v>467</v>
      </c>
      <c r="E457" s="72">
        <f>SUMIF(History1!B:B, A457, History1!C:C)</f>
        <v>0</v>
      </c>
      <c r="K457" s="71" t="s">
        <v>2426</v>
      </c>
      <c r="L457" s="73" t="s">
        <v>1468</v>
      </c>
    </row>
    <row r="458" spans="1:12" ht="207.6" customHeight="1">
      <c r="A458" s="55" t="s">
        <v>468</v>
      </c>
      <c r="E458" s="72">
        <f>SUMIF(History1!B:B, A458, History1!C:C)</f>
        <v>0</v>
      </c>
      <c r="K458" s="71" t="s">
        <v>2427</v>
      </c>
      <c r="L458" s="73" t="s">
        <v>1469</v>
      </c>
    </row>
    <row r="459" spans="1:12" ht="207.6" customHeight="1">
      <c r="A459" s="55" t="s">
        <v>469</v>
      </c>
      <c r="E459" s="72">
        <f>SUMIF(History1!B:B, A459, History1!C:C)</f>
        <v>0</v>
      </c>
      <c r="K459" s="71" t="s">
        <v>2428</v>
      </c>
      <c r="L459" s="73" t="s">
        <v>1470</v>
      </c>
    </row>
    <row r="460" spans="1:12" ht="207.6" customHeight="1">
      <c r="A460" s="55" t="s">
        <v>470</v>
      </c>
      <c r="E460" s="72">
        <f>SUMIF(History1!B:B, A460, History1!C:C)</f>
        <v>0</v>
      </c>
      <c r="K460" s="71" t="s">
        <v>2429</v>
      </c>
      <c r="L460" s="73" t="s">
        <v>1471</v>
      </c>
    </row>
    <row r="461" spans="1:12" ht="207.6" customHeight="1">
      <c r="A461" s="55" t="s">
        <v>471</v>
      </c>
      <c r="E461" s="72">
        <f>SUMIF(History1!B:B, A461, History1!C:C)</f>
        <v>0</v>
      </c>
      <c r="K461" s="71" t="s">
        <v>2430</v>
      </c>
      <c r="L461" s="73" t="s">
        <v>1472</v>
      </c>
    </row>
    <row r="462" spans="1:12" ht="207.6" customHeight="1">
      <c r="A462" s="55" t="s">
        <v>472</v>
      </c>
      <c r="E462" s="72">
        <f>SUMIF(History1!B:B, A462, History1!C:C)</f>
        <v>0</v>
      </c>
      <c r="K462" s="71" t="s">
        <v>2431</v>
      </c>
      <c r="L462" s="73" t="s">
        <v>1473</v>
      </c>
    </row>
    <row r="463" spans="1:12" ht="207.6" customHeight="1">
      <c r="A463" s="55" t="s">
        <v>473</v>
      </c>
      <c r="E463" s="72">
        <f>SUMIF(History1!B:B, A463, History1!C:C)</f>
        <v>0</v>
      </c>
      <c r="K463" s="71" t="s">
        <v>2432</v>
      </c>
      <c r="L463" s="73" t="s">
        <v>1474</v>
      </c>
    </row>
    <row r="464" spans="1:12" ht="207.6" customHeight="1">
      <c r="A464" s="55" t="s">
        <v>474</v>
      </c>
      <c r="E464" s="72">
        <f>SUMIF(History1!B:B, A464, History1!C:C)</f>
        <v>0</v>
      </c>
      <c r="K464" s="71" t="s">
        <v>2433</v>
      </c>
      <c r="L464" s="73" t="s">
        <v>1475</v>
      </c>
    </row>
    <row r="465" spans="1:12" ht="207.6" customHeight="1">
      <c r="A465" s="55" t="s">
        <v>475</v>
      </c>
      <c r="E465" s="72">
        <f>SUMIF(History1!B:B, A465, History1!C:C)</f>
        <v>0</v>
      </c>
      <c r="K465" s="71" t="s">
        <v>2434</v>
      </c>
      <c r="L465" s="73" t="s">
        <v>1476</v>
      </c>
    </row>
    <row r="466" spans="1:12" ht="207.6" customHeight="1">
      <c r="A466" s="55" t="s">
        <v>476</v>
      </c>
      <c r="E466" s="72">
        <f>SUMIF(History1!B:B, A466, History1!C:C)</f>
        <v>0</v>
      </c>
      <c r="K466" s="71" t="s">
        <v>2435</v>
      </c>
      <c r="L466" s="73" t="s">
        <v>1477</v>
      </c>
    </row>
    <row r="467" spans="1:12" ht="207.6" customHeight="1">
      <c r="A467" s="55" t="s">
        <v>477</v>
      </c>
      <c r="E467" s="72">
        <f>SUMIF(History1!B:B, A467, History1!C:C)</f>
        <v>0</v>
      </c>
      <c r="K467" s="71" t="s">
        <v>2436</v>
      </c>
      <c r="L467" s="73" t="s">
        <v>1478</v>
      </c>
    </row>
    <row r="468" spans="1:12" ht="207.6" customHeight="1">
      <c r="A468" s="55" t="s">
        <v>478</v>
      </c>
      <c r="E468" s="72">
        <f>SUMIF(History1!B:B, A468, History1!C:C)</f>
        <v>0</v>
      </c>
      <c r="K468" s="71" t="s">
        <v>2437</v>
      </c>
      <c r="L468" s="73" t="s">
        <v>1479</v>
      </c>
    </row>
    <row r="469" spans="1:12" ht="207.6" customHeight="1">
      <c r="A469" s="55" t="s">
        <v>479</v>
      </c>
      <c r="E469" s="72">
        <f>SUMIF(History1!B:B, A469, History1!C:C)</f>
        <v>0</v>
      </c>
      <c r="K469" s="71" t="s">
        <v>2438</v>
      </c>
      <c r="L469" s="73" t="s">
        <v>1480</v>
      </c>
    </row>
    <row r="470" spans="1:12" ht="207.6" customHeight="1">
      <c r="A470" s="55" t="s">
        <v>480</v>
      </c>
      <c r="E470" s="72">
        <f>SUMIF(History1!B:B, A470, History1!C:C)</f>
        <v>0</v>
      </c>
      <c r="K470" s="71" t="s">
        <v>2439</v>
      </c>
      <c r="L470" s="73" t="s">
        <v>1481</v>
      </c>
    </row>
    <row r="471" spans="1:12" ht="207.6" customHeight="1">
      <c r="A471" s="55" t="s">
        <v>481</v>
      </c>
      <c r="E471" s="72">
        <f>SUMIF(History1!B:B, A471, History1!C:C)</f>
        <v>0</v>
      </c>
      <c r="K471" s="71" t="s">
        <v>2440</v>
      </c>
      <c r="L471" s="73" t="s">
        <v>1482</v>
      </c>
    </row>
    <row r="472" spans="1:12" ht="207.6" customHeight="1">
      <c r="A472" s="55" t="s">
        <v>482</v>
      </c>
      <c r="E472" s="72">
        <f>SUMIF(History1!B:B, A472, History1!C:C)</f>
        <v>0</v>
      </c>
      <c r="K472" s="71" t="s">
        <v>2441</v>
      </c>
      <c r="L472" s="73" t="s">
        <v>1483</v>
      </c>
    </row>
    <row r="473" spans="1:12" ht="207.6" customHeight="1">
      <c r="A473" s="55" t="s">
        <v>483</v>
      </c>
      <c r="E473" s="72">
        <f>SUMIF(History1!B:B, A473, History1!C:C)</f>
        <v>0</v>
      </c>
      <c r="K473" s="71" t="s">
        <v>2442</v>
      </c>
      <c r="L473" s="73" t="s">
        <v>1484</v>
      </c>
    </row>
    <row r="474" spans="1:12" ht="207.6" customHeight="1">
      <c r="A474" s="55" t="s">
        <v>484</v>
      </c>
      <c r="E474" s="72">
        <f>SUMIF(History1!B:B, A474, History1!C:C)</f>
        <v>0</v>
      </c>
      <c r="K474" s="71" t="s">
        <v>2443</v>
      </c>
      <c r="L474" s="73" t="s">
        <v>1485</v>
      </c>
    </row>
    <row r="475" spans="1:12" ht="207.6" customHeight="1">
      <c r="A475" s="55" t="s">
        <v>485</v>
      </c>
      <c r="E475" s="72">
        <f>SUMIF(History1!B:B, A475, History1!C:C)</f>
        <v>0</v>
      </c>
      <c r="K475" s="71" t="s">
        <v>2444</v>
      </c>
      <c r="L475" s="73" t="s">
        <v>1486</v>
      </c>
    </row>
    <row r="476" spans="1:12" ht="207.6" customHeight="1">
      <c r="A476" s="55" t="s">
        <v>486</v>
      </c>
      <c r="E476" s="72">
        <f>SUMIF(History1!B:B, A476, History1!C:C)</f>
        <v>0</v>
      </c>
      <c r="K476" s="71" t="s">
        <v>2445</v>
      </c>
      <c r="L476" s="73" t="s">
        <v>1487</v>
      </c>
    </row>
    <row r="477" spans="1:12" ht="207.6" customHeight="1">
      <c r="A477" s="55" t="s">
        <v>487</v>
      </c>
      <c r="E477" s="72">
        <f>SUMIF(History1!B:B, A477, History1!C:C)</f>
        <v>0</v>
      </c>
      <c r="K477" s="71" t="s">
        <v>2446</v>
      </c>
      <c r="L477" s="73" t="s">
        <v>1488</v>
      </c>
    </row>
    <row r="478" spans="1:12" ht="207.6" customHeight="1">
      <c r="A478" s="55" t="s">
        <v>488</v>
      </c>
      <c r="E478" s="72">
        <f>SUMIF(History1!B:B, A478, History1!C:C)</f>
        <v>0</v>
      </c>
      <c r="K478" s="71" t="s">
        <v>2447</v>
      </c>
      <c r="L478" s="73" t="s">
        <v>1489</v>
      </c>
    </row>
    <row r="479" spans="1:12" ht="207.6" customHeight="1">
      <c r="A479" s="55" t="s">
        <v>489</v>
      </c>
      <c r="E479" s="72">
        <f>SUMIF(History1!B:B, A479, History1!C:C)</f>
        <v>0</v>
      </c>
      <c r="K479" s="71" t="s">
        <v>2448</v>
      </c>
      <c r="L479" s="73" t="s">
        <v>1490</v>
      </c>
    </row>
    <row r="480" spans="1:12" ht="207.6" customHeight="1">
      <c r="A480" s="55" t="s">
        <v>490</v>
      </c>
      <c r="E480" s="72">
        <f>SUMIF(History1!B:B, A480, History1!C:C)</f>
        <v>0</v>
      </c>
      <c r="K480" s="71" t="s">
        <v>2449</v>
      </c>
      <c r="L480" s="73" t="s">
        <v>1491</v>
      </c>
    </row>
    <row r="481" spans="1:12" ht="207.6" customHeight="1">
      <c r="A481" s="55" t="s">
        <v>491</v>
      </c>
      <c r="E481" s="72">
        <f>SUMIF(History1!B:B, A481, History1!C:C)</f>
        <v>0</v>
      </c>
      <c r="K481" s="71" t="s">
        <v>2450</v>
      </c>
      <c r="L481" s="73" t="s">
        <v>1492</v>
      </c>
    </row>
    <row r="482" spans="1:12" ht="207.6" customHeight="1">
      <c r="A482" s="55" t="s">
        <v>492</v>
      </c>
      <c r="E482" s="72">
        <f>SUMIF(History1!B:B, A482, History1!C:C)</f>
        <v>0</v>
      </c>
      <c r="K482" s="71" t="s">
        <v>2451</v>
      </c>
      <c r="L482" s="73" t="s">
        <v>1493</v>
      </c>
    </row>
    <row r="483" spans="1:12" ht="207.6" customHeight="1">
      <c r="A483" s="55" t="s">
        <v>493</v>
      </c>
      <c r="E483" s="72">
        <f>SUMIF(History1!B:B, A483, History1!C:C)</f>
        <v>0</v>
      </c>
      <c r="K483" s="71" t="s">
        <v>2452</v>
      </c>
      <c r="L483" s="73" t="s">
        <v>1494</v>
      </c>
    </row>
    <row r="484" spans="1:12" ht="207.6" customHeight="1">
      <c r="A484" s="55" t="s">
        <v>494</v>
      </c>
      <c r="E484" s="72">
        <f>SUMIF(History1!B:B, A484, History1!C:C)</f>
        <v>0</v>
      </c>
      <c r="K484" s="71" t="s">
        <v>2453</v>
      </c>
      <c r="L484" s="73" t="s">
        <v>1495</v>
      </c>
    </row>
    <row r="485" spans="1:12" ht="207.6" customHeight="1">
      <c r="A485" s="55" t="s">
        <v>495</v>
      </c>
      <c r="E485" s="72">
        <f>SUMIF(History1!B:B, A485, History1!C:C)</f>
        <v>0</v>
      </c>
      <c r="K485" s="71" t="s">
        <v>2454</v>
      </c>
      <c r="L485" s="73" t="s">
        <v>1496</v>
      </c>
    </row>
    <row r="486" spans="1:12" ht="207.6" customHeight="1">
      <c r="A486" s="55" t="s">
        <v>496</v>
      </c>
      <c r="E486" s="72">
        <f>SUMIF(History1!B:B, A486, History1!C:C)</f>
        <v>0</v>
      </c>
      <c r="K486" s="71" t="s">
        <v>2455</v>
      </c>
      <c r="L486" s="73" t="s">
        <v>1497</v>
      </c>
    </row>
    <row r="487" spans="1:12" ht="207.6" customHeight="1">
      <c r="A487" s="55" t="s">
        <v>497</v>
      </c>
      <c r="E487" s="72">
        <f>SUMIF(History1!B:B, A487, History1!C:C)</f>
        <v>0</v>
      </c>
      <c r="K487" s="71" t="s">
        <v>2456</v>
      </c>
      <c r="L487" s="73" t="s">
        <v>1498</v>
      </c>
    </row>
    <row r="488" spans="1:12" ht="207.6" customHeight="1">
      <c r="A488" s="55" t="s">
        <v>498</v>
      </c>
      <c r="E488" s="72">
        <f>SUMIF(History1!B:B, A488, History1!C:C)</f>
        <v>0</v>
      </c>
      <c r="K488" s="71" t="s">
        <v>2457</v>
      </c>
      <c r="L488" s="73" t="s">
        <v>1499</v>
      </c>
    </row>
    <row r="489" spans="1:12" ht="207.6" customHeight="1">
      <c r="A489" s="55" t="s">
        <v>499</v>
      </c>
      <c r="E489" s="72">
        <f>SUMIF(History1!B:B, A489, History1!C:C)</f>
        <v>0</v>
      </c>
      <c r="K489" s="71" t="s">
        <v>2458</v>
      </c>
      <c r="L489" s="73" t="s">
        <v>1500</v>
      </c>
    </row>
    <row r="490" spans="1:12" ht="207.6" customHeight="1">
      <c r="A490" s="55" t="s">
        <v>500</v>
      </c>
      <c r="E490" s="72">
        <f>SUMIF(History1!B:B, A490, History1!C:C)</f>
        <v>0</v>
      </c>
      <c r="K490" s="71" t="s">
        <v>2459</v>
      </c>
      <c r="L490" s="73" t="s">
        <v>1501</v>
      </c>
    </row>
    <row r="491" spans="1:12" ht="207.6" customHeight="1">
      <c r="A491" s="55" t="s">
        <v>501</v>
      </c>
      <c r="E491" s="72">
        <f>SUMIF(History1!B:B, A491, History1!C:C)</f>
        <v>0</v>
      </c>
      <c r="K491" s="71" t="s">
        <v>2460</v>
      </c>
      <c r="L491" s="73" t="s">
        <v>1502</v>
      </c>
    </row>
    <row r="492" spans="1:12" ht="207.6" customHeight="1">
      <c r="A492" s="55" t="s">
        <v>502</v>
      </c>
      <c r="E492" s="72">
        <f>SUMIF(History1!B:B, A492, History1!C:C)</f>
        <v>0</v>
      </c>
      <c r="K492" s="71" t="s">
        <v>2461</v>
      </c>
      <c r="L492" s="73" t="s">
        <v>1503</v>
      </c>
    </row>
    <row r="493" spans="1:12" ht="207.6" customHeight="1">
      <c r="A493" s="55" t="s">
        <v>503</v>
      </c>
      <c r="E493" s="72">
        <f>SUMIF(History1!B:B, A493, History1!C:C)</f>
        <v>0</v>
      </c>
      <c r="K493" s="71" t="s">
        <v>2462</v>
      </c>
      <c r="L493" s="73" t="s">
        <v>1504</v>
      </c>
    </row>
    <row r="494" spans="1:12" ht="207.6" customHeight="1">
      <c r="A494" s="55" t="s">
        <v>504</v>
      </c>
      <c r="E494" s="72">
        <f>SUMIF(History1!B:B, A494, History1!C:C)</f>
        <v>0</v>
      </c>
      <c r="K494" s="71" t="s">
        <v>2463</v>
      </c>
      <c r="L494" s="73" t="s">
        <v>1505</v>
      </c>
    </row>
    <row r="495" spans="1:12" ht="207.6" customHeight="1">
      <c r="A495" s="55" t="s">
        <v>505</v>
      </c>
      <c r="E495" s="72">
        <f>SUMIF(History1!B:B, A495, History1!C:C)</f>
        <v>0</v>
      </c>
      <c r="K495" s="71" t="s">
        <v>2464</v>
      </c>
      <c r="L495" s="73" t="s">
        <v>1506</v>
      </c>
    </row>
    <row r="496" spans="1:12" ht="207.6" customHeight="1">
      <c r="A496" s="55" t="s">
        <v>506</v>
      </c>
      <c r="E496" s="72">
        <f>SUMIF(History1!B:B, A496, History1!C:C)</f>
        <v>0</v>
      </c>
      <c r="K496" s="71" t="s">
        <v>2465</v>
      </c>
      <c r="L496" s="73" t="s">
        <v>1507</v>
      </c>
    </row>
    <row r="497" spans="1:12" ht="207.6" customHeight="1">
      <c r="A497" s="55" t="s">
        <v>507</v>
      </c>
      <c r="E497" s="72">
        <f>SUMIF(History1!B:B, A497, History1!C:C)</f>
        <v>0</v>
      </c>
      <c r="K497" s="71" t="s">
        <v>2466</v>
      </c>
      <c r="L497" s="73" t="s">
        <v>1508</v>
      </c>
    </row>
    <row r="498" spans="1:12" ht="207.6" customHeight="1">
      <c r="A498" s="55" t="s">
        <v>508</v>
      </c>
      <c r="E498" s="72">
        <f>SUMIF(History1!B:B, A498, History1!C:C)</f>
        <v>0</v>
      </c>
      <c r="K498" s="71" t="s">
        <v>2467</v>
      </c>
      <c r="L498" s="73" t="s">
        <v>1509</v>
      </c>
    </row>
    <row r="499" spans="1:12" ht="207.6" customHeight="1">
      <c r="A499" s="55" t="s">
        <v>509</v>
      </c>
      <c r="E499" s="72">
        <f>SUMIF(History1!B:B, A499, History1!C:C)</f>
        <v>0</v>
      </c>
      <c r="K499" s="71" t="s">
        <v>2468</v>
      </c>
      <c r="L499" s="73" t="s">
        <v>1510</v>
      </c>
    </row>
    <row r="500" spans="1:12" ht="207.6" customHeight="1">
      <c r="A500" s="55" t="s">
        <v>510</v>
      </c>
      <c r="E500" s="72">
        <f>SUMIF(History1!B:B, A500, History1!C:C)</f>
        <v>0</v>
      </c>
      <c r="K500" s="71" t="s">
        <v>2469</v>
      </c>
      <c r="L500" s="73" t="s">
        <v>1511</v>
      </c>
    </row>
    <row r="501" spans="1:12" ht="207.6" customHeight="1">
      <c r="A501" s="55" t="s">
        <v>511</v>
      </c>
      <c r="E501" s="72">
        <f>SUMIF(History1!B:B, A501, History1!C:C)</f>
        <v>0</v>
      </c>
      <c r="K501" s="71" t="s">
        <v>2470</v>
      </c>
      <c r="L501" s="73" t="s">
        <v>1512</v>
      </c>
    </row>
    <row r="502" spans="1:12" ht="207.6" customHeight="1">
      <c r="A502" s="55" t="s">
        <v>512</v>
      </c>
      <c r="E502" s="72">
        <f>SUMIF(History1!B:B, A502, History1!C:C)</f>
        <v>0</v>
      </c>
      <c r="K502" s="71" t="s">
        <v>2471</v>
      </c>
      <c r="L502" s="73" t="s">
        <v>1513</v>
      </c>
    </row>
    <row r="503" spans="1:12" ht="207.6" customHeight="1">
      <c r="A503" s="55" t="s">
        <v>513</v>
      </c>
      <c r="E503" s="72">
        <f>SUMIF(History1!B:B, A503, History1!C:C)</f>
        <v>0</v>
      </c>
      <c r="K503" s="71" t="s">
        <v>2472</v>
      </c>
      <c r="L503" s="73" t="s">
        <v>1514</v>
      </c>
    </row>
    <row r="504" spans="1:12" ht="207.6" customHeight="1">
      <c r="A504" s="55" t="s">
        <v>514</v>
      </c>
      <c r="E504" s="72">
        <f>SUMIF(History1!B:B, A504, History1!C:C)</f>
        <v>0</v>
      </c>
      <c r="K504" s="71" t="s">
        <v>2473</v>
      </c>
      <c r="L504" s="73" t="s">
        <v>1515</v>
      </c>
    </row>
    <row r="505" spans="1:12" ht="207.6" customHeight="1">
      <c r="A505" s="55" t="s">
        <v>515</v>
      </c>
      <c r="E505" s="72">
        <f>SUMIF(History1!B:B, A505, History1!C:C)</f>
        <v>0</v>
      </c>
      <c r="K505" s="71" t="s">
        <v>2474</v>
      </c>
      <c r="L505" s="73" t="s">
        <v>1516</v>
      </c>
    </row>
    <row r="506" spans="1:12" ht="207.6" customHeight="1">
      <c r="A506" s="55" t="s">
        <v>516</v>
      </c>
      <c r="E506" s="72">
        <f>SUMIF(History1!B:B, A506, History1!C:C)</f>
        <v>0</v>
      </c>
      <c r="K506" s="71" t="s">
        <v>2475</v>
      </c>
      <c r="L506" s="73" t="s">
        <v>1517</v>
      </c>
    </row>
    <row r="507" spans="1:12" ht="207.6" customHeight="1">
      <c r="A507" s="55" t="s">
        <v>517</v>
      </c>
      <c r="E507" s="72">
        <f>SUMIF(History1!B:B, A507, History1!C:C)</f>
        <v>0</v>
      </c>
      <c r="K507" s="71" t="s">
        <v>2476</v>
      </c>
      <c r="L507" s="73" t="s">
        <v>1518</v>
      </c>
    </row>
    <row r="508" spans="1:12" ht="207.6" customHeight="1">
      <c r="A508" s="55" t="s">
        <v>518</v>
      </c>
      <c r="E508" s="72">
        <f>SUMIF(History1!B:B, A508, History1!C:C)</f>
        <v>0</v>
      </c>
      <c r="K508" s="71" t="s">
        <v>2477</v>
      </c>
      <c r="L508" s="73" t="s">
        <v>1519</v>
      </c>
    </row>
    <row r="509" spans="1:12" ht="207.6" customHeight="1">
      <c r="A509" s="55" t="s">
        <v>519</v>
      </c>
      <c r="E509" s="72">
        <f>SUMIF(History1!B:B, A509, History1!C:C)</f>
        <v>0</v>
      </c>
      <c r="K509" s="71" t="s">
        <v>2478</v>
      </c>
      <c r="L509" s="73" t="s">
        <v>1520</v>
      </c>
    </row>
    <row r="510" spans="1:12" ht="207.6" customHeight="1">
      <c r="A510" s="55" t="s">
        <v>520</v>
      </c>
      <c r="E510" s="72">
        <f>SUMIF(History1!B:B, A510, History1!C:C)</f>
        <v>0</v>
      </c>
      <c r="K510" s="71" t="s">
        <v>2479</v>
      </c>
      <c r="L510" s="73" t="s">
        <v>1521</v>
      </c>
    </row>
    <row r="511" spans="1:12" ht="207.6" customHeight="1">
      <c r="A511" s="55" t="s">
        <v>521</v>
      </c>
      <c r="E511" s="72">
        <f>SUMIF(History1!B:B, A511, History1!C:C)</f>
        <v>0</v>
      </c>
      <c r="K511" s="71" t="s">
        <v>2480</v>
      </c>
      <c r="L511" s="73" t="s">
        <v>1522</v>
      </c>
    </row>
    <row r="512" spans="1:12" ht="207.6" customHeight="1">
      <c r="A512" s="55" t="s">
        <v>522</v>
      </c>
      <c r="E512" s="72">
        <f>SUMIF(History1!B:B, A512, History1!C:C)</f>
        <v>0</v>
      </c>
      <c r="K512" s="71" t="s">
        <v>2481</v>
      </c>
      <c r="L512" s="73" t="s">
        <v>1523</v>
      </c>
    </row>
    <row r="513" spans="1:12" ht="207.6" customHeight="1">
      <c r="A513" s="55" t="s">
        <v>523</v>
      </c>
      <c r="E513" s="72">
        <f>SUMIF(History1!B:B, A513, History1!C:C)</f>
        <v>0</v>
      </c>
      <c r="K513" s="71" t="s">
        <v>2482</v>
      </c>
      <c r="L513" s="73" t="s">
        <v>1524</v>
      </c>
    </row>
    <row r="514" spans="1:12" ht="207.6" customHeight="1">
      <c r="A514" s="55" t="s">
        <v>524</v>
      </c>
      <c r="E514" s="72">
        <f>SUMIF(History1!B:B, A514, History1!C:C)</f>
        <v>0</v>
      </c>
      <c r="K514" s="71" t="s">
        <v>2483</v>
      </c>
      <c r="L514" s="73" t="s">
        <v>1525</v>
      </c>
    </row>
    <row r="515" spans="1:12" ht="207.6" customHeight="1">
      <c r="A515" s="55" t="s">
        <v>525</v>
      </c>
      <c r="E515" s="72">
        <f>SUMIF(History1!B:B, A515, History1!C:C)</f>
        <v>0</v>
      </c>
      <c r="K515" s="71" t="s">
        <v>2484</v>
      </c>
      <c r="L515" s="73" t="s">
        <v>1526</v>
      </c>
    </row>
    <row r="516" spans="1:12" ht="207.6" customHeight="1">
      <c r="A516" s="55" t="s">
        <v>526</v>
      </c>
      <c r="E516" s="72">
        <f>SUMIF(History1!B:B, A516, History1!C:C)</f>
        <v>0</v>
      </c>
      <c r="K516" s="71" t="s">
        <v>2485</v>
      </c>
      <c r="L516" s="73" t="s">
        <v>1527</v>
      </c>
    </row>
    <row r="517" spans="1:12" ht="207.6" customHeight="1">
      <c r="A517" s="55" t="s">
        <v>527</v>
      </c>
      <c r="E517" s="72">
        <f>SUMIF(History1!B:B, A517, History1!C:C)</f>
        <v>0</v>
      </c>
      <c r="K517" s="71" t="s">
        <v>2486</v>
      </c>
      <c r="L517" s="73" t="s">
        <v>1528</v>
      </c>
    </row>
    <row r="518" spans="1:12" ht="207.6" customHeight="1">
      <c r="A518" s="55" t="s">
        <v>528</v>
      </c>
      <c r="E518" s="72">
        <f>SUMIF(History1!B:B, A518, History1!C:C)</f>
        <v>0</v>
      </c>
      <c r="K518" s="71" t="s">
        <v>2487</v>
      </c>
      <c r="L518" s="73" t="s">
        <v>1529</v>
      </c>
    </row>
    <row r="519" spans="1:12" ht="207.6" customHeight="1">
      <c r="A519" s="55" t="s">
        <v>529</v>
      </c>
      <c r="E519" s="72">
        <f>SUMIF(History1!B:B, A519, History1!C:C)</f>
        <v>0</v>
      </c>
      <c r="K519" s="71" t="s">
        <v>2488</v>
      </c>
      <c r="L519" s="73" t="s">
        <v>1530</v>
      </c>
    </row>
    <row r="520" spans="1:12" ht="207.6" customHeight="1">
      <c r="A520" s="55" t="s">
        <v>530</v>
      </c>
      <c r="E520" s="72">
        <f>SUMIF(History1!B:B, A520, History1!C:C)</f>
        <v>0</v>
      </c>
      <c r="K520" s="71" t="s">
        <v>2489</v>
      </c>
      <c r="L520" s="73" t="s">
        <v>1531</v>
      </c>
    </row>
    <row r="521" spans="1:12" ht="207.6" customHeight="1">
      <c r="A521" s="55" t="s">
        <v>531</v>
      </c>
      <c r="E521" s="72">
        <f>SUMIF(History1!B:B, A521, History1!C:C)</f>
        <v>0</v>
      </c>
      <c r="K521" s="71" t="s">
        <v>2490</v>
      </c>
      <c r="L521" s="73" t="s">
        <v>1532</v>
      </c>
    </row>
    <row r="522" spans="1:12" ht="207.6" customHeight="1">
      <c r="A522" s="55" t="s">
        <v>532</v>
      </c>
      <c r="E522" s="72">
        <f>SUMIF(History1!B:B, A522, History1!C:C)</f>
        <v>0</v>
      </c>
      <c r="K522" s="71" t="s">
        <v>2491</v>
      </c>
      <c r="L522" s="73" t="s">
        <v>1533</v>
      </c>
    </row>
    <row r="523" spans="1:12" ht="207.6" customHeight="1">
      <c r="A523" s="55" t="s">
        <v>533</v>
      </c>
      <c r="E523" s="72">
        <f>SUMIF(History1!B:B, A523, History1!C:C)</f>
        <v>0</v>
      </c>
      <c r="K523" s="71" t="s">
        <v>2492</v>
      </c>
      <c r="L523" s="73" t="s">
        <v>1534</v>
      </c>
    </row>
    <row r="524" spans="1:12" ht="207.6" customHeight="1">
      <c r="A524" s="55" t="s">
        <v>534</v>
      </c>
      <c r="E524" s="72">
        <f>SUMIF(History1!B:B, A524, History1!C:C)</f>
        <v>0</v>
      </c>
      <c r="K524" s="71" t="s">
        <v>2493</v>
      </c>
      <c r="L524" s="73" t="s">
        <v>1535</v>
      </c>
    </row>
    <row r="525" spans="1:12" ht="207.6" customHeight="1">
      <c r="A525" s="55" t="s">
        <v>535</v>
      </c>
      <c r="E525" s="72">
        <f>SUMIF(History1!B:B, A525, History1!C:C)</f>
        <v>0</v>
      </c>
      <c r="K525" s="71" t="s">
        <v>2494</v>
      </c>
      <c r="L525" s="73" t="s">
        <v>1536</v>
      </c>
    </row>
    <row r="526" spans="1:12" ht="207.6" customHeight="1">
      <c r="A526" s="55" t="s">
        <v>536</v>
      </c>
      <c r="E526" s="72">
        <f>SUMIF(History1!B:B, A526, History1!C:C)</f>
        <v>0</v>
      </c>
      <c r="K526" s="71" t="s">
        <v>2495</v>
      </c>
      <c r="L526" s="73" t="s">
        <v>1537</v>
      </c>
    </row>
    <row r="527" spans="1:12" ht="207.6" customHeight="1">
      <c r="A527" s="55" t="s">
        <v>537</v>
      </c>
      <c r="E527" s="72">
        <f>SUMIF(History1!B:B, A527, History1!C:C)</f>
        <v>0</v>
      </c>
      <c r="K527" s="71" t="s">
        <v>2496</v>
      </c>
      <c r="L527" s="73" t="s">
        <v>1538</v>
      </c>
    </row>
    <row r="528" spans="1:12" ht="207.6" customHeight="1">
      <c r="A528" s="55" t="s">
        <v>538</v>
      </c>
      <c r="E528" s="72">
        <f>SUMIF(History1!B:B, A528, History1!C:C)</f>
        <v>0</v>
      </c>
      <c r="K528" s="71" t="s">
        <v>2497</v>
      </c>
      <c r="L528" s="73" t="s">
        <v>1539</v>
      </c>
    </row>
    <row r="529" spans="1:12" ht="207.6" customHeight="1">
      <c r="A529" s="55" t="s">
        <v>539</v>
      </c>
      <c r="E529" s="72">
        <f>SUMIF(History1!B:B, A529, History1!C:C)</f>
        <v>0</v>
      </c>
      <c r="K529" s="71" t="s">
        <v>2498</v>
      </c>
      <c r="L529" s="73" t="s">
        <v>1540</v>
      </c>
    </row>
    <row r="530" spans="1:12" ht="207.6" customHeight="1">
      <c r="A530" s="55" t="s">
        <v>540</v>
      </c>
      <c r="E530" s="72">
        <f>SUMIF(History1!B:B, A530, History1!C:C)</f>
        <v>0</v>
      </c>
      <c r="K530" s="71" t="s">
        <v>2499</v>
      </c>
      <c r="L530" s="73" t="s">
        <v>1541</v>
      </c>
    </row>
    <row r="531" spans="1:12" ht="207.6" customHeight="1">
      <c r="A531" s="55" t="s">
        <v>541</v>
      </c>
      <c r="E531" s="72">
        <f>SUMIF(History1!B:B, A531, History1!C:C)</f>
        <v>0</v>
      </c>
      <c r="K531" s="71" t="s">
        <v>2500</v>
      </c>
      <c r="L531" s="73" t="s">
        <v>1542</v>
      </c>
    </row>
    <row r="532" spans="1:12" ht="207.6" customHeight="1">
      <c r="A532" s="55" t="s">
        <v>542</v>
      </c>
      <c r="E532" s="72">
        <f>SUMIF(History1!B:B, A532, History1!C:C)</f>
        <v>0</v>
      </c>
      <c r="K532" s="71" t="s">
        <v>2501</v>
      </c>
      <c r="L532" s="73" t="s">
        <v>1543</v>
      </c>
    </row>
    <row r="533" spans="1:12" ht="207.6" customHeight="1">
      <c r="A533" s="55" t="s">
        <v>543</v>
      </c>
      <c r="E533" s="72">
        <f>SUMIF(History1!B:B, A533, History1!C:C)</f>
        <v>0</v>
      </c>
      <c r="K533" s="71" t="s">
        <v>2502</v>
      </c>
      <c r="L533" s="73" t="s">
        <v>1544</v>
      </c>
    </row>
    <row r="534" spans="1:12" ht="207.6" customHeight="1">
      <c r="A534" s="55" t="s">
        <v>544</v>
      </c>
      <c r="E534" s="72">
        <f>SUMIF(History1!B:B, A534, History1!C:C)</f>
        <v>0</v>
      </c>
      <c r="K534" s="71" t="s">
        <v>2503</v>
      </c>
      <c r="L534" s="73" t="s">
        <v>1545</v>
      </c>
    </row>
    <row r="535" spans="1:12" ht="207.6" customHeight="1">
      <c r="A535" s="55" t="s">
        <v>545</v>
      </c>
      <c r="E535" s="72">
        <f>SUMIF(History1!B:B, A535, History1!C:C)</f>
        <v>0</v>
      </c>
      <c r="K535" s="71" t="s">
        <v>2504</v>
      </c>
      <c r="L535" s="73" t="s">
        <v>1546</v>
      </c>
    </row>
    <row r="536" spans="1:12" ht="207.6" customHeight="1">
      <c r="A536" s="55" t="s">
        <v>546</v>
      </c>
      <c r="E536" s="72">
        <f>SUMIF(History1!B:B, A536, History1!C:C)</f>
        <v>0</v>
      </c>
      <c r="K536" s="71" t="s">
        <v>2505</v>
      </c>
      <c r="L536" s="73" t="s">
        <v>1547</v>
      </c>
    </row>
    <row r="537" spans="1:12" ht="207.6" customHeight="1">
      <c r="A537" s="55" t="s">
        <v>547</v>
      </c>
      <c r="E537" s="72">
        <f>SUMIF(History1!B:B, A537, History1!C:C)</f>
        <v>0</v>
      </c>
      <c r="K537" s="71" t="s">
        <v>2506</v>
      </c>
      <c r="L537" s="73" t="s">
        <v>1548</v>
      </c>
    </row>
    <row r="538" spans="1:12" ht="207.6" customHeight="1">
      <c r="A538" s="55" t="s">
        <v>548</v>
      </c>
      <c r="E538" s="72">
        <f>SUMIF(History1!B:B, A538, History1!C:C)</f>
        <v>0</v>
      </c>
      <c r="K538" s="71" t="s">
        <v>2507</v>
      </c>
      <c r="L538" s="73" t="s">
        <v>1549</v>
      </c>
    </row>
    <row r="539" spans="1:12" ht="207.6" customHeight="1">
      <c r="A539" s="55" t="s">
        <v>549</v>
      </c>
      <c r="E539" s="72">
        <f>SUMIF(History1!B:B, A539, History1!C:C)</f>
        <v>0</v>
      </c>
      <c r="K539" s="71" t="s">
        <v>2508</v>
      </c>
      <c r="L539" s="73" t="s">
        <v>1550</v>
      </c>
    </row>
    <row r="540" spans="1:12" ht="207.6" customHeight="1">
      <c r="A540" s="55" t="s">
        <v>550</v>
      </c>
      <c r="E540" s="72">
        <f>SUMIF(History1!B:B, A540, History1!C:C)</f>
        <v>0</v>
      </c>
      <c r="K540" s="71" t="s">
        <v>2509</v>
      </c>
      <c r="L540" s="73" t="s">
        <v>1551</v>
      </c>
    </row>
    <row r="541" spans="1:12" ht="207.6" customHeight="1">
      <c r="A541" s="55" t="s">
        <v>551</v>
      </c>
      <c r="E541" s="72">
        <f>SUMIF(History1!B:B, A541, History1!C:C)</f>
        <v>0</v>
      </c>
      <c r="K541" s="71" t="s">
        <v>2510</v>
      </c>
      <c r="L541" s="73" t="s">
        <v>1552</v>
      </c>
    </row>
    <row r="542" spans="1:12" ht="207.6" customHeight="1">
      <c r="A542" s="55" t="s">
        <v>552</v>
      </c>
      <c r="E542" s="72">
        <f>SUMIF(History1!B:B, A542, History1!C:C)</f>
        <v>0</v>
      </c>
      <c r="K542" s="71" t="s">
        <v>2511</v>
      </c>
      <c r="L542" s="73" t="s">
        <v>1553</v>
      </c>
    </row>
    <row r="543" spans="1:12" ht="207.6" customHeight="1">
      <c r="A543" s="55" t="s">
        <v>553</v>
      </c>
      <c r="E543" s="72">
        <f>SUMIF(History1!B:B, A543, History1!C:C)</f>
        <v>0</v>
      </c>
      <c r="K543" s="71" t="s">
        <v>2512</v>
      </c>
      <c r="L543" s="73" t="s">
        <v>1554</v>
      </c>
    </row>
    <row r="544" spans="1:12" ht="207.6" customHeight="1">
      <c r="A544" s="55" t="s">
        <v>554</v>
      </c>
      <c r="E544" s="72">
        <f>SUMIF(History1!B:B, A544, History1!C:C)</f>
        <v>0</v>
      </c>
      <c r="K544" s="71" t="s">
        <v>2513</v>
      </c>
      <c r="L544" s="73" t="s">
        <v>1555</v>
      </c>
    </row>
    <row r="545" spans="1:12" ht="207.6" customHeight="1">
      <c r="A545" s="55" t="s">
        <v>555</v>
      </c>
      <c r="E545" s="72">
        <f>SUMIF(History1!B:B, A545, History1!C:C)</f>
        <v>0</v>
      </c>
      <c r="K545" s="71" t="s">
        <v>2514</v>
      </c>
      <c r="L545" s="73" t="s">
        <v>1556</v>
      </c>
    </row>
    <row r="546" spans="1:12" ht="207.6" customHeight="1">
      <c r="A546" s="55" t="s">
        <v>556</v>
      </c>
      <c r="E546" s="72">
        <f>SUMIF(History1!B:B, A546, History1!C:C)</f>
        <v>0</v>
      </c>
      <c r="K546" s="71" t="s">
        <v>2515</v>
      </c>
      <c r="L546" s="73" t="s">
        <v>1557</v>
      </c>
    </row>
    <row r="547" spans="1:12" ht="207.6" customHeight="1">
      <c r="A547" s="55" t="s">
        <v>557</v>
      </c>
      <c r="E547" s="72">
        <f>SUMIF(History1!B:B, A547, History1!C:C)</f>
        <v>0</v>
      </c>
      <c r="K547" s="71" t="s">
        <v>2516</v>
      </c>
      <c r="L547" s="73" t="s">
        <v>1558</v>
      </c>
    </row>
    <row r="548" spans="1:12" ht="207.6" customHeight="1">
      <c r="A548" s="55" t="s">
        <v>558</v>
      </c>
      <c r="E548" s="72">
        <f>SUMIF(History1!B:B, A548, History1!C:C)</f>
        <v>0</v>
      </c>
      <c r="K548" s="71" t="s">
        <v>2517</v>
      </c>
      <c r="L548" s="73" t="s">
        <v>1559</v>
      </c>
    </row>
    <row r="549" spans="1:12" ht="207.6" customHeight="1">
      <c r="A549" s="55" t="s">
        <v>559</v>
      </c>
      <c r="E549" s="72">
        <f>SUMIF(History1!B:B, A549, History1!C:C)</f>
        <v>0</v>
      </c>
      <c r="K549" s="71" t="s">
        <v>2518</v>
      </c>
      <c r="L549" s="73" t="s">
        <v>1560</v>
      </c>
    </row>
    <row r="550" spans="1:12" ht="207.6" customHeight="1">
      <c r="A550" s="55" t="s">
        <v>560</v>
      </c>
      <c r="E550" s="72">
        <f>SUMIF(History1!B:B, A550, History1!C:C)</f>
        <v>0</v>
      </c>
      <c r="K550" s="71" t="s">
        <v>2519</v>
      </c>
      <c r="L550" s="73" t="s">
        <v>1561</v>
      </c>
    </row>
    <row r="551" spans="1:12" ht="207.6" customHeight="1">
      <c r="A551" s="55" t="s">
        <v>561</v>
      </c>
      <c r="E551" s="72">
        <f>SUMIF(History1!B:B, A551, History1!C:C)</f>
        <v>0</v>
      </c>
      <c r="K551" s="71" t="s">
        <v>2520</v>
      </c>
      <c r="L551" s="73" t="s">
        <v>1562</v>
      </c>
    </row>
    <row r="552" spans="1:12" ht="207.6" customHeight="1">
      <c r="A552" s="55" t="s">
        <v>562</v>
      </c>
      <c r="E552" s="72">
        <f>SUMIF(History1!B:B, A552, History1!C:C)</f>
        <v>0</v>
      </c>
      <c r="K552" s="71" t="s">
        <v>2521</v>
      </c>
      <c r="L552" s="73" t="s">
        <v>1563</v>
      </c>
    </row>
    <row r="553" spans="1:12" ht="207.6" customHeight="1">
      <c r="A553" s="55" t="s">
        <v>563</v>
      </c>
      <c r="E553" s="72">
        <f>SUMIF(History1!B:B, A553, History1!C:C)</f>
        <v>0</v>
      </c>
      <c r="K553" s="71" t="s">
        <v>2522</v>
      </c>
      <c r="L553" s="73" t="s">
        <v>1564</v>
      </c>
    </row>
    <row r="554" spans="1:12" ht="207.6" customHeight="1">
      <c r="A554" s="55" t="s">
        <v>564</v>
      </c>
      <c r="E554" s="72">
        <f>SUMIF(History1!B:B, A554, History1!C:C)</f>
        <v>0</v>
      </c>
      <c r="K554" s="71" t="s">
        <v>2523</v>
      </c>
      <c r="L554" s="73" t="s">
        <v>1565</v>
      </c>
    </row>
    <row r="555" spans="1:12" ht="207.6" customHeight="1">
      <c r="A555" s="55" t="s">
        <v>565</v>
      </c>
      <c r="E555" s="72">
        <f>SUMIF(History1!B:B, A555, History1!C:C)</f>
        <v>0</v>
      </c>
      <c r="K555" s="71" t="s">
        <v>2524</v>
      </c>
      <c r="L555" s="73" t="s">
        <v>1566</v>
      </c>
    </row>
    <row r="556" spans="1:12" ht="207.6" customHeight="1">
      <c r="A556" s="55" t="s">
        <v>566</v>
      </c>
      <c r="E556" s="72">
        <f>SUMIF(History1!B:B, A556, History1!C:C)</f>
        <v>0</v>
      </c>
      <c r="K556" s="71" t="s">
        <v>2525</v>
      </c>
      <c r="L556" s="73" t="s">
        <v>1567</v>
      </c>
    </row>
    <row r="557" spans="1:12" ht="207.6" customHeight="1">
      <c r="A557" s="55" t="s">
        <v>567</v>
      </c>
      <c r="E557" s="72">
        <f>SUMIF(History1!B:B, A557, History1!C:C)</f>
        <v>0</v>
      </c>
      <c r="K557" s="71" t="s">
        <v>2526</v>
      </c>
      <c r="L557" s="73" t="s">
        <v>1568</v>
      </c>
    </row>
    <row r="558" spans="1:12" ht="207.6" customHeight="1">
      <c r="A558" s="55" t="s">
        <v>568</v>
      </c>
      <c r="E558" s="72">
        <f>SUMIF(History1!B:B, A558, History1!C:C)</f>
        <v>0</v>
      </c>
      <c r="K558" s="71" t="s">
        <v>2527</v>
      </c>
      <c r="L558" s="73" t="s">
        <v>1569</v>
      </c>
    </row>
    <row r="559" spans="1:12" ht="207.6" customHeight="1">
      <c r="A559" s="55" t="s">
        <v>569</v>
      </c>
      <c r="E559" s="72">
        <f>SUMIF(History1!B:B, A559, History1!C:C)</f>
        <v>0</v>
      </c>
      <c r="K559" s="71" t="s">
        <v>2528</v>
      </c>
      <c r="L559" s="73" t="s">
        <v>1570</v>
      </c>
    </row>
    <row r="560" spans="1:12" ht="207.6" customHeight="1">
      <c r="A560" s="55" t="s">
        <v>570</v>
      </c>
      <c r="E560" s="72">
        <f>SUMIF(History1!B:B, A560, History1!C:C)</f>
        <v>0</v>
      </c>
      <c r="K560" s="71" t="s">
        <v>2529</v>
      </c>
      <c r="L560" s="73" t="s">
        <v>1571</v>
      </c>
    </row>
    <row r="561" spans="1:12" ht="207.6" customHeight="1">
      <c r="A561" s="55" t="s">
        <v>571</v>
      </c>
      <c r="E561" s="72">
        <f>SUMIF(History1!B:B, A561, History1!C:C)</f>
        <v>0</v>
      </c>
      <c r="K561" s="71" t="s">
        <v>2530</v>
      </c>
      <c r="L561" s="73" t="s">
        <v>1572</v>
      </c>
    </row>
    <row r="562" spans="1:12" ht="207.6" customHeight="1">
      <c r="A562" s="55" t="s">
        <v>572</v>
      </c>
      <c r="E562" s="72">
        <f>SUMIF(History1!B:B, A562, History1!C:C)</f>
        <v>0</v>
      </c>
      <c r="K562" s="71" t="s">
        <v>2531</v>
      </c>
      <c r="L562" s="73" t="s">
        <v>1573</v>
      </c>
    </row>
    <row r="563" spans="1:12" ht="207.6" customHeight="1">
      <c r="A563" s="55" t="s">
        <v>573</v>
      </c>
      <c r="E563" s="72">
        <f>SUMIF(History1!B:B, A563, History1!C:C)</f>
        <v>0</v>
      </c>
      <c r="K563" s="71" t="s">
        <v>2532</v>
      </c>
      <c r="L563" s="73" t="s">
        <v>1574</v>
      </c>
    </row>
    <row r="564" spans="1:12" ht="207.6" customHeight="1">
      <c r="A564" s="55" t="s">
        <v>574</v>
      </c>
      <c r="E564" s="72">
        <f>SUMIF(History1!B:B, A564, History1!C:C)</f>
        <v>0</v>
      </c>
      <c r="K564" s="71" t="s">
        <v>2533</v>
      </c>
      <c r="L564" s="73" t="s">
        <v>1575</v>
      </c>
    </row>
    <row r="565" spans="1:12" ht="207.6" customHeight="1">
      <c r="A565" s="55" t="s">
        <v>575</v>
      </c>
      <c r="E565" s="72">
        <f>SUMIF(History1!B:B, A565, History1!C:C)</f>
        <v>0</v>
      </c>
      <c r="K565" s="71" t="s">
        <v>2534</v>
      </c>
      <c r="L565" s="73" t="s">
        <v>1576</v>
      </c>
    </row>
    <row r="566" spans="1:12" ht="207.6" customHeight="1">
      <c r="A566" s="55" t="s">
        <v>576</v>
      </c>
      <c r="E566" s="72">
        <f>SUMIF(History1!B:B, A566, History1!C:C)</f>
        <v>0</v>
      </c>
      <c r="K566" s="71" t="s">
        <v>2535</v>
      </c>
      <c r="L566" s="73" t="s">
        <v>1577</v>
      </c>
    </row>
    <row r="567" spans="1:12" ht="207.6" customHeight="1">
      <c r="A567" s="55" t="s">
        <v>577</v>
      </c>
      <c r="E567" s="72">
        <f>SUMIF(History1!B:B, A567, History1!C:C)</f>
        <v>0</v>
      </c>
      <c r="K567" s="71" t="s">
        <v>2536</v>
      </c>
      <c r="L567" s="73" t="s">
        <v>1578</v>
      </c>
    </row>
    <row r="568" spans="1:12" ht="207.6" customHeight="1">
      <c r="A568" s="55" t="s">
        <v>578</v>
      </c>
      <c r="E568" s="72">
        <f>SUMIF(History1!B:B, A568, History1!C:C)</f>
        <v>0</v>
      </c>
      <c r="K568" s="71" t="s">
        <v>2537</v>
      </c>
      <c r="L568" s="73" t="s">
        <v>1579</v>
      </c>
    </row>
    <row r="569" spans="1:12" ht="207.6" customHeight="1">
      <c r="A569" s="55" t="s">
        <v>579</v>
      </c>
      <c r="E569" s="72">
        <f>SUMIF(History1!B:B, A569, History1!C:C)</f>
        <v>0</v>
      </c>
      <c r="K569" s="71" t="s">
        <v>2538</v>
      </c>
      <c r="L569" s="73" t="s">
        <v>1580</v>
      </c>
    </row>
    <row r="570" spans="1:12" ht="207.6" customHeight="1">
      <c r="A570" s="55" t="s">
        <v>580</v>
      </c>
      <c r="E570" s="72">
        <f>SUMIF(History1!B:B, A570, History1!C:C)</f>
        <v>0</v>
      </c>
      <c r="K570" s="71" t="s">
        <v>2539</v>
      </c>
      <c r="L570" s="73" t="s">
        <v>1581</v>
      </c>
    </row>
    <row r="571" spans="1:12" ht="207.6" customHeight="1">
      <c r="A571" s="55" t="s">
        <v>581</v>
      </c>
      <c r="E571" s="72">
        <f>SUMIF(History1!B:B, A571, History1!C:C)</f>
        <v>0</v>
      </c>
      <c r="K571" s="71" t="s">
        <v>2540</v>
      </c>
      <c r="L571" s="73" t="s">
        <v>1582</v>
      </c>
    </row>
    <row r="572" spans="1:12" ht="207.6" customHeight="1">
      <c r="A572" s="55" t="s">
        <v>582</v>
      </c>
      <c r="E572" s="72">
        <f>SUMIF(History1!B:B, A572, History1!C:C)</f>
        <v>0</v>
      </c>
      <c r="K572" s="71" t="s">
        <v>2541</v>
      </c>
      <c r="L572" s="73" t="s">
        <v>1583</v>
      </c>
    </row>
    <row r="573" spans="1:12" ht="207.6" customHeight="1">
      <c r="A573" s="55" t="s">
        <v>583</v>
      </c>
      <c r="E573" s="72">
        <f>SUMIF(History1!B:B, A573, History1!C:C)</f>
        <v>0</v>
      </c>
      <c r="K573" s="71" t="s">
        <v>2542</v>
      </c>
      <c r="L573" s="73" t="s">
        <v>1584</v>
      </c>
    </row>
    <row r="574" spans="1:12" ht="207.6" customHeight="1">
      <c r="A574" s="55" t="s">
        <v>584</v>
      </c>
      <c r="E574" s="72">
        <f>SUMIF(History1!B:B, A574, History1!C:C)</f>
        <v>0</v>
      </c>
      <c r="K574" s="71" t="s">
        <v>2543</v>
      </c>
      <c r="L574" s="73" t="s">
        <v>1585</v>
      </c>
    </row>
    <row r="575" spans="1:12" ht="207.6" customHeight="1">
      <c r="A575" s="55" t="s">
        <v>585</v>
      </c>
      <c r="E575" s="72">
        <f>SUMIF(History1!B:B, A575, History1!C:C)</f>
        <v>0</v>
      </c>
      <c r="K575" s="71" t="s">
        <v>2544</v>
      </c>
      <c r="L575" s="73" t="s">
        <v>1586</v>
      </c>
    </row>
    <row r="576" spans="1:12" ht="207.6" customHeight="1">
      <c r="A576" s="55" t="s">
        <v>586</v>
      </c>
      <c r="E576" s="72">
        <f>SUMIF(History1!B:B, A576, History1!C:C)</f>
        <v>0</v>
      </c>
      <c r="K576" s="71" t="s">
        <v>2545</v>
      </c>
      <c r="L576" s="73" t="s">
        <v>1587</v>
      </c>
    </row>
    <row r="577" spans="1:12" ht="207.6" customHeight="1">
      <c r="A577" s="55" t="s">
        <v>587</v>
      </c>
      <c r="E577" s="72">
        <f>SUMIF(History1!B:B, A577, History1!C:C)</f>
        <v>0</v>
      </c>
      <c r="K577" s="71" t="s">
        <v>2546</v>
      </c>
      <c r="L577" s="73" t="s">
        <v>1588</v>
      </c>
    </row>
    <row r="578" spans="1:12" ht="207.6" customHeight="1">
      <c r="A578" s="55" t="s">
        <v>588</v>
      </c>
      <c r="E578" s="72">
        <f>SUMIF(History1!B:B, A578, History1!C:C)</f>
        <v>0</v>
      </c>
      <c r="K578" s="71" t="s">
        <v>2547</v>
      </c>
      <c r="L578" s="73" t="s">
        <v>1589</v>
      </c>
    </row>
    <row r="579" spans="1:12" ht="207.6" customHeight="1">
      <c r="A579" s="55" t="s">
        <v>589</v>
      </c>
      <c r="E579" s="72">
        <f>SUMIF(History1!B:B, A579, History1!C:C)</f>
        <v>0</v>
      </c>
      <c r="K579" s="71" t="s">
        <v>2548</v>
      </c>
      <c r="L579" s="73" t="s">
        <v>1590</v>
      </c>
    </row>
    <row r="580" spans="1:12" ht="207.6" customHeight="1">
      <c r="A580" s="55" t="s">
        <v>590</v>
      </c>
      <c r="E580" s="72">
        <f>SUMIF(History1!B:B, A580, History1!C:C)</f>
        <v>0</v>
      </c>
      <c r="K580" s="71" t="s">
        <v>2549</v>
      </c>
      <c r="L580" s="73" t="s">
        <v>1591</v>
      </c>
    </row>
    <row r="581" spans="1:12" ht="207.6" customHeight="1">
      <c r="A581" s="55" t="s">
        <v>591</v>
      </c>
      <c r="E581" s="72">
        <f>SUMIF(History1!B:B, A581, History1!C:C)</f>
        <v>0</v>
      </c>
      <c r="K581" s="71" t="s">
        <v>2550</v>
      </c>
      <c r="L581" s="73" t="s">
        <v>1592</v>
      </c>
    </row>
    <row r="582" spans="1:12" ht="207.6" customHeight="1">
      <c r="A582" s="55" t="s">
        <v>592</v>
      </c>
      <c r="E582" s="72">
        <f>SUMIF(History1!B:B, A582, History1!C:C)</f>
        <v>0</v>
      </c>
      <c r="K582" s="71" t="s">
        <v>2551</v>
      </c>
      <c r="L582" s="73" t="s">
        <v>1593</v>
      </c>
    </row>
    <row r="583" spans="1:12" ht="207.6" customHeight="1">
      <c r="A583" s="55" t="s">
        <v>593</v>
      </c>
      <c r="E583" s="72">
        <f>SUMIF(History1!B:B, A583, History1!C:C)</f>
        <v>0</v>
      </c>
      <c r="K583" s="71" t="s">
        <v>2552</v>
      </c>
      <c r="L583" s="73" t="s">
        <v>1594</v>
      </c>
    </row>
    <row r="584" spans="1:12" ht="207.6" customHeight="1">
      <c r="A584" s="55" t="s">
        <v>594</v>
      </c>
      <c r="E584" s="72">
        <f>SUMIF(History1!B:B, A584, History1!C:C)</f>
        <v>0</v>
      </c>
      <c r="K584" s="71" t="s">
        <v>2553</v>
      </c>
      <c r="L584" s="73" t="s">
        <v>1595</v>
      </c>
    </row>
    <row r="585" spans="1:12" ht="207.6" customHeight="1">
      <c r="A585" s="55" t="s">
        <v>595</v>
      </c>
      <c r="E585" s="72">
        <f>SUMIF(History1!B:B, A585, History1!C:C)</f>
        <v>0</v>
      </c>
      <c r="K585" s="71" t="s">
        <v>2554</v>
      </c>
      <c r="L585" s="73" t="s">
        <v>1596</v>
      </c>
    </row>
    <row r="586" spans="1:12" ht="207.6" customHeight="1">
      <c r="A586" s="55" t="s">
        <v>596</v>
      </c>
      <c r="E586" s="72">
        <f>SUMIF(History1!B:B, A586, History1!C:C)</f>
        <v>0</v>
      </c>
      <c r="K586" s="71" t="s">
        <v>2555</v>
      </c>
      <c r="L586" s="73" t="s">
        <v>1597</v>
      </c>
    </row>
    <row r="587" spans="1:12" ht="207.6" customHeight="1">
      <c r="A587" s="55" t="s">
        <v>597</v>
      </c>
      <c r="E587" s="72">
        <f>SUMIF(History1!B:B, A587, History1!C:C)</f>
        <v>0</v>
      </c>
      <c r="K587" s="71" t="s">
        <v>2556</v>
      </c>
      <c r="L587" s="73" t="s">
        <v>1598</v>
      </c>
    </row>
    <row r="588" spans="1:12" ht="207.6" customHeight="1">
      <c r="A588" s="55" t="s">
        <v>598</v>
      </c>
      <c r="E588" s="72">
        <f>SUMIF(History1!B:B, A588, History1!C:C)</f>
        <v>0</v>
      </c>
      <c r="K588" s="71" t="s">
        <v>2557</v>
      </c>
      <c r="L588" s="73" t="s">
        <v>1599</v>
      </c>
    </row>
    <row r="589" spans="1:12" ht="207.6" customHeight="1">
      <c r="A589" s="55" t="s">
        <v>599</v>
      </c>
      <c r="E589" s="72">
        <f>SUMIF(History1!B:B, A589, History1!C:C)</f>
        <v>0</v>
      </c>
      <c r="K589" s="71" t="s">
        <v>2558</v>
      </c>
      <c r="L589" s="73" t="s">
        <v>1600</v>
      </c>
    </row>
    <row r="590" spans="1:12" ht="207.6" customHeight="1">
      <c r="A590" s="55" t="s">
        <v>600</v>
      </c>
      <c r="E590" s="72">
        <f>SUMIF(History1!B:B, A590, History1!C:C)</f>
        <v>0</v>
      </c>
      <c r="K590" s="71" t="s">
        <v>2559</v>
      </c>
      <c r="L590" s="73" t="s">
        <v>1601</v>
      </c>
    </row>
    <row r="591" spans="1:12" ht="207.6" customHeight="1">
      <c r="A591" s="55" t="s">
        <v>601</v>
      </c>
      <c r="E591" s="72">
        <f>SUMIF(History1!B:B, A591, History1!C:C)</f>
        <v>0</v>
      </c>
      <c r="K591" s="71" t="s">
        <v>2560</v>
      </c>
      <c r="L591" s="73" t="s">
        <v>1602</v>
      </c>
    </row>
    <row r="592" spans="1:12" ht="207.6" customHeight="1">
      <c r="A592" s="55" t="s">
        <v>602</v>
      </c>
      <c r="E592" s="72">
        <f>SUMIF(History1!B:B, A592, History1!C:C)</f>
        <v>0</v>
      </c>
      <c r="K592" s="71" t="s">
        <v>2561</v>
      </c>
      <c r="L592" s="73" t="s">
        <v>1603</v>
      </c>
    </row>
    <row r="593" spans="1:12" ht="207.6" customHeight="1">
      <c r="A593" s="55" t="s">
        <v>603</v>
      </c>
      <c r="E593" s="72">
        <f>SUMIF(History1!B:B, A593, History1!C:C)</f>
        <v>0</v>
      </c>
      <c r="K593" s="71" t="s">
        <v>2562</v>
      </c>
      <c r="L593" s="73" t="s">
        <v>1604</v>
      </c>
    </row>
    <row r="594" spans="1:12" ht="207.6" customHeight="1">
      <c r="A594" s="55" t="s">
        <v>604</v>
      </c>
      <c r="E594" s="72">
        <f>SUMIF(History1!B:B, A594, History1!C:C)</f>
        <v>0</v>
      </c>
      <c r="K594" s="71" t="s">
        <v>2563</v>
      </c>
      <c r="L594" s="73" t="s">
        <v>1605</v>
      </c>
    </row>
    <row r="595" spans="1:12" ht="207.6" customHeight="1">
      <c r="A595" s="55" t="s">
        <v>605</v>
      </c>
      <c r="E595" s="72">
        <f>SUMIF(History1!B:B, A595, History1!C:C)</f>
        <v>0</v>
      </c>
      <c r="K595" s="71" t="s">
        <v>2564</v>
      </c>
      <c r="L595" s="73" t="s">
        <v>1606</v>
      </c>
    </row>
    <row r="596" spans="1:12" ht="207.6" customHeight="1">
      <c r="A596" s="55" t="s">
        <v>606</v>
      </c>
      <c r="E596" s="72">
        <f>SUMIF(History1!B:B, A596, History1!C:C)</f>
        <v>0</v>
      </c>
      <c r="K596" s="71" t="s">
        <v>2565</v>
      </c>
      <c r="L596" s="73" t="s">
        <v>1607</v>
      </c>
    </row>
    <row r="597" spans="1:12" ht="207.6" customHeight="1">
      <c r="A597" s="55" t="s">
        <v>607</v>
      </c>
      <c r="E597" s="72">
        <f>SUMIF(History1!B:B, A597, History1!C:C)</f>
        <v>0</v>
      </c>
      <c r="K597" s="71" t="s">
        <v>2566</v>
      </c>
      <c r="L597" s="73" t="s">
        <v>1608</v>
      </c>
    </row>
    <row r="598" spans="1:12" ht="207.6" customHeight="1">
      <c r="A598" s="55" t="s">
        <v>608</v>
      </c>
      <c r="E598" s="72">
        <f>SUMIF(History1!B:B, A598, History1!C:C)</f>
        <v>0</v>
      </c>
      <c r="K598" s="71" t="s">
        <v>2567</v>
      </c>
      <c r="L598" s="73" t="s">
        <v>1609</v>
      </c>
    </row>
    <row r="599" spans="1:12" ht="207.6" customHeight="1">
      <c r="A599" s="55" t="s">
        <v>609</v>
      </c>
      <c r="E599" s="72">
        <f>SUMIF(History1!B:B, A599, History1!C:C)</f>
        <v>0</v>
      </c>
      <c r="K599" s="71" t="s">
        <v>2568</v>
      </c>
      <c r="L599" s="73" t="s">
        <v>1610</v>
      </c>
    </row>
    <row r="600" spans="1:12" ht="207.6" customHeight="1">
      <c r="A600" s="55" t="s">
        <v>610</v>
      </c>
      <c r="E600" s="72">
        <f>SUMIF(History1!B:B, A600, History1!C:C)</f>
        <v>0</v>
      </c>
      <c r="K600" s="71" t="s">
        <v>2569</v>
      </c>
      <c r="L600" s="73" t="s">
        <v>1611</v>
      </c>
    </row>
    <row r="601" spans="1:12" ht="207.6" customHeight="1">
      <c r="A601" s="55" t="s">
        <v>611</v>
      </c>
      <c r="E601" s="72">
        <f>SUMIF(History1!B:B, A601, History1!C:C)</f>
        <v>0</v>
      </c>
      <c r="K601" s="71" t="s">
        <v>2570</v>
      </c>
      <c r="L601" s="73" t="s">
        <v>1612</v>
      </c>
    </row>
    <row r="602" spans="1:12" ht="207.6" customHeight="1">
      <c r="A602" s="55" t="s">
        <v>612</v>
      </c>
      <c r="E602" s="72">
        <f>SUMIF(History1!B:B, A602, History1!C:C)</f>
        <v>0</v>
      </c>
      <c r="K602" s="71" t="s">
        <v>2571</v>
      </c>
      <c r="L602" s="73" t="s">
        <v>1613</v>
      </c>
    </row>
    <row r="603" spans="1:12" ht="207.6" customHeight="1">
      <c r="A603" s="55" t="s">
        <v>613</v>
      </c>
      <c r="E603" s="72">
        <f>SUMIF(History1!B:B, A603, History1!C:C)</f>
        <v>0</v>
      </c>
      <c r="K603" s="71" t="s">
        <v>2572</v>
      </c>
      <c r="L603" s="73" t="s">
        <v>1614</v>
      </c>
    </row>
    <row r="604" spans="1:12" ht="207.6" customHeight="1">
      <c r="A604" s="55" t="s">
        <v>614</v>
      </c>
      <c r="E604" s="72">
        <f>SUMIF(History1!B:B, A604, History1!C:C)</f>
        <v>0</v>
      </c>
      <c r="K604" s="71" t="s">
        <v>2573</v>
      </c>
      <c r="L604" s="73" t="s">
        <v>1615</v>
      </c>
    </row>
    <row r="605" spans="1:12" ht="207.6" customHeight="1">
      <c r="A605" s="55" t="s">
        <v>615</v>
      </c>
      <c r="E605" s="72">
        <f>SUMIF(History1!B:B, A605, History1!C:C)</f>
        <v>0</v>
      </c>
      <c r="K605" s="71" t="s">
        <v>2574</v>
      </c>
      <c r="L605" s="73" t="s">
        <v>1616</v>
      </c>
    </row>
    <row r="606" spans="1:12" ht="207.6" customHeight="1">
      <c r="A606" s="55" t="s">
        <v>616</v>
      </c>
      <c r="E606" s="72">
        <f>SUMIF(History1!B:B, A606, History1!C:C)</f>
        <v>0</v>
      </c>
      <c r="K606" s="71" t="s">
        <v>2575</v>
      </c>
      <c r="L606" s="73" t="s">
        <v>1617</v>
      </c>
    </row>
    <row r="607" spans="1:12" ht="207.6" customHeight="1">
      <c r="A607" s="55" t="s">
        <v>617</v>
      </c>
      <c r="E607" s="72">
        <f>SUMIF(History1!B:B, A607, History1!C:C)</f>
        <v>0</v>
      </c>
      <c r="K607" s="71" t="s">
        <v>2576</v>
      </c>
      <c r="L607" s="73" t="s">
        <v>1618</v>
      </c>
    </row>
    <row r="608" spans="1:12" ht="207.6" customHeight="1">
      <c r="A608" s="55" t="s">
        <v>618</v>
      </c>
      <c r="E608" s="72">
        <f>SUMIF(History1!B:B, A608, History1!C:C)</f>
        <v>0</v>
      </c>
      <c r="K608" s="71" t="s">
        <v>2577</v>
      </c>
      <c r="L608" s="73" t="s">
        <v>1619</v>
      </c>
    </row>
    <row r="609" spans="1:12" ht="207.6" customHeight="1">
      <c r="A609" s="55" t="s">
        <v>619</v>
      </c>
      <c r="E609" s="72">
        <f>SUMIF(History1!B:B, A609, History1!C:C)</f>
        <v>0</v>
      </c>
      <c r="K609" s="71" t="s">
        <v>2578</v>
      </c>
      <c r="L609" s="73" t="s">
        <v>1620</v>
      </c>
    </row>
    <row r="610" spans="1:12" ht="207.6" customHeight="1">
      <c r="A610" s="55" t="s">
        <v>620</v>
      </c>
      <c r="E610" s="72">
        <f>SUMIF(History1!B:B, A610, History1!C:C)</f>
        <v>0</v>
      </c>
      <c r="K610" s="71" t="s">
        <v>2579</v>
      </c>
      <c r="L610" s="73" t="s">
        <v>1621</v>
      </c>
    </row>
    <row r="611" spans="1:12" ht="207.6" customHeight="1">
      <c r="A611" s="55" t="s">
        <v>621</v>
      </c>
      <c r="E611" s="72">
        <f>SUMIF(History1!B:B, A611, History1!C:C)</f>
        <v>0</v>
      </c>
      <c r="K611" s="71" t="s">
        <v>2580</v>
      </c>
      <c r="L611" s="73" t="s">
        <v>1622</v>
      </c>
    </row>
    <row r="612" spans="1:12" ht="207.6" customHeight="1">
      <c r="A612" s="55" t="s">
        <v>622</v>
      </c>
      <c r="E612" s="72">
        <f>SUMIF(History1!B:B, A612, History1!C:C)</f>
        <v>0</v>
      </c>
      <c r="K612" s="71" t="s">
        <v>2581</v>
      </c>
      <c r="L612" s="73" t="s">
        <v>1623</v>
      </c>
    </row>
    <row r="613" spans="1:12" ht="207.6" customHeight="1">
      <c r="A613" s="55" t="s">
        <v>623</v>
      </c>
      <c r="E613" s="72">
        <f>SUMIF(History1!B:B, A613, History1!C:C)</f>
        <v>0</v>
      </c>
      <c r="K613" s="71" t="s">
        <v>2582</v>
      </c>
      <c r="L613" s="73" t="s">
        <v>1624</v>
      </c>
    </row>
    <row r="614" spans="1:12" ht="207.6" customHeight="1">
      <c r="A614" s="55" t="s">
        <v>624</v>
      </c>
      <c r="E614" s="72">
        <f>SUMIF(History1!B:B, A614, History1!C:C)</f>
        <v>0</v>
      </c>
      <c r="K614" s="71" t="s">
        <v>2583</v>
      </c>
      <c r="L614" s="73" t="s">
        <v>1625</v>
      </c>
    </row>
    <row r="615" spans="1:12" ht="207.6" customHeight="1">
      <c r="A615" s="55" t="s">
        <v>625</v>
      </c>
      <c r="E615" s="72">
        <f>SUMIF(History1!B:B, A615, History1!C:C)</f>
        <v>0</v>
      </c>
      <c r="K615" s="71" t="s">
        <v>2584</v>
      </c>
      <c r="L615" s="73" t="s">
        <v>1626</v>
      </c>
    </row>
    <row r="616" spans="1:12" ht="207.6" customHeight="1">
      <c r="A616" s="55" t="s">
        <v>626</v>
      </c>
      <c r="E616" s="72">
        <f>SUMIF(History1!B:B, A616, History1!C:C)</f>
        <v>0</v>
      </c>
      <c r="K616" s="71" t="s">
        <v>2585</v>
      </c>
      <c r="L616" s="73" t="s">
        <v>1627</v>
      </c>
    </row>
    <row r="617" spans="1:12" ht="207.6" customHeight="1">
      <c r="A617" s="55" t="s">
        <v>627</v>
      </c>
      <c r="E617" s="72">
        <f>SUMIF(History1!B:B, A617, History1!C:C)</f>
        <v>0</v>
      </c>
      <c r="K617" s="71" t="s">
        <v>2586</v>
      </c>
      <c r="L617" s="73" t="s">
        <v>1628</v>
      </c>
    </row>
    <row r="618" spans="1:12" ht="207.6" customHeight="1">
      <c r="A618" s="55" t="s">
        <v>628</v>
      </c>
      <c r="E618" s="72">
        <f>SUMIF(History1!B:B, A618, History1!C:C)</f>
        <v>0</v>
      </c>
      <c r="K618" s="71" t="s">
        <v>2587</v>
      </c>
      <c r="L618" s="73" t="s">
        <v>1629</v>
      </c>
    </row>
    <row r="619" spans="1:12" ht="207.6" customHeight="1">
      <c r="A619" s="55" t="s">
        <v>629</v>
      </c>
      <c r="E619" s="72">
        <f>SUMIF(History1!B:B, A619, History1!C:C)</f>
        <v>0</v>
      </c>
      <c r="K619" s="71" t="s">
        <v>2588</v>
      </c>
      <c r="L619" s="73" t="s">
        <v>1630</v>
      </c>
    </row>
    <row r="620" spans="1:12" ht="207.6" customHeight="1">
      <c r="A620" s="55" t="s">
        <v>630</v>
      </c>
      <c r="E620" s="72">
        <f>SUMIF(History1!B:B, A620, History1!C:C)</f>
        <v>0</v>
      </c>
      <c r="K620" s="71" t="s">
        <v>2589</v>
      </c>
      <c r="L620" s="73" t="s">
        <v>1631</v>
      </c>
    </row>
    <row r="621" spans="1:12" ht="207.6" customHeight="1">
      <c r="A621" s="55" t="s">
        <v>631</v>
      </c>
      <c r="E621" s="72">
        <f>SUMIF(History1!B:B, A621, History1!C:C)</f>
        <v>0</v>
      </c>
      <c r="K621" s="71" t="s">
        <v>2590</v>
      </c>
      <c r="L621" s="73" t="s">
        <v>1632</v>
      </c>
    </row>
    <row r="622" spans="1:12" ht="207.6" customHeight="1">
      <c r="A622" s="55" t="s">
        <v>632</v>
      </c>
      <c r="E622" s="72">
        <f>SUMIF(History1!B:B, A622, History1!C:C)</f>
        <v>0</v>
      </c>
      <c r="K622" s="71" t="s">
        <v>2591</v>
      </c>
      <c r="L622" s="73" t="s">
        <v>1633</v>
      </c>
    </row>
    <row r="623" spans="1:12" ht="207.6" customHeight="1">
      <c r="A623" s="55" t="s">
        <v>633</v>
      </c>
      <c r="E623" s="72">
        <f>SUMIF(History1!B:B, A623, History1!C:C)</f>
        <v>0</v>
      </c>
      <c r="K623" s="71" t="s">
        <v>2592</v>
      </c>
      <c r="L623" s="73" t="s">
        <v>1634</v>
      </c>
    </row>
    <row r="624" spans="1:12" ht="207.6" customHeight="1">
      <c r="A624" s="55" t="s">
        <v>634</v>
      </c>
      <c r="E624" s="72">
        <f>SUMIF(History1!B:B, A624, History1!C:C)</f>
        <v>0</v>
      </c>
      <c r="K624" s="71" t="s">
        <v>2593</v>
      </c>
      <c r="L624" s="73" t="s">
        <v>1635</v>
      </c>
    </row>
    <row r="625" spans="1:12" ht="207.6" customHeight="1">
      <c r="A625" s="55" t="s">
        <v>635</v>
      </c>
      <c r="E625" s="72">
        <f>SUMIF(History1!B:B, A625, History1!C:C)</f>
        <v>0</v>
      </c>
      <c r="K625" s="71" t="s">
        <v>2594</v>
      </c>
      <c r="L625" s="73" t="s">
        <v>1636</v>
      </c>
    </row>
    <row r="626" spans="1:12" ht="207.6" customHeight="1">
      <c r="A626" s="55" t="s">
        <v>636</v>
      </c>
      <c r="E626" s="72">
        <f>SUMIF(History1!B:B, A626, History1!C:C)</f>
        <v>0</v>
      </c>
      <c r="K626" s="71" t="s">
        <v>2595</v>
      </c>
      <c r="L626" s="73" t="s">
        <v>1637</v>
      </c>
    </row>
    <row r="627" spans="1:12" ht="207.6" customHeight="1">
      <c r="A627" s="55" t="s">
        <v>637</v>
      </c>
      <c r="E627" s="72">
        <f>SUMIF(History1!B:B, A627, History1!C:C)</f>
        <v>0</v>
      </c>
      <c r="K627" s="71" t="s">
        <v>2596</v>
      </c>
      <c r="L627" s="73" t="s">
        <v>1638</v>
      </c>
    </row>
    <row r="628" spans="1:12" ht="207.6" customHeight="1">
      <c r="A628" s="55" t="s">
        <v>638</v>
      </c>
      <c r="E628" s="72">
        <f>SUMIF(History1!B:B, A628, History1!C:C)</f>
        <v>0</v>
      </c>
      <c r="K628" s="71" t="s">
        <v>2597</v>
      </c>
      <c r="L628" s="73" t="s">
        <v>1639</v>
      </c>
    </row>
    <row r="629" spans="1:12" ht="207.6" customHeight="1">
      <c r="A629" s="55" t="s">
        <v>639</v>
      </c>
      <c r="E629" s="72">
        <f>SUMIF(History1!B:B, A629, History1!C:C)</f>
        <v>0</v>
      </c>
      <c r="K629" s="71" t="s">
        <v>2598</v>
      </c>
      <c r="L629" s="73" t="s">
        <v>1640</v>
      </c>
    </row>
    <row r="630" spans="1:12" ht="207.6" customHeight="1">
      <c r="A630" s="55" t="s">
        <v>640</v>
      </c>
      <c r="E630" s="72">
        <f>SUMIF(History1!B:B, A630, History1!C:C)</f>
        <v>0</v>
      </c>
      <c r="K630" s="71" t="s">
        <v>2599</v>
      </c>
      <c r="L630" s="73" t="s">
        <v>1641</v>
      </c>
    </row>
    <row r="631" spans="1:12" ht="207.6" customHeight="1">
      <c r="A631" s="55" t="s">
        <v>641</v>
      </c>
      <c r="E631" s="72">
        <f>SUMIF(History1!B:B, A631, History1!C:C)</f>
        <v>0</v>
      </c>
      <c r="K631" s="71" t="s">
        <v>2600</v>
      </c>
      <c r="L631" s="73" t="s">
        <v>1642</v>
      </c>
    </row>
    <row r="632" spans="1:12" ht="207.6" customHeight="1">
      <c r="A632" s="55" t="s">
        <v>642</v>
      </c>
      <c r="E632" s="72">
        <f>SUMIF(History1!B:B, A632, History1!C:C)</f>
        <v>0</v>
      </c>
      <c r="K632" s="71" t="s">
        <v>2601</v>
      </c>
      <c r="L632" s="73" t="s">
        <v>1643</v>
      </c>
    </row>
    <row r="633" spans="1:12" ht="207.6" customHeight="1">
      <c r="A633" s="55" t="s">
        <v>643</v>
      </c>
      <c r="E633" s="72">
        <f>SUMIF(History1!B:B, A633, History1!C:C)</f>
        <v>0</v>
      </c>
      <c r="K633" s="71" t="s">
        <v>2602</v>
      </c>
      <c r="L633" s="73" t="s">
        <v>1644</v>
      </c>
    </row>
    <row r="634" spans="1:12" ht="207.6" customHeight="1">
      <c r="A634" s="55" t="s">
        <v>644</v>
      </c>
      <c r="E634" s="72">
        <f>SUMIF(History1!B:B, A634, History1!C:C)</f>
        <v>0</v>
      </c>
      <c r="K634" s="71" t="s">
        <v>2603</v>
      </c>
      <c r="L634" s="73" t="s">
        <v>1645</v>
      </c>
    </row>
    <row r="635" spans="1:12" ht="207.6" customHeight="1">
      <c r="A635" s="55" t="s">
        <v>645</v>
      </c>
      <c r="E635" s="72">
        <f>SUMIF(History1!B:B, A635, History1!C:C)</f>
        <v>0</v>
      </c>
      <c r="K635" s="71" t="s">
        <v>2604</v>
      </c>
      <c r="L635" s="73" t="s">
        <v>1646</v>
      </c>
    </row>
    <row r="636" spans="1:12" ht="207.6" customHeight="1">
      <c r="A636" s="55" t="s">
        <v>646</v>
      </c>
      <c r="E636" s="72">
        <f>SUMIF(History1!B:B, A636, History1!C:C)</f>
        <v>0</v>
      </c>
      <c r="K636" s="71" t="s">
        <v>2605</v>
      </c>
      <c r="L636" s="73" t="s">
        <v>1647</v>
      </c>
    </row>
    <row r="637" spans="1:12" ht="207.6" customHeight="1">
      <c r="A637" s="55" t="s">
        <v>647</v>
      </c>
      <c r="E637" s="72">
        <f>SUMIF(History1!B:B, A637, History1!C:C)</f>
        <v>0</v>
      </c>
      <c r="K637" s="71" t="s">
        <v>2606</v>
      </c>
      <c r="L637" s="73" t="s">
        <v>1648</v>
      </c>
    </row>
    <row r="638" spans="1:12" ht="207.6" customHeight="1">
      <c r="A638" s="55" t="s">
        <v>648</v>
      </c>
      <c r="E638" s="72">
        <f>SUMIF(History1!B:B, A638, History1!C:C)</f>
        <v>0</v>
      </c>
      <c r="K638" s="71" t="s">
        <v>2607</v>
      </c>
      <c r="L638" s="73" t="s">
        <v>1649</v>
      </c>
    </row>
    <row r="639" spans="1:12" ht="207.6" customHeight="1">
      <c r="A639" s="55" t="s">
        <v>649</v>
      </c>
      <c r="E639" s="72">
        <f>SUMIF(History1!B:B, A639, History1!C:C)</f>
        <v>0</v>
      </c>
      <c r="K639" s="71" t="s">
        <v>2608</v>
      </c>
      <c r="L639" s="73" t="s">
        <v>1650</v>
      </c>
    </row>
    <row r="640" spans="1:12" ht="207.6" customHeight="1">
      <c r="A640" s="55" t="s">
        <v>650</v>
      </c>
      <c r="E640" s="72">
        <f>SUMIF(History1!B:B, A640, History1!C:C)</f>
        <v>0</v>
      </c>
      <c r="K640" s="71" t="s">
        <v>2609</v>
      </c>
      <c r="L640" s="73" t="s">
        <v>1651</v>
      </c>
    </row>
    <row r="641" spans="1:12" ht="207.6" customHeight="1">
      <c r="A641" s="55" t="s">
        <v>651</v>
      </c>
      <c r="E641" s="72">
        <f>SUMIF(History1!B:B, A641, History1!C:C)</f>
        <v>0</v>
      </c>
      <c r="K641" s="71" t="s">
        <v>2610</v>
      </c>
      <c r="L641" s="73" t="s">
        <v>1652</v>
      </c>
    </row>
    <row r="642" spans="1:12" ht="207.6" customHeight="1">
      <c r="A642" s="55" t="s">
        <v>652</v>
      </c>
      <c r="E642" s="72">
        <f>SUMIF(History1!B:B, A642, History1!C:C)</f>
        <v>0</v>
      </c>
      <c r="K642" s="71" t="s">
        <v>2611</v>
      </c>
      <c r="L642" s="73" t="s">
        <v>1653</v>
      </c>
    </row>
    <row r="643" spans="1:12" ht="207.6" customHeight="1">
      <c r="A643" s="55" t="s">
        <v>653</v>
      </c>
      <c r="E643" s="72">
        <f>SUMIF(History1!B:B, A643, History1!C:C)</f>
        <v>0</v>
      </c>
      <c r="K643" s="71" t="s">
        <v>2612</v>
      </c>
      <c r="L643" s="73" t="s">
        <v>1654</v>
      </c>
    </row>
    <row r="644" spans="1:12" ht="207.6" customHeight="1">
      <c r="A644" s="55" t="s">
        <v>654</v>
      </c>
      <c r="E644" s="72">
        <f>SUMIF(History1!B:B, A644, History1!C:C)</f>
        <v>0</v>
      </c>
      <c r="K644" s="71" t="s">
        <v>2613</v>
      </c>
      <c r="L644" s="73" t="s">
        <v>1655</v>
      </c>
    </row>
    <row r="645" spans="1:12" ht="207.6" customHeight="1">
      <c r="A645" s="55" t="s">
        <v>655</v>
      </c>
      <c r="E645" s="72">
        <f>SUMIF(History1!B:B, A645, History1!C:C)</f>
        <v>0</v>
      </c>
      <c r="K645" s="71" t="s">
        <v>2614</v>
      </c>
      <c r="L645" s="73" t="s">
        <v>1656</v>
      </c>
    </row>
    <row r="646" spans="1:12" ht="207.6" customHeight="1">
      <c r="A646" s="55" t="s">
        <v>656</v>
      </c>
      <c r="E646" s="72">
        <f>SUMIF(History1!B:B, A646, History1!C:C)</f>
        <v>0</v>
      </c>
      <c r="K646" s="71" t="s">
        <v>2615</v>
      </c>
      <c r="L646" s="73" t="s">
        <v>1657</v>
      </c>
    </row>
    <row r="647" spans="1:12" ht="207.6" customHeight="1">
      <c r="A647" s="55" t="s">
        <v>657</v>
      </c>
      <c r="E647" s="72">
        <f>SUMIF(History1!B:B, A647, History1!C:C)</f>
        <v>0</v>
      </c>
      <c r="K647" s="71" t="s">
        <v>2616</v>
      </c>
      <c r="L647" s="73" t="s">
        <v>1658</v>
      </c>
    </row>
    <row r="648" spans="1:12" ht="207.6" customHeight="1">
      <c r="A648" s="55" t="s">
        <v>658</v>
      </c>
      <c r="E648" s="72">
        <f>SUMIF(History1!B:B, A648, History1!C:C)</f>
        <v>0</v>
      </c>
      <c r="K648" s="71" t="s">
        <v>2617</v>
      </c>
      <c r="L648" s="73" t="s">
        <v>1659</v>
      </c>
    </row>
    <row r="649" spans="1:12" ht="207.6" customHeight="1">
      <c r="A649" s="55" t="s">
        <v>659</v>
      </c>
      <c r="E649" s="72">
        <f>SUMIF(History1!B:B, A649, History1!C:C)</f>
        <v>0</v>
      </c>
      <c r="K649" s="71" t="s">
        <v>2618</v>
      </c>
      <c r="L649" s="73" t="s">
        <v>1660</v>
      </c>
    </row>
    <row r="650" spans="1:12" ht="207.6" customHeight="1">
      <c r="A650" s="55" t="s">
        <v>660</v>
      </c>
      <c r="E650" s="72">
        <f>SUMIF(History1!B:B, A650, History1!C:C)</f>
        <v>0</v>
      </c>
      <c r="K650" s="71" t="s">
        <v>2619</v>
      </c>
      <c r="L650" s="73" t="s">
        <v>1661</v>
      </c>
    </row>
    <row r="651" spans="1:12" ht="207.6" customHeight="1">
      <c r="A651" s="55" t="s">
        <v>661</v>
      </c>
      <c r="E651" s="72">
        <f>SUMIF(History1!B:B, A651, History1!C:C)</f>
        <v>0</v>
      </c>
      <c r="K651" s="71" t="s">
        <v>2620</v>
      </c>
      <c r="L651" s="73" t="s">
        <v>1662</v>
      </c>
    </row>
    <row r="652" spans="1:12" ht="207.6" customHeight="1">
      <c r="A652" s="55" t="s">
        <v>662</v>
      </c>
      <c r="E652" s="72">
        <f>SUMIF(History1!B:B, A652, History1!C:C)</f>
        <v>0</v>
      </c>
      <c r="K652" s="71" t="s">
        <v>2621</v>
      </c>
      <c r="L652" s="73" t="s">
        <v>1663</v>
      </c>
    </row>
    <row r="653" spans="1:12" ht="207.6" customHeight="1">
      <c r="A653" s="55" t="s">
        <v>663</v>
      </c>
      <c r="E653" s="72">
        <f>SUMIF(History1!B:B, A653, History1!C:C)</f>
        <v>0</v>
      </c>
      <c r="K653" s="71" t="s">
        <v>2622</v>
      </c>
      <c r="L653" s="73" t="s">
        <v>1664</v>
      </c>
    </row>
    <row r="654" spans="1:12" ht="207.6" customHeight="1">
      <c r="A654" s="55" t="s">
        <v>664</v>
      </c>
      <c r="E654" s="72">
        <f>SUMIF(History1!B:B, A654, History1!C:C)</f>
        <v>0</v>
      </c>
      <c r="K654" s="71" t="s">
        <v>2623</v>
      </c>
      <c r="L654" s="73" t="s">
        <v>1665</v>
      </c>
    </row>
    <row r="655" spans="1:12" ht="207.6" customHeight="1">
      <c r="A655" s="55" t="s">
        <v>665</v>
      </c>
      <c r="E655" s="72">
        <f>SUMIF(History1!B:B, A655, History1!C:C)</f>
        <v>0</v>
      </c>
      <c r="K655" s="71" t="s">
        <v>2624</v>
      </c>
      <c r="L655" s="73" t="s">
        <v>1666</v>
      </c>
    </row>
    <row r="656" spans="1:12" ht="207.6" customHeight="1">
      <c r="A656" s="55" t="s">
        <v>666</v>
      </c>
      <c r="E656" s="72">
        <f>SUMIF(History1!B:B, A656, History1!C:C)</f>
        <v>0</v>
      </c>
      <c r="K656" s="71" t="s">
        <v>2625</v>
      </c>
      <c r="L656" s="73" t="s">
        <v>1667</v>
      </c>
    </row>
    <row r="657" spans="1:12" ht="207.6" customHeight="1">
      <c r="A657" s="55" t="s">
        <v>667</v>
      </c>
      <c r="E657" s="72">
        <f>SUMIF(History1!B:B, A657, History1!C:C)</f>
        <v>0</v>
      </c>
      <c r="K657" s="71" t="s">
        <v>2626</v>
      </c>
      <c r="L657" s="73" t="s">
        <v>1668</v>
      </c>
    </row>
    <row r="658" spans="1:12" ht="207.6" customHeight="1">
      <c r="A658" s="55" t="s">
        <v>668</v>
      </c>
      <c r="E658" s="72">
        <f>SUMIF(History1!B:B, A658, History1!C:C)</f>
        <v>0</v>
      </c>
      <c r="K658" s="71" t="s">
        <v>2627</v>
      </c>
      <c r="L658" s="73" t="s">
        <v>1669</v>
      </c>
    </row>
    <row r="659" spans="1:12" ht="207.6" customHeight="1">
      <c r="A659" s="55" t="s">
        <v>669</v>
      </c>
      <c r="E659" s="72">
        <f>SUMIF(History1!B:B, A659, History1!C:C)</f>
        <v>0</v>
      </c>
      <c r="K659" s="71" t="s">
        <v>2628</v>
      </c>
      <c r="L659" s="73" t="s">
        <v>1670</v>
      </c>
    </row>
    <row r="660" spans="1:12" ht="207.6" customHeight="1">
      <c r="A660" s="55" t="s">
        <v>670</v>
      </c>
      <c r="E660" s="72">
        <f>SUMIF(History1!B:B, A660, History1!C:C)</f>
        <v>0</v>
      </c>
      <c r="K660" s="71" t="s">
        <v>2629</v>
      </c>
      <c r="L660" s="73" t="s">
        <v>1671</v>
      </c>
    </row>
    <row r="661" spans="1:12" ht="207.6" customHeight="1">
      <c r="A661" s="55" t="s">
        <v>671</v>
      </c>
      <c r="E661" s="72">
        <f>SUMIF(History1!B:B, A661, History1!C:C)</f>
        <v>0</v>
      </c>
      <c r="K661" s="71" t="s">
        <v>2630</v>
      </c>
      <c r="L661" s="73" t="s">
        <v>1672</v>
      </c>
    </row>
    <row r="662" spans="1:12" ht="207.6" customHeight="1">
      <c r="A662" s="55" t="s">
        <v>672</v>
      </c>
      <c r="E662" s="72">
        <f>SUMIF(History1!B:B, A662, History1!C:C)</f>
        <v>0</v>
      </c>
      <c r="K662" s="71" t="s">
        <v>2631</v>
      </c>
      <c r="L662" s="73" t="s">
        <v>1673</v>
      </c>
    </row>
    <row r="663" spans="1:12" ht="207.6" customHeight="1">
      <c r="A663" s="55" t="s">
        <v>673</v>
      </c>
      <c r="E663" s="72">
        <f>SUMIF(History1!B:B, A663, History1!C:C)</f>
        <v>0</v>
      </c>
      <c r="K663" s="71" t="s">
        <v>2632</v>
      </c>
      <c r="L663" s="73" t="s">
        <v>1674</v>
      </c>
    </row>
    <row r="664" spans="1:12" ht="207.6" customHeight="1">
      <c r="A664" s="55" t="s">
        <v>674</v>
      </c>
      <c r="E664" s="72">
        <f>SUMIF(History1!B:B, A664, History1!C:C)</f>
        <v>0</v>
      </c>
      <c r="K664" s="71" t="s">
        <v>2633</v>
      </c>
      <c r="L664" s="73" t="s">
        <v>1675</v>
      </c>
    </row>
    <row r="665" spans="1:12" ht="207.6" customHeight="1">
      <c r="A665" s="55" t="s">
        <v>675</v>
      </c>
      <c r="E665" s="72">
        <f>SUMIF(History1!B:B, A665, History1!C:C)</f>
        <v>0</v>
      </c>
      <c r="K665" s="71" t="s">
        <v>2634</v>
      </c>
      <c r="L665" s="73" t="s">
        <v>1676</v>
      </c>
    </row>
    <row r="666" spans="1:12" ht="207.6" customHeight="1">
      <c r="A666" s="55" t="s">
        <v>676</v>
      </c>
      <c r="E666" s="72">
        <f>SUMIF(History1!B:B, A666, History1!C:C)</f>
        <v>0</v>
      </c>
      <c r="K666" s="71" t="s">
        <v>2635</v>
      </c>
      <c r="L666" s="73" t="s">
        <v>1677</v>
      </c>
    </row>
    <row r="667" spans="1:12" ht="207.6" customHeight="1">
      <c r="A667" s="55" t="s">
        <v>677</v>
      </c>
      <c r="E667" s="72">
        <f>SUMIF(History1!B:B, A667, History1!C:C)</f>
        <v>0</v>
      </c>
      <c r="K667" s="71" t="s">
        <v>2636</v>
      </c>
      <c r="L667" s="73" t="s">
        <v>1678</v>
      </c>
    </row>
    <row r="668" spans="1:12" ht="207.6" customHeight="1">
      <c r="A668" s="55" t="s">
        <v>678</v>
      </c>
      <c r="E668" s="72">
        <f>SUMIF(History1!B:B, A668, History1!C:C)</f>
        <v>0</v>
      </c>
      <c r="K668" s="71" t="s">
        <v>2637</v>
      </c>
      <c r="L668" s="73" t="s">
        <v>1679</v>
      </c>
    </row>
    <row r="669" spans="1:12" ht="207.6" customHeight="1">
      <c r="A669" s="55" t="s">
        <v>679</v>
      </c>
      <c r="E669" s="72">
        <f>SUMIF(History1!B:B, A669, History1!C:C)</f>
        <v>0</v>
      </c>
      <c r="K669" s="71" t="s">
        <v>2638</v>
      </c>
      <c r="L669" s="73" t="s">
        <v>1680</v>
      </c>
    </row>
    <row r="670" spans="1:12" ht="207.6" customHeight="1">
      <c r="A670" s="55" t="s">
        <v>680</v>
      </c>
      <c r="E670" s="72">
        <f>SUMIF(History1!B:B, A670, History1!C:C)</f>
        <v>0</v>
      </c>
      <c r="K670" s="71" t="s">
        <v>2639</v>
      </c>
      <c r="L670" s="73" t="s">
        <v>1681</v>
      </c>
    </row>
    <row r="671" spans="1:12" ht="207.6" customHeight="1">
      <c r="A671" s="55" t="s">
        <v>681</v>
      </c>
      <c r="E671" s="72">
        <f>SUMIF(History1!B:B, A671, History1!C:C)</f>
        <v>0</v>
      </c>
      <c r="K671" s="71" t="s">
        <v>2640</v>
      </c>
      <c r="L671" s="73" t="s">
        <v>1682</v>
      </c>
    </row>
    <row r="672" spans="1:12" ht="207.6" customHeight="1">
      <c r="A672" s="55" t="s">
        <v>682</v>
      </c>
      <c r="E672" s="72">
        <f>SUMIF(History1!B:B, A672, History1!C:C)</f>
        <v>0</v>
      </c>
      <c r="K672" s="71" t="s">
        <v>2641</v>
      </c>
      <c r="L672" s="73" t="s">
        <v>1683</v>
      </c>
    </row>
    <row r="673" spans="1:12" ht="207.6" customHeight="1">
      <c r="A673" s="55" t="s">
        <v>683</v>
      </c>
      <c r="E673" s="72">
        <f>SUMIF(History1!B:B, A673, History1!C:C)</f>
        <v>0</v>
      </c>
      <c r="K673" s="71" t="s">
        <v>2642</v>
      </c>
      <c r="L673" s="73" t="s">
        <v>1684</v>
      </c>
    </row>
    <row r="674" spans="1:12" ht="207.6" customHeight="1">
      <c r="A674" s="55" t="s">
        <v>684</v>
      </c>
      <c r="E674" s="72">
        <f>SUMIF(History1!B:B, A674, History1!C:C)</f>
        <v>0</v>
      </c>
      <c r="K674" s="71" t="s">
        <v>2643</v>
      </c>
      <c r="L674" s="73" t="s">
        <v>1685</v>
      </c>
    </row>
    <row r="675" spans="1:12" ht="207.6" customHeight="1">
      <c r="A675" s="55" t="s">
        <v>685</v>
      </c>
      <c r="E675" s="72">
        <f>SUMIF(History1!B:B, A675, History1!C:C)</f>
        <v>0</v>
      </c>
      <c r="K675" s="71" t="s">
        <v>2644</v>
      </c>
      <c r="L675" s="73" t="s">
        <v>1686</v>
      </c>
    </row>
    <row r="676" spans="1:12" ht="207.6" customHeight="1">
      <c r="A676" s="55" t="s">
        <v>686</v>
      </c>
      <c r="E676" s="72">
        <f>SUMIF(History1!B:B, A676, History1!C:C)</f>
        <v>0</v>
      </c>
      <c r="K676" s="71" t="s">
        <v>2645</v>
      </c>
      <c r="L676" s="73" t="s">
        <v>1687</v>
      </c>
    </row>
    <row r="677" spans="1:12" ht="207.6" customHeight="1">
      <c r="A677" s="55" t="s">
        <v>687</v>
      </c>
      <c r="E677" s="72">
        <f>SUMIF(History1!B:B, A677, History1!C:C)</f>
        <v>0</v>
      </c>
      <c r="K677" s="71" t="s">
        <v>2646</v>
      </c>
      <c r="L677" s="73" t="s">
        <v>1688</v>
      </c>
    </row>
    <row r="678" spans="1:12" ht="207.6" customHeight="1">
      <c r="A678" s="55" t="s">
        <v>688</v>
      </c>
      <c r="E678" s="72">
        <f>SUMIF(History1!B:B, A678, History1!C:C)</f>
        <v>0</v>
      </c>
      <c r="K678" s="71" t="s">
        <v>2647</v>
      </c>
      <c r="L678" s="73" t="s">
        <v>1689</v>
      </c>
    </row>
    <row r="679" spans="1:12" ht="207.6" customHeight="1">
      <c r="A679" s="55" t="s">
        <v>689</v>
      </c>
      <c r="E679" s="72">
        <f>SUMIF(History1!B:B, A679, History1!C:C)</f>
        <v>0</v>
      </c>
      <c r="K679" s="71" t="s">
        <v>2648</v>
      </c>
      <c r="L679" s="73" t="s">
        <v>1690</v>
      </c>
    </row>
    <row r="680" spans="1:12" ht="207.6" customHeight="1">
      <c r="A680" s="55" t="s">
        <v>690</v>
      </c>
      <c r="E680" s="72">
        <f>SUMIF(History1!B:B, A680, History1!C:C)</f>
        <v>0</v>
      </c>
      <c r="K680" s="71" t="s">
        <v>2649</v>
      </c>
      <c r="L680" s="73" t="s">
        <v>1691</v>
      </c>
    </row>
    <row r="681" spans="1:12" ht="207.6" customHeight="1">
      <c r="A681" s="55" t="s">
        <v>691</v>
      </c>
      <c r="E681" s="72">
        <f>SUMIF(History1!B:B, A681, History1!C:C)</f>
        <v>0</v>
      </c>
      <c r="K681" s="71" t="s">
        <v>2650</v>
      </c>
      <c r="L681" s="73" t="s">
        <v>1692</v>
      </c>
    </row>
    <row r="682" spans="1:12" ht="207.6" customHeight="1">
      <c r="A682" s="55" t="s">
        <v>692</v>
      </c>
      <c r="E682" s="72">
        <f>SUMIF(History1!B:B, A682, History1!C:C)</f>
        <v>0</v>
      </c>
      <c r="K682" s="71" t="s">
        <v>2651</v>
      </c>
      <c r="L682" s="73" t="s">
        <v>1693</v>
      </c>
    </row>
    <row r="683" spans="1:12" ht="207.6" customHeight="1">
      <c r="A683" s="55" t="s">
        <v>693</v>
      </c>
      <c r="E683" s="72">
        <f>SUMIF(History1!B:B, A683, History1!C:C)</f>
        <v>0</v>
      </c>
      <c r="K683" s="71" t="s">
        <v>2652</v>
      </c>
      <c r="L683" s="73" t="s">
        <v>1694</v>
      </c>
    </row>
    <row r="684" spans="1:12" ht="207.6" customHeight="1">
      <c r="A684" s="55" t="s">
        <v>694</v>
      </c>
      <c r="E684" s="72">
        <f>SUMIF(History1!B:B, A684, History1!C:C)</f>
        <v>0</v>
      </c>
      <c r="K684" s="71" t="s">
        <v>2653</v>
      </c>
      <c r="L684" s="73" t="s">
        <v>1695</v>
      </c>
    </row>
    <row r="685" spans="1:12" ht="207.6" customHeight="1">
      <c r="A685" s="55" t="s">
        <v>695</v>
      </c>
      <c r="E685" s="72">
        <f>SUMIF(History1!B:B, A685, History1!C:C)</f>
        <v>0</v>
      </c>
      <c r="K685" s="71" t="s">
        <v>2654</v>
      </c>
      <c r="L685" s="73" t="s">
        <v>1696</v>
      </c>
    </row>
    <row r="686" spans="1:12" ht="207.6" customHeight="1">
      <c r="A686" s="55" t="s">
        <v>696</v>
      </c>
      <c r="E686" s="72">
        <f>SUMIF(History1!B:B, A686, History1!C:C)</f>
        <v>0</v>
      </c>
      <c r="K686" s="71" t="s">
        <v>2655</v>
      </c>
      <c r="L686" s="73" t="s">
        <v>1697</v>
      </c>
    </row>
    <row r="687" spans="1:12" ht="207.6" customHeight="1">
      <c r="A687" s="55" t="s">
        <v>697</v>
      </c>
      <c r="E687" s="72">
        <f>SUMIF(History1!B:B, A687, History1!C:C)</f>
        <v>0</v>
      </c>
      <c r="K687" s="71" t="s">
        <v>2656</v>
      </c>
      <c r="L687" s="73" t="s">
        <v>1698</v>
      </c>
    </row>
    <row r="688" spans="1:12" ht="207.6" customHeight="1">
      <c r="A688" s="55" t="s">
        <v>698</v>
      </c>
      <c r="E688" s="72">
        <f>SUMIF(History1!B:B, A688, History1!C:C)</f>
        <v>0</v>
      </c>
      <c r="K688" s="71" t="s">
        <v>2657</v>
      </c>
      <c r="L688" s="73" t="s">
        <v>1699</v>
      </c>
    </row>
    <row r="689" spans="1:12" ht="207.6" customHeight="1">
      <c r="A689" s="55" t="s">
        <v>699</v>
      </c>
      <c r="E689" s="72">
        <f>SUMIF(History1!B:B, A689, History1!C:C)</f>
        <v>0</v>
      </c>
      <c r="K689" s="71" t="s">
        <v>2658</v>
      </c>
      <c r="L689" s="73" t="s">
        <v>1700</v>
      </c>
    </row>
    <row r="690" spans="1:12" ht="207.6" customHeight="1">
      <c r="A690" s="55" t="s">
        <v>700</v>
      </c>
      <c r="E690" s="72">
        <f>SUMIF(History1!B:B, A690, History1!C:C)</f>
        <v>0</v>
      </c>
      <c r="K690" s="71" t="s">
        <v>2659</v>
      </c>
      <c r="L690" s="73" t="s">
        <v>1701</v>
      </c>
    </row>
    <row r="691" spans="1:12" ht="207.6" customHeight="1">
      <c r="A691" s="55" t="s">
        <v>701</v>
      </c>
      <c r="E691" s="72">
        <f>SUMIF(History1!B:B, A691, History1!C:C)</f>
        <v>0</v>
      </c>
      <c r="K691" s="71" t="s">
        <v>2660</v>
      </c>
      <c r="L691" s="73" t="s">
        <v>1702</v>
      </c>
    </row>
    <row r="692" spans="1:12" ht="207.6" customHeight="1">
      <c r="A692" s="55" t="s">
        <v>702</v>
      </c>
      <c r="E692" s="72">
        <f>SUMIF(History1!B:B, A692, History1!C:C)</f>
        <v>0</v>
      </c>
      <c r="K692" s="71" t="s">
        <v>2661</v>
      </c>
      <c r="L692" s="73" t="s">
        <v>1703</v>
      </c>
    </row>
    <row r="693" spans="1:12" ht="207.6" customHeight="1">
      <c r="A693" s="55" t="s">
        <v>703</v>
      </c>
      <c r="E693" s="72">
        <f>SUMIF(History1!B:B, A693, History1!C:C)</f>
        <v>0</v>
      </c>
      <c r="K693" s="71" t="s">
        <v>2662</v>
      </c>
      <c r="L693" s="73" t="s">
        <v>1704</v>
      </c>
    </row>
    <row r="694" spans="1:12" ht="207.6" customHeight="1">
      <c r="A694" s="55" t="s">
        <v>704</v>
      </c>
      <c r="E694" s="72">
        <f>SUMIF(History1!B:B, A694, History1!C:C)</f>
        <v>0</v>
      </c>
      <c r="K694" s="71" t="s">
        <v>2663</v>
      </c>
      <c r="L694" s="73" t="s">
        <v>1705</v>
      </c>
    </row>
    <row r="695" spans="1:12" ht="207.6" customHeight="1">
      <c r="A695" s="55" t="s">
        <v>705</v>
      </c>
      <c r="E695" s="72">
        <f>SUMIF(History1!B:B, A695, History1!C:C)</f>
        <v>0</v>
      </c>
      <c r="K695" s="71" t="s">
        <v>2664</v>
      </c>
      <c r="L695" s="73" t="s">
        <v>1706</v>
      </c>
    </row>
    <row r="696" spans="1:12" ht="207.6" customHeight="1">
      <c r="A696" s="55" t="s">
        <v>706</v>
      </c>
      <c r="E696" s="72">
        <f>SUMIF(History1!B:B, A696, History1!C:C)</f>
        <v>0</v>
      </c>
      <c r="K696" s="71" t="s">
        <v>2665</v>
      </c>
      <c r="L696" s="73" t="s">
        <v>1707</v>
      </c>
    </row>
    <row r="697" spans="1:12" ht="207.6" customHeight="1">
      <c r="A697" s="55" t="s">
        <v>707</v>
      </c>
      <c r="E697" s="72">
        <f>SUMIF(History1!B:B, A697, History1!C:C)</f>
        <v>0</v>
      </c>
      <c r="K697" s="71" t="s">
        <v>2666</v>
      </c>
      <c r="L697" s="73" t="s">
        <v>1708</v>
      </c>
    </row>
    <row r="698" spans="1:12" ht="207.6" customHeight="1">
      <c r="A698" s="55" t="s">
        <v>708</v>
      </c>
      <c r="E698" s="72">
        <f>SUMIF(History1!B:B, A698, History1!C:C)</f>
        <v>0</v>
      </c>
      <c r="K698" s="71" t="s">
        <v>2667</v>
      </c>
      <c r="L698" s="73" t="s">
        <v>1709</v>
      </c>
    </row>
    <row r="699" spans="1:12" ht="207.6" customHeight="1">
      <c r="A699" s="55" t="s">
        <v>709</v>
      </c>
      <c r="E699" s="72">
        <f>SUMIF(History1!B:B, A699, History1!C:C)</f>
        <v>0</v>
      </c>
      <c r="K699" s="71" t="s">
        <v>2668</v>
      </c>
      <c r="L699" s="73" t="s">
        <v>1710</v>
      </c>
    </row>
    <row r="700" spans="1:12" ht="207.6" customHeight="1">
      <c r="A700" s="55" t="s">
        <v>710</v>
      </c>
      <c r="E700" s="72">
        <f>SUMIF(History1!B:B, A700, History1!C:C)</f>
        <v>0</v>
      </c>
      <c r="K700" s="71" t="s">
        <v>2669</v>
      </c>
      <c r="L700" s="73" t="s">
        <v>1711</v>
      </c>
    </row>
    <row r="701" spans="1:12" ht="207.6" customHeight="1">
      <c r="A701" s="55" t="s">
        <v>711</v>
      </c>
      <c r="E701" s="72">
        <f>SUMIF(History1!B:B, A701, History1!C:C)</f>
        <v>0</v>
      </c>
      <c r="K701" s="71" t="s">
        <v>2670</v>
      </c>
      <c r="L701" s="73" t="s">
        <v>1712</v>
      </c>
    </row>
    <row r="702" spans="1:12" ht="207.6" customHeight="1">
      <c r="A702" s="55" t="s">
        <v>712</v>
      </c>
      <c r="E702" s="72">
        <f>SUMIF(History1!B:B, A702, History1!C:C)</f>
        <v>0</v>
      </c>
      <c r="K702" s="71" t="s">
        <v>2671</v>
      </c>
      <c r="L702" s="73" t="s">
        <v>1713</v>
      </c>
    </row>
    <row r="703" spans="1:12" ht="207.6" customHeight="1">
      <c r="A703" s="55" t="s">
        <v>713</v>
      </c>
      <c r="E703" s="72">
        <f>SUMIF(History1!B:B, A703, History1!C:C)</f>
        <v>0</v>
      </c>
      <c r="K703" s="71" t="s">
        <v>2672</v>
      </c>
      <c r="L703" s="73" t="s">
        <v>1714</v>
      </c>
    </row>
    <row r="704" spans="1:12" ht="207.6" customHeight="1">
      <c r="A704" s="55" t="s">
        <v>714</v>
      </c>
      <c r="E704" s="72">
        <f>SUMIF(History1!B:B, A704, History1!C:C)</f>
        <v>0</v>
      </c>
      <c r="K704" s="71" t="s">
        <v>2673</v>
      </c>
      <c r="L704" s="73" t="s">
        <v>1715</v>
      </c>
    </row>
    <row r="705" spans="1:12" ht="207.6" customHeight="1">
      <c r="A705" s="55" t="s">
        <v>715</v>
      </c>
      <c r="E705" s="72">
        <f>SUMIF(History1!B:B, A705, History1!C:C)</f>
        <v>0</v>
      </c>
      <c r="K705" s="71" t="s">
        <v>2674</v>
      </c>
      <c r="L705" s="73" t="s">
        <v>1716</v>
      </c>
    </row>
    <row r="706" spans="1:12" ht="207.6" customHeight="1">
      <c r="A706" s="55" t="s">
        <v>716</v>
      </c>
      <c r="E706" s="72">
        <f>SUMIF(History1!B:B, A706, History1!C:C)</f>
        <v>0</v>
      </c>
      <c r="K706" s="71" t="s">
        <v>2675</v>
      </c>
      <c r="L706" s="73" t="s">
        <v>1717</v>
      </c>
    </row>
    <row r="707" spans="1:12" ht="207.6" customHeight="1">
      <c r="A707" s="55" t="s">
        <v>717</v>
      </c>
      <c r="E707" s="72">
        <f>SUMIF(History1!B:B, A707, History1!C:C)</f>
        <v>0</v>
      </c>
      <c r="K707" s="71" t="s">
        <v>2676</v>
      </c>
      <c r="L707" s="73" t="s">
        <v>1718</v>
      </c>
    </row>
    <row r="708" spans="1:12" ht="207.6" customHeight="1">
      <c r="A708" s="55" t="s">
        <v>718</v>
      </c>
      <c r="E708" s="72">
        <f>SUMIF(History1!B:B, A708, History1!C:C)</f>
        <v>0</v>
      </c>
      <c r="K708" s="71" t="s">
        <v>2677</v>
      </c>
      <c r="L708" s="73" t="s">
        <v>1719</v>
      </c>
    </row>
    <row r="709" spans="1:12" ht="207.6" customHeight="1">
      <c r="A709" s="55" t="s">
        <v>719</v>
      </c>
      <c r="E709" s="72">
        <f>SUMIF(History1!B:B, A709, History1!C:C)</f>
        <v>0</v>
      </c>
      <c r="K709" s="71" t="s">
        <v>2678</v>
      </c>
      <c r="L709" s="73" t="s">
        <v>1720</v>
      </c>
    </row>
    <row r="710" spans="1:12" ht="207.6" customHeight="1">
      <c r="A710" s="55" t="s">
        <v>720</v>
      </c>
      <c r="E710" s="72">
        <f>SUMIF(History1!B:B, A710, History1!C:C)</f>
        <v>0</v>
      </c>
      <c r="K710" s="71" t="s">
        <v>2679</v>
      </c>
      <c r="L710" s="73" t="s">
        <v>1721</v>
      </c>
    </row>
    <row r="711" spans="1:12" ht="207.6" customHeight="1">
      <c r="A711" s="55" t="s">
        <v>721</v>
      </c>
      <c r="E711" s="72">
        <f>SUMIF(History1!B:B, A711, History1!C:C)</f>
        <v>0</v>
      </c>
      <c r="K711" s="71" t="s">
        <v>2680</v>
      </c>
      <c r="L711" s="73" t="s">
        <v>1722</v>
      </c>
    </row>
    <row r="712" spans="1:12" ht="207.6" customHeight="1">
      <c r="A712" s="55" t="s">
        <v>722</v>
      </c>
      <c r="E712" s="72">
        <f>SUMIF(History1!B:B, A712, History1!C:C)</f>
        <v>0</v>
      </c>
      <c r="K712" s="71" t="s">
        <v>2681</v>
      </c>
      <c r="L712" s="73" t="s">
        <v>1723</v>
      </c>
    </row>
    <row r="713" spans="1:12" ht="207.6" customHeight="1">
      <c r="A713" s="55" t="s">
        <v>723</v>
      </c>
      <c r="E713" s="72">
        <f>SUMIF(History1!B:B, A713, History1!C:C)</f>
        <v>0</v>
      </c>
      <c r="K713" s="71" t="s">
        <v>2682</v>
      </c>
      <c r="L713" s="73" t="s">
        <v>1724</v>
      </c>
    </row>
    <row r="714" spans="1:12" ht="207.6" customHeight="1">
      <c r="A714" s="55" t="s">
        <v>724</v>
      </c>
      <c r="E714" s="72">
        <f>SUMIF(History1!B:B, A714, History1!C:C)</f>
        <v>0</v>
      </c>
      <c r="K714" s="71" t="s">
        <v>2683</v>
      </c>
      <c r="L714" s="73" t="s">
        <v>1725</v>
      </c>
    </row>
    <row r="715" spans="1:12" ht="207.6" customHeight="1">
      <c r="A715" s="55" t="s">
        <v>725</v>
      </c>
      <c r="E715" s="72">
        <f>SUMIF(History1!B:B, A715, History1!C:C)</f>
        <v>0</v>
      </c>
      <c r="K715" s="71" t="s">
        <v>2684</v>
      </c>
      <c r="L715" s="73" t="s">
        <v>1726</v>
      </c>
    </row>
    <row r="716" spans="1:12" ht="207.6" customHeight="1">
      <c r="A716" s="55" t="s">
        <v>726</v>
      </c>
      <c r="E716" s="72">
        <f>SUMIF(History1!B:B, A716, History1!C:C)</f>
        <v>0</v>
      </c>
      <c r="K716" s="71" t="s">
        <v>2685</v>
      </c>
      <c r="L716" s="73" t="s">
        <v>1727</v>
      </c>
    </row>
    <row r="717" spans="1:12" ht="207.6" customHeight="1">
      <c r="A717" s="55" t="s">
        <v>727</v>
      </c>
      <c r="E717" s="72">
        <f>SUMIF(History1!B:B, A717, History1!C:C)</f>
        <v>0</v>
      </c>
      <c r="K717" s="71" t="s">
        <v>2686</v>
      </c>
      <c r="L717" s="73" t="s">
        <v>1728</v>
      </c>
    </row>
    <row r="718" spans="1:12" ht="207.6" customHeight="1">
      <c r="A718" s="55" t="s">
        <v>728</v>
      </c>
      <c r="E718" s="72">
        <f>SUMIF(History1!B:B, A718, History1!C:C)</f>
        <v>0</v>
      </c>
      <c r="K718" s="71" t="s">
        <v>2687</v>
      </c>
      <c r="L718" s="73" t="s">
        <v>1729</v>
      </c>
    </row>
    <row r="719" spans="1:12" ht="207.6" customHeight="1">
      <c r="A719" s="55" t="s">
        <v>729</v>
      </c>
      <c r="E719" s="72">
        <f>SUMIF(History1!B:B, A719, History1!C:C)</f>
        <v>0</v>
      </c>
      <c r="K719" s="71" t="s">
        <v>2688</v>
      </c>
      <c r="L719" s="73" t="s">
        <v>1730</v>
      </c>
    </row>
    <row r="720" spans="1:12" ht="207.6" customHeight="1">
      <c r="A720" s="55" t="s">
        <v>730</v>
      </c>
      <c r="E720" s="72">
        <f>SUMIF(History1!B:B, A720, History1!C:C)</f>
        <v>0</v>
      </c>
      <c r="K720" s="71" t="s">
        <v>2689</v>
      </c>
      <c r="L720" s="73" t="s">
        <v>1731</v>
      </c>
    </row>
    <row r="721" spans="1:12" ht="207.6" customHeight="1">
      <c r="A721" s="55" t="s">
        <v>731</v>
      </c>
      <c r="E721" s="72">
        <f>SUMIF(History1!B:B, A721, History1!C:C)</f>
        <v>0</v>
      </c>
      <c r="K721" s="71" t="s">
        <v>2690</v>
      </c>
      <c r="L721" s="73" t="s">
        <v>1732</v>
      </c>
    </row>
    <row r="722" spans="1:12" ht="207.6" customHeight="1">
      <c r="A722" s="55" t="s">
        <v>732</v>
      </c>
      <c r="E722" s="72">
        <f>SUMIF(History1!B:B, A722, History1!C:C)</f>
        <v>0</v>
      </c>
      <c r="K722" s="71" t="s">
        <v>2691</v>
      </c>
      <c r="L722" s="73" t="s">
        <v>1733</v>
      </c>
    </row>
    <row r="723" spans="1:12" ht="207.6" customHeight="1">
      <c r="A723" s="55" t="s">
        <v>733</v>
      </c>
      <c r="E723" s="72">
        <f>SUMIF(History1!B:B, A723, History1!C:C)</f>
        <v>0</v>
      </c>
      <c r="K723" s="71" t="s">
        <v>2692</v>
      </c>
      <c r="L723" s="73" t="s">
        <v>1734</v>
      </c>
    </row>
    <row r="724" spans="1:12" ht="207.6" customHeight="1">
      <c r="A724" s="55" t="s">
        <v>734</v>
      </c>
      <c r="E724" s="72">
        <f>SUMIF(History1!B:B, A724, History1!C:C)</f>
        <v>0</v>
      </c>
      <c r="K724" s="71" t="s">
        <v>2693</v>
      </c>
      <c r="L724" s="73" t="s">
        <v>1735</v>
      </c>
    </row>
    <row r="725" spans="1:12" ht="207.6" customHeight="1">
      <c r="A725" s="55" t="s">
        <v>735</v>
      </c>
      <c r="E725" s="72">
        <f>SUMIF(History1!B:B, A725, History1!C:C)</f>
        <v>0</v>
      </c>
      <c r="K725" s="71" t="s">
        <v>2694</v>
      </c>
      <c r="L725" s="73" t="s">
        <v>1736</v>
      </c>
    </row>
    <row r="726" spans="1:12" ht="207.6" customHeight="1">
      <c r="A726" s="55" t="s">
        <v>736</v>
      </c>
      <c r="E726" s="72">
        <f>SUMIF(History1!B:B, A726, History1!C:C)</f>
        <v>0</v>
      </c>
      <c r="K726" s="71" t="s">
        <v>2695</v>
      </c>
      <c r="L726" s="73" t="s">
        <v>1737</v>
      </c>
    </row>
    <row r="727" spans="1:12" ht="207.6" customHeight="1">
      <c r="A727" s="55" t="s">
        <v>737</v>
      </c>
      <c r="E727" s="72">
        <f>SUMIF(History1!B:B, A727, History1!C:C)</f>
        <v>0</v>
      </c>
      <c r="K727" s="71" t="s">
        <v>2696</v>
      </c>
      <c r="L727" s="73" t="s">
        <v>1738</v>
      </c>
    </row>
    <row r="728" spans="1:12" ht="207.6" customHeight="1">
      <c r="A728" s="55" t="s">
        <v>738</v>
      </c>
      <c r="E728" s="72">
        <f>SUMIF(History1!B:B, A728, History1!C:C)</f>
        <v>0</v>
      </c>
      <c r="K728" s="71" t="s">
        <v>2697</v>
      </c>
      <c r="L728" s="73" t="s">
        <v>1739</v>
      </c>
    </row>
    <row r="729" spans="1:12" ht="207.6" customHeight="1">
      <c r="A729" s="55" t="s">
        <v>739</v>
      </c>
      <c r="E729" s="72">
        <f>SUMIF(History1!B:B, A729, History1!C:C)</f>
        <v>0</v>
      </c>
      <c r="K729" s="71" t="s">
        <v>2698</v>
      </c>
      <c r="L729" s="73" t="s">
        <v>1740</v>
      </c>
    </row>
    <row r="730" spans="1:12" ht="207.6" customHeight="1">
      <c r="A730" s="55" t="s">
        <v>740</v>
      </c>
      <c r="E730" s="72">
        <f>SUMIF(History1!B:B, A730, History1!C:C)</f>
        <v>0</v>
      </c>
      <c r="K730" s="71" t="s">
        <v>2699</v>
      </c>
      <c r="L730" s="73" t="s">
        <v>1741</v>
      </c>
    </row>
    <row r="731" spans="1:12" ht="207.6" customHeight="1">
      <c r="A731" s="55" t="s">
        <v>741</v>
      </c>
      <c r="E731" s="72">
        <f>SUMIF(History1!B:B, A731, History1!C:C)</f>
        <v>0</v>
      </c>
      <c r="K731" s="71" t="s">
        <v>2700</v>
      </c>
      <c r="L731" s="73" t="s">
        <v>1742</v>
      </c>
    </row>
    <row r="732" spans="1:12" ht="207.6" customHeight="1">
      <c r="A732" s="55" t="s">
        <v>742</v>
      </c>
      <c r="E732" s="72">
        <f>SUMIF(History1!B:B, A732, History1!C:C)</f>
        <v>0</v>
      </c>
      <c r="K732" s="71" t="s">
        <v>2701</v>
      </c>
      <c r="L732" s="73" t="s">
        <v>1743</v>
      </c>
    </row>
    <row r="733" spans="1:12" ht="207.6" customHeight="1">
      <c r="A733" s="55" t="s">
        <v>743</v>
      </c>
      <c r="E733" s="72">
        <f>SUMIF(History1!B:B, A733, History1!C:C)</f>
        <v>0</v>
      </c>
      <c r="K733" s="71" t="s">
        <v>2702</v>
      </c>
      <c r="L733" s="73" t="s">
        <v>1744</v>
      </c>
    </row>
    <row r="734" spans="1:12" ht="207.6" customHeight="1">
      <c r="A734" s="55" t="s">
        <v>744</v>
      </c>
      <c r="E734" s="72">
        <f>SUMIF(History1!B:B, A734, History1!C:C)</f>
        <v>0</v>
      </c>
      <c r="K734" s="71" t="s">
        <v>2703</v>
      </c>
      <c r="L734" s="73" t="s">
        <v>1745</v>
      </c>
    </row>
    <row r="735" spans="1:12" ht="207.6" customHeight="1">
      <c r="A735" s="55" t="s">
        <v>745</v>
      </c>
      <c r="E735" s="72">
        <f>SUMIF(History1!B:B, A735, History1!C:C)</f>
        <v>0</v>
      </c>
      <c r="K735" s="71" t="s">
        <v>2704</v>
      </c>
      <c r="L735" s="73" t="s">
        <v>1746</v>
      </c>
    </row>
    <row r="736" spans="1:12" ht="207.6" customHeight="1">
      <c r="A736" s="55" t="s">
        <v>746</v>
      </c>
      <c r="E736" s="72">
        <f>SUMIF(History1!B:B, A736, History1!C:C)</f>
        <v>0</v>
      </c>
      <c r="K736" s="71" t="s">
        <v>2705</v>
      </c>
      <c r="L736" s="73" t="s">
        <v>1747</v>
      </c>
    </row>
    <row r="737" spans="1:12" ht="207.6" customHeight="1">
      <c r="A737" s="55" t="s">
        <v>747</v>
      </c>
      <c r="E737" s="72">
        <f>SUMIF(History1!B:B, A737, History1!C:C)</f>
        <v>0</v>
      </c>
      <c r="K737" s="71" t="s">
        <v>2706</v>
      </c>
      <c r="L737" s="73" t="s">
        <v>1748</v>
      </c>
    </row>
    <row r="738" spans="1:12" ht="207.6" customHeight="1">
      <c r="A738" s="55" t="s">
        <v>748</v>
      </c>
      <c r="E738" s="72">
        <f>SUMIF(History1!B:B, A738, History1!C:C)</f>
        <v>0</v>
      </c>
      <c r="K738" s="71" t="s">
        <v>2707</v>
      </c>
      <c r="L738" s="73" t="s">
        <v>1749</v>
      </c>
    </row>
    <row r="739" spans="1:12" ht="207.6" customHeight="1">
      <c r="A739" s="55" t="s">
        <v>749</v>
      </c>
      <c r="E739" s="72">
        <f>SUMIF(History1!B:B, A739, History1!C:C)</f>
        <v>0</v>
      </c>
      <c r="K739" s="71" t="s">
        <v>2708</v>
      </c>
      <c r="L739" s="73" t="s">
        <v>1750</v>
      </c>
    </row>
    <row r="740" spans="1:12" ht="207.6" customHeight="1">
      <c r="A740" s="55" t="s">
        <v>750</v>
      </c>
      <c r="E740" s="72">
        <f>SUMIF(History1!B:B, A740, History1!C:C)</f>
        <v>0</v>
      </c>
      <c r="K740" s="71" t="s">
        <v>2709</v>
      </c>
      <c r="L740" s="73" t="s">
        <v>1751</v>
      </c>
    </row>
    <row r="741" spans="1:12" ht="207.6" customHeight="1">
      <c r="A741" s="55" t="s">
        <v>751</v>
      </c>
      <c r="E741" s="72">
        <f>SUMIF(History1!B:B, A741, History1!C:C)</f>
        <v>0</v>
      </c>
      <c r="K741" s="71" t="s">
        <v>2710</v>
      </c>
      <c r="L741" s="73" t="s">
        <v>1752</v>
      </c>
    </row>
    <row r="742" spans="1:12" ht="207.6" customHeight="1">
      <c r="A742" s="55" t="s">
        <v>752</v>
      </c>
      <c r="E742" s="72">
        <f>SUMIF(History1!B:B, A742, History1!C:C)</f>
        <v>0</v>
      </c>
      <c r="K742" s="71" t="s">
        <v>2711</v>
      </c>
      <c r="L742" s="73" t="s">
        <v>1753</v>
      </c>
    </row>
    <row r="743" spans="1:12" ht="207.6" customHeight="1">
      <c r="A743" s="55" t="s">
        <v>753</v>
      </c>
      <c r="E743" s="72">
        <f>SUMIF(History1!B:B, A743, History1!C:C)</f>
        <v>0</v>
      </c>
      <c r="K743" s="71" t="s">
        <v>2712</v>
      </c>
      <c r="L743" s="73" t="s">
        <v>1754</v>
      </c>
    </row>
    <row r="744" spans="1:12" ht="207.6" customHeight="1">
      <c r="A744" s="55" t="s">
        <v>754</v>
      </c>
      <c r="E744" s="72">
        <f>SUMIF(History1!B:B, A744, History1!C:C)</f>
        <v>0</v>
      </c>
      <c r="K744" s="71" t="s">
        <v>2713</v>
      </c>
      <c r="L744" s="73" t="s">
        <v>1755</v>
      </c>
    </row>
    <row r="745" spans="1:12" ht="207.6" customHeight="1">
      <c r="A745" s="55" t="s">
        <v>755</v>
      </c>
      <c r="E745" s="72">
        <f>SUMIF(History1!B:B, A745, History1!C:C)</f>
        <v>0</v>
      </c>
      <c r="K745" s="71" t="s">
        <v>2714</v>
      </c>
      <c r="L745" s="73" t="s">
        <v>1756</v>
      </c>
    </row>
    <row r="746" spans="1:12" ht="207.6" customHeight="1">
      <c r="A746" s="55" t="s">
        <v>756</v>
      </c>
      <c r="E746" s="72">
        <f>SUMIF(History1!B:B, A746, History1!C:C)</f>
        <v>0</v>
      </c>
      <c r="K746" s="71" t="s">
        <v>2715</v>
      </c>
      <c r="L746" s="73" t="s">
        <v>1757</v>
      </c>
    </row>
    <row r="747" spans="1:12" ht="207.6" customHeight="1">
      <c r="A747" s="55" t="s">
        <v>757</v>
      </c>
      <c r="E747" s="72">
        <f>SUMIF(History1!B:B, A747, History1!C:C)</f>
        <v>0</v>
      </c>
      <c r="K747" s="71" t="s">
        <v>2716</v>
      </c>
      <c r="L747" s="73" t="s">
        <v>1758</v>
      </c>
    </row>
    <row r="748" spans="1:12" ht="207.6" customHeight="1">
      <c r="A748" s="55" t="s">
        <v>758</v>
      </c>
      <c r="E748" s="72">
        <f>SUMIF(History1!B:B, A748, History1!C:C)</f>
        <v>0</v>
      </c>
      <c r="K748" s="71" t="s">
        <v>2717</v>
      </c>
      <c r="L748" s="73" t="s">
        <v>1759</v>
      </c>
    </row>
    <row r="749" spans="1:12" ht="207.6" customHeight="1">
      <c r="A749" s="55" t="s">
        <v>759</v>
      </c>
      <c r="E749" s="72">
        <f>SUMIF(History1!B:B, A749, History1!C:C)</f>
        <v>0</v>
      </c>
      <c r="K749" s="71" t="s">
        <v>2718</v>
      </c>
      <c r="L749" s="73" t="s">
        <v>1760</v>
      </c>
    </row>
    <row r="750" spans="1:12" ht="207.6" customHeight="1">
      <c r="A750" s="55" t="s">
        <v>760</v>
      </c>
      <c r="E750" s="72">
        <f>SUMIF(History1!B:B, A750, History1!C:C)</f>
        <v>0</v>
      </c>
      <c r="K750" s="71" t="s">
        <v>2719</v>
      </c>
      <c r="L750" s="73" t="s">
        <v>1761</v>
      </c>
    </row>
    <row r="751" spans="1:12" ht="207.6" customHeight="1">
      <c r="A751" s="55" t="s">
        <v>761</v>
      </c>
      <c r="E751" s="72">
        <f>SUMIF(History1!B:B, A751, History1!C:C)</f>
        <v>0</v>
      </c>
      <c r="K751" s="71" t="s">
        <v>2720</v>
      </c>
      <c r="L751" s="73" t="s">
        <v>1762</v>
      </c>
    </row>
    <row r="752" spans="1:12" ht="207.6" customHeight="1">
      <c r="A752" s="55" t="s">
        <v>762</v>
      </c>
      <c r="E752" s="72">
        <f>SUMIF(History1!B:B, A752, History1!C:C)</f>
        <v>0</v>
      </c>
      <c r="K752" s="71" t="s">
        <v>2721</v>
      </c>
      <c r="L752" s="73" t="s">
        <v>1763</v>
      </c>
    </row>
    <row r="753" spans="1:12" ht="207.6" customHeight="1">
      <c r="A753" s="55" t="s">
        <v>763</v>
      </c>
      <c r="E753" s="72">
        <f>SUMIF(History1!B:B, A753, History1!C:C)</f>
        <v>0</v>
      </c>
      <c r="K753" s="71" t="s">
        <v>2722</v>
      </c>
      <c r="L753" s="73" t="s">
        <v>1764</v>
      </c>
    </row>
    <row r="754" spans="1:12" ht="207.6" customHeight="1">
      <c r="A754" s="55" t="s">
        <v>764</v>
      </c>
      <c r="E754" s="72">
        <f>SUMIF(History1!B:B, A754, History1!C:C)</f>
        <v>0</v>
      </c>
      <c r="K754" s="71" t="s">
        <v>2723</v>
      </c>
      <c r="L754" s="73" t="s">
        <v>1765</v>
      </c>
    </row>
    <row r="755" spans="1:12" ht="207.6" customHeight="1">
      <c r="A755" s="55" t="s">
        <v>765</v>
      </c>
      <c r="E755" s="72">
        <f>SUMIF(History1!B:B, A755, History1!C:C)</f>
        <v>0</v>
      </c>
      <c r="K755" s="71" t="s">
        <v>2724</v>
      </c>
      <c r="L755" s="73" t="s">
        <v>1766</v>
      </c>
    </row>
    <row r="756" spans="1:12" ht="207.6" customHeight="1">
      <c r="A756" s="55" t="s">
        <v>766</v>
      </c>
      <c r="E756" s="72">
        <f>SUMIF(History1!B:B, A756, History1!C:C)</f>
        <v>0</v>
      </c>
      <c r="K756" s="71" t="s">
        <v>2725</v>
      </c>
      <c r="L756" s="73" t="s">
        <v>1767</v>
      </c>
    </row>
    <row r="757" spans="1:12" ht="207.6" customHeight="1">
      <c r="A757" s="55" t="s">
        <v>767</v>
      </c>
      <c r="E757" s="72">
        <f>SUMIF(History1!B:B, A757, History1!C:C)</f>
        <v>0</v>
      </c>
      <c r="K757" s="71" t="s">
        <v>2726</v>
      </c>
      <c r="L757" s="73" t="s">
        <v>1768</v>
      </c>
    </row>
    <row r="758" spans="1:12" ht="207.6" customHeight="1">
      <c r="A758" s="55" t="s">
        <v>768</v>
      </c>
      <c r="E758" s="72">
        <f>SUMIF(History1!B:B, A758, History1!C:C)</f>
        <v>0</v>
      </c>
      <c r="K758" s="71" t="s">
        <v>2727</v>
      </c>
      <c r="L758" s="73" t="s">
        <v>1769</v>
      </c>
    </row>
    <row r="759" spans="1:12" ht="207.6" customHeight="1">
      <c r="A759" s="55" t="s">
        <v>769</v>
      </c>
      <c r="E759" s="72">
        <f>SUMIF(History1!B:B, A759, History1!C:C)</f>
        <v>0</v>
      </c>
      <c r="K759" s="71" t="s">
        <v>2728</v>
      </c>
      <c r="L759" s="73" t="s">
        <v>1770</v>
      </c>
    </row>
    <row r="760" spans="1:12" ht="207.6" customHeight="1">
      <c r="A760" s="55" t="s">
        <v>770</v>
      </c>
      <c r="E760" s="72">
        <f>SUMIF(History1!B:B, A760, History1!C:C)</f>
        <v>0</v>
      </c>
      <c r="K760" s="71" t="s">
        <v>2729</v>
      </c>
      <c r="L760" s="73" t="s">
        <v>1771</v>
      </c>
    </row>
    <row r="761" spans="1:12" ht="207.6" customHeight="1">
      <c r="A761" s="55" t="s">
        <v>771</v>
      </c>
      <c r="E761" s="72">
        <f>SUMIF(History1!B:B, A761, History1!C:C)</f>
        <v>0</v>
      </c>
      <c r="K761" s="71" t="s">
        <v>2730</v>
      </c>
      <c r="L761" s="73" t="s">
        <v>1772</v>
      </c>
    </row>
    <row r="762" spans="1:12" ht="207.6" customHeight="1">
      <c r="A762" s="55" t="s">
        <v>772</v>
      </c>
      <c r="E762" s="72">
        <f>SUMIF(History1!B:B, A762, History1!C:C)</f>
        <v>0</v>
      </c>
      <c r="K762" s="71" t="s">
        <v>2731</v>
      </c>
      <c r="L762" s="73" t="s">
        <v>1773</v>
      </c>
    </row>
    <row r="763" spans="1:12" ht="207.6" customHeight="1">
      <c r="A763" s="55" t="s">
        <v>773</v>
      </c>
      <c r="E763" s="72">
        <f>SUMIF(History1!B:B, A763, History1!C:C)</f>
        <v>0</v>
      </c>
      <c r="K763" s="71" t="s">
        <v>2732</v>
      </c>
      <c r="L763" s="73" t="s">
        <v>1774</v>
      </c>
    </row>
    <row r="764" spans="1:12" ht="207.6" customHeight="1">
      <c r="A764" s="55" t="s">
        <v>774</v>
      </c>
      <c r="E764" s="72">
        <f>SUMIF(History1!B:B, A764, History1!C:C)</f>
        <v>0</v>
      </c>
      <c r="K764" s="71" t="s">
        <v>2733</v>
      </c>
      <c r="L764" s="73" t="s">
        <v>1775</v>
      </c>
    </row>
    <row r="765" spans="1:12" ht="207.6" customHeight="1">
      <c r="A765" s="55" t="s">
        <v>775</v>
      </c>
      <c r="E765" s="72">
        <f>SUMIF(History1!B:B, A765, History1!C:C)</f>
        <v>0</v>
      </c>
      <c r="K765" s="71" t="s">
        <v>2734</v>
      </c>
      <c r="L765" s="73" t="s">
        <v>1776</v>
      </c>
    </row>
    <row r="766" spans="1:12" ht="207.6" customHeight="1">
      <c r="A766" s="55" t="s">
        <v>776</v>
      </c>
      <c r="E766" s="72">
        <f>SUMIF(History1!B:B, A766, History1!C:C)</f>
        <v>0</v>
      </c>
      <c r="K766" s="71" t="s">
        <v>2735</v>
      </c>
      <c r="L766" s="73" t="s">
        <v>1777</v>
      </c>
    </row>
    <row r="767" spans="1:12" ht="207.6" customHeight="1">
      <c r="A767" s="55" t="s">
        <v>777</v>
      </c>
      <c r="E767" s="72">
        <f>SUMIF(History1!B:B, A767, History1!C:C)</f>
        <v>0</v>
      </c>
      <c r="K767" s="71" t="s">
        <v>2736</v>
      </c>
      <c r="L767" s="73" t="s">
        <v>1778</v>
      </c>
    </row>
    <row r="768" spans="1:12" ht="207.6" customHeight="1">
      <c r="A768" s="55" t="s">
        <v>778</v>
      </c>
      <c r="E768" s="72">
        <f>SUMIF(History1!B:B, A768, History1!C:C)</f>
        <v>0</v>
      </c>
      <c r="K768" s="71" t="s">
        <v>2737</v>
      </c>
      <c r="L768" s="73" t="s">
        <v>1779</v>
      </c>
    </row>
    <row r="769" spans="1:12" ht="207.6" customHeight="1">
      <c r="A769" s="55" t="s">
        <v>779</v>
      </c>
      <c r="E769" s="72">
        <f>SUMIF(History1!B:B, A769, History1!C:C)</f>
        <v>0</v>
      </c>
      <c r="K769" s="71" t="s">
        <v>2738</v>
      </c>
      <c r="L769" s="73" t="s">
        <v>1780</v>
      </c>
    </row>
    <row r="770" spans="1:12" ht="207.6" customHeight="1">
      <c r="A770" s="55" t="s">
        <v>780</v>
      </c>
      <c r="E770" s="72">
        <f>SUMIF(History1!B:B, A770, History1!C:C)</f>
        <v>0</v>
      </c>
      <c r="K770" s="71" t="s">
        <v>2739</v>
      </c>
      <c r="L770" s="73" t="s">
        <v>1781</v>
      </c>
    </row>
    <row r="771" spans="1:12" ht="207.6" customHeight="1">
      <c r="A771" s="55" t="s">
        <v>781</v>
      </c>
      <c r="E771" s="72">
        <f>SUMIF(History1!B:B, A771, History1!C:C)</f>
        <v>0</v>
      </c>
      <c r="K771" s="71" t="s">
        <v>2740</v>
      </c>
      <c r="L771" s="73" t="s">
        <v>1782</v>
      </c>
    </row>
    <row r="772" spans="1:12" ht="207.6" customHeight="1">
      <c r="A772" s="55" t="s">
        <v>782</v>
      </c>
      <c r="E772" s="72">
        <f>SUMIF(History1!B:B, A772, History1!C:C)</f>
        <v>0</v>
      </c>
      <c r="K772" s="71" t="s">
        <v>2741</v>
      </c>
      <c r="L772" s="73" t="s">
        <v>1783</v>
      </c>
    </row>
    <row r="773" spans="1:12" ht="207.6" customHeight="1">
      <c r="A773" s="55" t="s">
        <v>783</v>
      </c>
      <c r="E773" s="72">
        <f>SUMIF(History1!B:B, A773, History1!C:C)</f>
        <v>0</v>
      </c>
      <c r="K773" s="71" t="s">
        <v>2742</v>
      </c>
      <c r="L773" s="73" t="s">
        <v>1784</v>
      </c>
    </row>
    <row r="774" spans="1:12" ht="207.6" customHeight="1">
      <c r="A774" s="55" t="s">
        <v>784</v>
      </c>
      <c r="E774" s="72">
        <f>SUMIF(History1!B:B, A774, History1!C:C)</f>
        <v>0</v>
      </c>
      <c r="K774" s="71" t="s">
        <v>2743</v>
      </c>
      <c r="L774" s="73" t="s">
        <v>1785</v>
      </c>
    </row>
    <row r="775" spans="1:12" ht="207.6" customHeight="1">
      <c r="A775" s="55" t="s">
        <v>785</v>
      </c>
      <c r="E775" s="72">
        <f>SUMIF(History1!B:B, A775, History1!C:C)</f>
        <v>0</v>
      </c>
      <c r="K775" s="71" t="s">
        <v>2744</v>
      </c>
      <c r="L775" s="73" t="s">
        <v>1786</v>
      </c>
    </row>
    <row r="776" spans="1:12" ht="207.6" customHeight="1">
      <c r="A776" s="55" t="s">
        <v>786</v>
      </c>
      <c r="E776" s="72">
        <f>SUMIF(History1!B:B, A776, History1!C:C)</f>
        <v>0</v>
      </c>
      <c r="K776" s="71" t="s">
        <v>2745</v>
      </c>
      <c r="L776" s="73" t="s">
        <v>1787</v>
      </c>
    </row>
    <row r="777" spans="1:12" ht="207.6" customHeight="1">
      <c r="A777" s="55" t="s">
        <v>787</v>
      </c>
      <c r="E777" s="72">
        <f>SUMIF(History1!B:B, A777, History1!C:C)</f>
        <v>0</v>
      </c>
      <c r="K777" s="71" t="s">
        <v>2746</v>
      </c>
      <c r="L777" s="73" t="s">
        <v>1788</v>
      </c>
    </row>
    <row r="778" spans="1:12" ht="207.6" customHeight="1">
      <c r="A778" s="55" t="s">
        <v>788</v>
      </c>
      <c r="E778" s="72">
        <f>SUMIF(History1!B:B, A778, History1!C:C)</f>
        <v>0</v>
      </c>
      <c r="K778" s="71" t="s">
        <v>2747</v>
      </c>
      <c r="L778" s="73" t="s">
        <v>1789</v>
      </c>
    </row>
    <row r="779" spans="1:12" ht="207.6" customHeight="1">
      <c r="A779" s="55" t="s">
        <v>789</v>
      </c>
      <c r="E779" s="72">
        <f>SUMIF(History1!B:B, A779, History1!C:C)</f>
        <v>0</v>
      </c>
      <c r="K779" s="71" t="s">
        <v>2748</v>
      </c>
      <c r="L779" s="73" t="s">
        <v>1790</v>
      </c>
    </row>
    <row r="780" spans="1:12" ht="207.6" customHeight="1">
      <c r="A780" s="55" t="s">
        <v>790</v>
      </c>
      <c r="E780" s="72">
        <f>SUMIF(History1!B:B, A780, History1!C:C)</f>
        <v>0</v>
      </c>
      <c r="K780" s="71" t="s">
        <v>2749</v>
      </c>
      <c r="L780" s="73" t="s">
        <v>1791</v>
      </c>
    </row>
    <row r="781" spans="1:12" ht="207.6" customHeight="1">
      <c r="A781" s="55" t="s">
        <v>791</v>
      </c>
      <c r="E781" s="72">
        <f>SUMIF(History1!B:B, A781, History1!C:C)</f>
        <v>0</v>
      </c>
      <c r="K781" s="71" t="s">
        <v>2750</v>
      </c>
      <c r="L781" s="73" t="s">
        <v>1792</v>
      </c>
    </row>
    <row r="782" spans="1:12" ht="207.6" customHeight="1">
      <c r="A782" s="55" t="s">
        <v>792</v>
      </c>
      <c r="E782" s="72">
        <f>SUMIF(History1!B:B, A782, History1!C:C)</f>
        <v>0</v>
      </c>
      <c r="K782" s="71" t="s">
        <v>2751</v>
      </c>
      <c r="L782" s="73" t="s">
        <v>1793</v>
      </c>
    </row>
    <row r="783" spans="1:12" ht="207.6" customHeight="1">
      <c r="A783" s="55" t="s">
        <v>793</v>
      </c>
      <c r="E783" s="72">
        <f>SUMIF(History1!B:B, A783, History1!C:C)</f>
        <v>0</v>
      </c>
      <c r="K783" s="71" t="s">
        <v>2752</v>
      </c>
      <c r="L783" s="73" t="s">
        <v>1794</v>
      </c>
    </row>
    <row r="784" spans="1:12" ht="207.6" customHeight="1">
      <c r="A784" s="55" t="s">
        <v>794</v>
      </c>
      <c r="E784" s="72">
        <f>SUMIF(History1!B:B, A784, History1!C:C)</f>
        <v>0</v>
      </c>
      <c r="K784" s="71" t="s">
        <v>2753</v>
      </c>
      <c r="L784" s="73" t="s">
        <v>1795</v>
      </c>
    </row>
    <row r="785" spans="1:12" ht="207.6" customHeight="1">
      <c r="A785" s="55" t="s">
        <v>795</v>
      </c>
      <c r="E785" s="72">
        <f>SUMIF(History1!B:B, A785, History1!C:C)</f>
        <v>0</v>
      </c>
      <c r="K785" s="71" t="s">
        <v>2754</v>
      </c>
      <c r="L785" s="73" t="s">
        <v>1796</v>
      </c>
    </row>
    <row r="786" spans="1:12" ht="207.6" customHeight="1">
      <c r="A786" s="55" t="s">
        <v>796</v>
      </c>
      <c r="E786" s="72">
        <f>SUMIF(History1!B:B, A786, History1!C:C)</f>
        <v>0</v>
      </c>
      <c r="K786" s="71" t="s">
        <v>2755</v>
      </c>
      <c r="L786" s="73" t="s">
        <v>1797</v>
      </c>
    </row>
    <row r="787" spans="1:12" ht="207.6" customHeight="1">
      <c r="A787" s="55" t="s">
        <v>797</v>
      </c>
      <c r="E787" s="72">
        <f>SUMIF(History1!B:B, A787, History1!C:C)</f>
        <v>0</v>
      </c>
      <c r="K787" s="71" t="s">
        <v>2756</v>
      </c>
      <c r="L787" s="73" t="s">
        <v>1798</v>
      </c>
    </row>
    <row r="788" spans="1:12" ht="207.6" customHeight="1">
      <c r="A788" s="55" t="s">
        <v>798</v>
      </c>
      <c r="E788" s="72">
        <f>SUMIF(History1!B:B, A788, History1!C:C)</f>
        <v>0</v>
      </c>
      <c r="K788" s="71" t="s">
        <v>2757</v>
      </c>
      <c r="L788" s="73" t="s">
        <v>1799</v>
      </c>
    </row>
    <row r="789" spans="1:12" ht="207.6" customHeight="1">
      <c r="A789" s="55" t="s">
        <v>799</v>
      </c>
      <c r="E789" s="72">
        <f>SUMIF(History1!B:B, A789, History1!C:C)</f>
        <v>0</v>
      </c>
      <c r="K789" s="71" t="s">
        <v>2758</v>
      </c>
      <c r="L789" s="73" t="s">
        <v>1800</v>
      </c>
    </row>
    <row r="790" spans="1:12" ht="207.6" customHeight="1">
      <c r="A790" s="55" t="s">
        <v>800</v>
      </c>
      <c r="E790" s="72">
        <f>SUMIF(History1!B:B, A790, History1!C:C)</f>
        <v>0</v>
      </c>
      <c r="K790" s="71" t="s">
        <v>2759</v>
      </c>
      <c r="L790" s="73" t="s">
        <v>1801</v>
      </c>
    </row>
    <row r="791" spans="1:12" ht="207.6" customHeight="1">
      <c r="A791" s="55" t="s">
        <v>801</v>
      </c>
      <c r="E791" s="72">
        <f>SUMIF(History1!B:B, A791, History1!C:C)</f>
        <v>0</v>
      </c>
      <c r="K791" s="71" t="s">
        <v>2760</v>
      </c>
      <c r="L791" s="73" t="s">
        <v>1802</v>
      </c>
    </row>
    <row r="792" spans="1:12" ht="207.6" customHeight="1">
      <c r="A792" s="55" t="s">
        <v>802</v>
      </c>
      <c r="E792" s="72">
        <f>SUMIF(History1!B:B, A792, History1!C:C)</f>
        <v>0</v>
      </c>
      <c r="K792" s="71" t="s">
        <v>2761</v>
      </c>
      <c r="L792" s="73" t="s">
        <v>1803</v>
      </c>
    </row>
    <row r="793" spans="1:12" ht="207.6" customHeight="1">
      <c r="A793" s="55" t="s">
        <v>803</v>
      </c>
      <c r="E793" s="72">
        <f>SUMIF(History1!B:B, A793, History1!C:C)</f>
        <v>0</v>
      </c>
      <c r="K793" s="71" t="s">
        <v>2762</v>
      </c>
      <c r="L793" s="73" t="s">
        <v>1804</v>
      </c>
    </row>
    <row r="794" spans="1:12" ht="207.6" customHeight="1">
      <c r="A794" s="55" t="s">
        <v>804</v>
      </c>
      <c r="E794" s="72">
        <f>SUMIF(History1!B:B, A794, History1!C:C)</f>
        <v>0</v>
      </c>
      <c r="K794" s="71" t="s">
        <v>2763</v>
      </c>
      <c r="L794" s="73" t="s">
        <v>1805</v>
      </c>
    </row>
    <row r="795" spans="1:12" ht="207.6" customHeight="1">
      <c r="A795" s="55" t="s">
        <v>805</v>
      </c>
      <c r="E795" s="72">
        <f>SUMIF(History1!B:B, A795, History1!C:C)</f>
        <v>0</v>
      </c>
      <c r="K795" s="71" t="s">
        <v>2764</v>
      </c>
      <c r="L795" s="73" t="s">
        <v>1806</v>
      </c>
    </row>
    <row r="796" spans="1:12" ht="207.6" customHeight="1">
      <c r="A796" s="55" t="s">
        <v>806</v>
      </c>
      <c r="E796" s="72">
        <f>SUMIF(History1!B:B, A796, History1!C:C)</f>
        <v>0</v>
      </c>
      <c r="K796" s="71" t="s">
        <v>2765</v>
      </c>
      <c r="L796" s="73" t="s">
        <v>1807</v>
      </c>
    </row>
    <row r="797" spans="1:12" ht="207.6" customHeight="1">
      <c r="A797" s="55" t="s">
        <v>807</v>
      </c>
      <c r="E797" s="72">
        <f>SUMIF(History1!B:B, A797, History1!C:C)</f>
        <v>0</v>
      </c>
      <c r="K797" s="71" t="s">
        <v>2766</v>
      </c>
      <c r="L797" s="73" t="s">
        <v>1808</v>
      </c>
    </row>
    <row r="798" spans="1:12" ht="207.6" customHeight="1">
      <c r="A798" s="55" t="s">
        <v>808</v>
      </c>
      <c r="E798" s="72">
        <f>SUMIF(History1!B:B, A798, History1!C:C)</f>
        <v>0</v>
      </c>
      <c r="K798" s="71" t="s">
        <v>2767</v>
      </c>
      <c r="L798" s="73" t="s">
        <v>1809</v>
      </c>
    </row>
    <row r="799" spans="1:12" ht="207.6" customHeight="1">
      <c r="A799" s="55" t="s">
        <v>809</v>
      </c>
      <c r="E799" s="72">
        <f>SUMIF(History1!B:B, A799, History1!C:C)</f>
        <v>0</v>
      </c>
      <c r="K799" s="71" t="s">
        <v>2768</v>
      </c>
      <c r="L799" s="73" t="s">
        <v>1810</v>
      </c>
    </row>
    <row r="800" spans="1:12" ht="207.6" customHeight="1">
      <c r="A800" s="55" t="s">
        <v>810</v>
      </c>
      <c r="E800" s="72">
        <f>SUMIF(History1!B:B, A800, History1!C:C)</f>
        <v>0</v>
      </c>
      <c r="K800" s="71" t="s">
        <v>2769</v>
      </c>
      <c r="L800" s="73" t="s">
        <v>1811</v>
      </c>
    </row>
    <row r="801" spans="1:12" ht="207.6" customHeight="1">
      <c r="A801" s="55" t="s">
        <v>811</v>
      </c>
      <c r="E801" s="72">
        <f>SUMIF(History1!B:B, A801, History1!C:C)</f>
        <v>0</v>
      </c>
      <c r="K801" s="71" t="s">
        <v>2770</v>
      </c>
      <c r="L801" s="73" t="s">
        <v>1812</v>
      </c>
    </row>
    <row r="802" spans="1:12" ht="207.6" customHeight="1">
      <c r="A802" s="55" t="s">
        <v>812</v>
      </c>
      <c r="E802" s="72">
        <f>SUMIF(History1!B:B, A802, History1!C:C)</f>
        <v>0</v>
      </c>
      <c r="K802" s="71" t="s">
        <v>2771</v>
      </c>
      <c r="L802" s="73" t="s">
        <v>1813</v>
      </c>
    </row>
    <row r="803" spans="1:12" ht="207.6" customHeight="1">
      <c r="A803" s="55" t="s">
        <v>813</v>
      </c>
      <c r="E803" s="72">
        <f>SUMIF(History1!B:B, A803, History1!C:C)</f>
        <v>0</v>
      </c>
      <c r="K803" s="71" t="s">
        <v>2772</v>
      </c>
      <c r="L803" s="73" t="s">
        <v>1814</v>
      </c>
    </row>
    <row r="804" spans="1:12" ht="207.6" customHeight="1">
      <c r="A804" s="55" t="s">
        <v>814</v>
      </c>
      <c r="E804" s="72">
        <f>SUMIF(History1!B:B, A804, History1!C:C)</f>
        <v>0</v>
      </c>
      <c r="K804" s="71" t="s">
        <v>2773</v>
      </c>
      <c r="L804" s="73" t="s">
        <v>1815</v>
      </c>
    </row>
    <row r="805" spans="1:12" ht="207.6" customHeight="1">
      <c r="A805" s="55" t="s">
        <v>815</v>
      </c>
      <c r="E805" s="72">
        <f>SUMIF(History1!B:B, A805, History1!C:C)</f>
        <v>0</v>
      </c>
      <c r="K805" s="71" t="s">
        <v>2774</v>
      </c>
      <c r="L805" s="73" t="s">
        <v>1816</v>
      </c>
    </row>
    <row r="806" spans="1:12" ht="207.6" customHeight="1">
      <c r="A806" s="55" t="s">
        <v>816</v>
      </c>
      <c r="E806" s="72">
        <f>SUMIF(History1!B:B, A806, History1!C:C)</f>
        <v>0</v>
      </c>
      <c r="K806" s="71" t="s">
        <v>2775</v>
      </c>
      <c r="L806" s="73" t="s">
        <v>1817</v>
      </c>
    </row>
    <row r="807" spans="1:12" ht="207.6" customHeight="1">
      <c r="A807" s="55" t="s">
        <v>817</v>
      </c>
      <c r="E807" s="72">
        <f>SUMIF(History1!B:B, A807, History1!C:C)</f>
        <v>0</v>
      </c>
      <c r="K807" s="71" t="s">
        <v>2776</v>
      </c>
      <c r="L807" s="73" t="s">
        <v>1818</v>
      </c>
    </row>
    <row r="808" spans="1:12" ht="207.6" customHeight="1">
      <c r="A808" s="55" t="s">
        <v>818</v>
      </c>
      <c r="E808" s="72">
        <f>SUMIF(History1!B:B, A808, History1!C:C)</f>
        <v>0</v>
      </c>
      <c r="K808" s="71" t="s">
        <v>2777</v>
      </c>
      <c r="L808" s="73" t="s">
        <v>1819</v>
      </c>
    </row>
    <row r="809" spans="1:12" ht="207.6" customHeight="1">
      <c r="A809" s="55" t="s">
        <v>819</v>
      </c>
      <c r="E809" s="72">
        <f>SUMIF(History1!B:B, A809, History1!C:C)</f>
        <v>0</v>
      </c>
      <c r="K809" s="71" t="s">
        <v>2778</v>
      </c>
      <c r="L809" s="73" t="s">
        <v>1820</v>
      </c>
    </row>
    <row r="810" spans="1:12" ht="207.6" customHeight="1">
      <c r="A810" s="55" t="s">
        <v>820</v>
      </c>
      <c r="E810" s="72">
        <f>SUMIF(History1!B:B, A810, History1!C:C)</f>
        <v>0</v>
      </c>
      <c r="K810" s="71" t="s">
        <v>2779</v>
      </c>
      <c r="L810" s="73" t="s">
        <v>1821</v>
      </c>
    </row>
    <row r="811" spans="1:12" ht="207.6" customHeight="1">
      <c r="A811" s="55" t="s">
        <v>821</v>
      </c>
      <c r="E811" s="72">
        <f>SUMIF(History1!B:B, A811, History1!C:C)</f>
        <v>0</v>
      </c>
      <c r="K811" s="71" t="s">
        <v>2780</v>
      </c>
      <c r="L811" s="73" t="s">
        <v>1822</v>
      </c>
    </row>
    <row r="812" spans="1:12" ht="207.6" customHeight="1">
      <c r="A812" s="55" t="s">
        <v>822</v>
      </c>
      <c r="E812" s="72">
        <f>SUMIF(History1!B:B, A812, History1!C:C)</f>
        <v>0</v>
      </c>
      <c r="K812" s="71" t="s">
        <v>2781</v>
      </c>
      <c r="L812" s="73" t="s">
        <v>1823</v>
      </c>
    </row>
    <row r="813" spans="1:12" ht="207.6" customHeight="1">
      <c r="A813" s="55" t="s">
        <v>823</v>
      </c>
      <c r="E813" s="72">
        <f>SUMIF(History1!B:B, A813, History1!C:C)</f>
        <v>0</v>
      </c>
      <c r="K813" s="71" t="s">
        <v>2782</v>
      </c>
      <c r="L813" s="73" t="s">
        <v>1824</v>
      </c>
    </row>
    <row r="814" spans="1:12" ht="207.6" customHeight="1">
      <c r="A814" s="55" t="s">
        <v>824</v>
      </c>
      <c r="E814" s="72">
        <f>SUMIF(History1!B:B, A814, History1!C:C)</f>
        <v>0</v>
      </c>
      <c r="K814" s="71" t="s">
        <v>2783</v>
      </c>
      <c r="L814" s="73" t="s">
        <v>1825</v>
      </c>
    </row>
    <row r="815" spans="1:12" ht="207.6" customHeight="1">
      <c r="A815" s="55" t="s">
        <v>825</v>
      </c>
      <c r="E815" s="72">
        <f>SUMIF(History1!B:B, A815, History1!C:C)</f>
        <v>0</v>
      </c>
      <c r="K815" s="71" t="s">
        <v>2784</v>
      </c>
      <c r="L815" s="73" t="s">
        <v>1826</v>
      </c>
    </row>
    <row r="816" spans="1:12" ht="207.6" customHeight="1">
      <c r="A816" s="55" t="s">
        <v>826</v>
      </c>
      <c r="E816" s="72">
        <f>SUMIF(History1!B:B, A816, History1!C:C)</f>
        <v>0</v>
      </c>
      <c r="K816" s="71" t="s">
        <v>2785</v>
      </c>
      <c r="L816" s="73" t="s">
        <v>1827</v>
      </c>
    </row>
    <row r="817" spans="1:12" ht="207.6" customHeight="1">
      <c r="A817" s="55" t="s">
        <v>827</v>
      </c>
      <c r="E817" s="72">
        <f>SUMIF(History1!B:B, A817, History1!C:C)</f>
        <v>0</v>
      </c>
      <c r="K817" s="71" t="s">
        <v>2786</v>
      </c>
      <c r="L817" s="73" t="s">
        <v>1828</v>
      </c>
    </row>
    <row r="818" spans="1:12" ht="207.6" customHeight="1">
      <c r="A818" s="55" t="s">
        <v>828</v>
      </c>
      <c r="E818" s="72">
        <f>SUMIF(History1!B:B, A818, History1!C:C)</f>
        <v>0</v>
      </c>
      <c r="K818" s="71" t="s">
        <v>2787</v>
      </c>
      <c r="L818" s="73" t="s">
        <v>1829</v>
      </c>
    </row>
    <row r="819" spans="1:12" ht="207.6" customHeight="1">
      <c r="A819" s="55" t="s">
        <v>829</v>
      </c>
      <c r="E819" s="72">
        <f>SUMIF(History1!B:B, A819, History1!C:C)</f>
        <v>0</v>
      </c>
      <c r="K819" s="71" t="s">
        <v>2788</v>
      </c>
      <c r="L819" s="73" t="s">
        <v>1830</v>
      </c>
    </row>
    <row r="820" spans="1:12" ht="207.6" customHeight="1">
      <c r="A820" s="55" t="s">
        <v>830</v>
      </c>
      <c r="E820" s="72">
        <f>SUMIF(History1!B:B, A820, History1!C:C)</f>
        <v>0</v>
      </c>
      <c r="K820" s="71" t="s">
        <v>2789</v>
      </c>
      <c r="L820" s="73" t="s">
        <v>1831</v>
      </c>
    </row>
    <row r="821" spans="1:12" ht="207.6" customHeight="1">
      <c r="A821" s="55" t="s">
        <v>831</v>
      </c>
      <c r="E821" s="72">
        <f>SUMIF(History1!B:B, A821, History1!C:C)</f>
        <v>0</v>
      </c>
      <c r="K821" s="71" t="s">
        <v>2790</v>
      </c>
      <c r="L821" s="73" t="s">
        <v>1832</v>
      </c>
    </row>
    <row r="822" spans="1:12" ht="207.6" customHeight="1">
      <c r="A822" s="55" t="s">
        <v>832</v>
      </c>
      <c r="E822" s="72">
        <f>SUMIF(History1!B:B, A822, History1!C:C)</f>
        <v>0</v>
      </c>
      <c r="K822" s="71" t="s">
        <v>2791</v>
      </c>
      <c r="L822" s="73" t="s">
        <v>1833</v>
      </c>
    </row>
    <row r="823" spans="1:12" ht="207.6" customHeight="1">
      <c r="A823" s="55" t="s">
        <v>833</v>
      </c>
      <c r="E823" s="72">
        <f>SUMIF(History1!B:B, A823, History1!C:C)</f>
        <v>0</v>
      </c>
      <c r="K823" s="71" t="s">
        <v>2792</v>
      </c>
      <c r="L823" s="73" t="s">
        <v>1834</v>
      </c>
    </row>
    <row r="824" spans="1:12" ht="207.6" customHeight="1">
      <c r="A824" s="55" t="s">
        <v>834</v>
      </c>
      <c r="E824" s="72">
        <f>SUMIF(History1!B:B, A824, History1!C:C)</f>
        <v>0</v>
      </c>
      <c r="K824" s="71" t="s">
        <v>2793</v>
      </c>
      <c r="L824" s="73" t="s">
        <v>1835</v>
      </c>
    </row>
    <row r="825" spans="1:12" ht="207.6" customHeight="1">
      <c r="A825" s="55" t="s">
        <v>835</v>
      </c>
      <c r="E825" s="72">
        <f>SUMIF(History1!B:B, A825, History1!C:C)</f>
        <v>0</v>
      </c>
      <c r="K825" s="71" t="s">
        <v>2794</v>
      </c>
      <c r="L825" s="73" t="s">
        <v>1836</v>
      </c>
    </row>
    <row r="826" spans="1:12" ht="207.6" customHeight="1">
      <c r="A826" s="55" t="s">
        <v>836</v>
      </c>
      <c r="E826" s="72">
        <f>SUMIF(History1!B:B, A826, History1!C:C)</f>
        <v>0</v>
      </c>
      <c r="K826" s="71" t="s">
        <v>2795</v>
      </c>
      <c r="L826" s="73" t="s">
        <v>1837</v>
      </c>
    </row>
    <row r="827" spans="1:12" ht="207.6" customHeight="1">
      <c r="A827" s="55" t="s">
        <v>837</v>
      </c>
      <c r="E827" s="72">
        <f>SUMIF(History1!B:B, A827, History1!C:C)</f>
        <v>0</v>
      </c>
      <c r="K827" s="71" t="s">
        <v>2796</v>
      </c>
      <c r="L827" s="73" t="s">
        <v>1838</v>
      </c>
    </row>
    <row r="828" spans="1:12" ht="207.6" customHeight="1">
      <c r="A828" s="55" t="s">
        <v>838</v>
      </c>
      <c r="E828" s="72">
        <f>SUMIF(History1!B:B, A828, History1!C:C)</f>
        <v>0</v>
      </c>
      <c r="K828" s="71" t="s">
        <v>2797</v>
      </c>
      <c r="L828" s="73" t="s">
        <v>1839</v>
      </c>
    </row>
    <row r="829" spans="1:12" ht="207.6" customHeight="1">
      <c r="A829" s="55" t="s">
        <v>839</v>
      </c>
      <c r="E829" s="72">
        <f>SUMIF(History1!B:B, A829, History1!C:C)</f>
        <v>0</v>
      </c>
      <c r="K829" s="71" t="s">
        <v>2798</v>
      </c>
      <c r="L829" s="73" t="s">
        <v>1840</v>
      </c>
    </row>
    <row r="830" spans="1:12" ht="207.6" customHeight="1">
      <c r="A830" s="55" t="s">
        <v>840</v>
      </c>
      <c r="E830" s="72">
        <f>SUMIF(History1!B:B, A830, History1!C:C)</f>
        <v>0</v>
      </c>
      <c r="K830" s="71" t="s">
        <v>2799</v>
      </c>
      <c r="L830" s="73" t="s">
        <v>1841</v>
      </c>
    </row>
    <row r="831" spans="1:12" ht="207.6" customHeight="1">
      <c r="A831" s="55" t="s">
        <v>841</v>
      </c>
      <c r="E831" s="72">
        <f>SUMIF(History1!B:B, A831, History1!C:C)</f>
        <v>0</v>
      </c>
      <c r="K831" s="71" t="s">
        <v>2800</v>
      </c>
      <c r="L831" s="73" t="s">
        <v>1842</v>
      </c>
    </row>
    <row r="832" spans="1:12" ht="207.6" customHeight="1">
      <c r="A832" s="55" t="s">
        <v>842</v>
      </c>
      <c r="E832" s="72">
        <f>SUMIF(History1!B:B, A832, History1!C:C)</f>
        <v>0</v>
      </c>
      <c r="K832" s="71" t="s">
        <v>2801</v>
      </c>
      <c r="L832" s="73" t="s">
        <v>1843</v>
      </c>
    </row>
    <row r="833" spans="1:12" ht="207.6" customHeight="1">
      <c r="A833" s="55" t="s">
        <v>843</v>
      </c>
      <c r="E833" s="72">
        <f>SUMIF(History1!B:B, A833, History1!C:C)</f>
        <v>0</v>
      </c>
      <c r="K833" s="71" t="s">
        <v>2802</v>
      </c>
      <c r="L833" s="73" t="s">
        <v>1844</v>
      </c>
    </row>
    <row r="834" spans="1:12" ht="207.6" customHeight="1">
      <c r="A834" s="55" t="s">
        <v>844</v>
      </c>
      <c r="E834" s="72">
        <f>SUMIF(History1!B:B, A834, History1!C:C)</f>
        <v>0</v>
      </c>
      <c r="K834" s="71" t="s">
        <v>2803</v>
      </c>
      <c r="L834" s="73" t="s">
        <v>1845</v>
      </c>
    </row>
    <row r="835" spans="1:12" ht="207.6" customHeight="1">
      <c r="A835" s="55" t="s">
        <v>845</v>
      </c>
      <c r="E835" s="72">
        <f>SUMIF(History1!B:B, A835, History1!C:C)</f>
        <v>0</v>
      </c>
      <c r="K835" s="71" t="s">
        <v>2804</v>
      </c>
      <c r="L835" s="73" t="s">
        <v>1846</v>
      </c>
    </row>
    <row r="836" spans="1:12" ht="207.6" customHeight="1">
      <c r="A836" s="55" t="s">
        <v>846</v>
      </c>
      <c r="E836" s="72">
        <f>SUMIF(History1!B:B, A836, History1!C:C)</f>
        <v>0</v>
      </c>
      <c r="K836" s="71" t="s">
        <v>2805</v>
      </c>
      <c r="L836" s="73" t="s">
        <v>1847</v>
      </c>
    </row>
    <row r="837" spans="1:12" ht="207.6" customHeight="1">
      <c r="A837" s="55" t="s">
        <v>847</v>
      </c>
      <c r="E837" s="72">
        <f>SUMIF(History1!B:B, A837, History1!C:C)</f>
        <v>0</v>
      </c>
      <c r="K837" s="71" t="s">
        <v>2806</v>
      </c>
      <c r="L837" s="73" t="s">
        <v>1848</v>
      </c>
    </row>
    <row r="838" spans="1:12" ht="207.6" customHeight="1">
      <c r="A838" s="55" t="s">
        <v>848</v>
      </c>
      <c r="E838" s="72">
        <f>SUMIF(History1!B:B, A838, History1!C:C)</f>
        <v>0</v>
      </c>
      <c r="K838" s="71" t="s">
        <v>2807</v>
      </c>
      <c r="L838" s="73" t="s">
        <v>1849</v>
      </c>
    </row>
    <row r="839" spans="1:12" ht="207.6" customHeight="1">
      <c r="A839" s="55" t="s">
        <v>849</v>
      </c>
      <c r="E839" s="72">
        <f>SUMIF(History1!B:B, A839, History1!C:C)</f>
        <v>0</v>
      </c>
      <c r="K839" s="71" t="s">
        <v>2808</v>
      </c>
      <c r="L839" s="73" t="s">
        <v>1850</v>
      </c>
    </row>
    <row r="840" spans="1:12" ht="207.6" customHeight="1">
      <c r="A840" s="55" t="s">
        <v>850</v>
      </c>
      <c r="E840" s="72">
        <f>SUMIF(History1!B:B, A840, History1!C:C)</f>
        <v>0</v>
      </c>
      <c r="K840" s="71" t="s">
        <v>2809</v>
      </c>
      <c r="L840" s="73" t="s">
        <v>1851</v>
      </c>
    </row>
    <row r="841" spans="1:12" ht="207.6" customHeight="1">
      <c r="A841" s="55" t="s">
        <v>851</v>
      </c>
      <c r="E841" s="72">
        <f>SUMIF(History1!B:B, A841, History1!C:C)</f>
        <v>0</v>
      </c>
      <c r="K841" s="71" t="s">
        <v>2810</v>
      </c>
      <c r="L841" s="73" t="s">
        <v>1852</v>
      </c>
    </row>
    <row r="842" spans="1:12" ht="207.6" customHeight="1">
      <c r="A842" s="55" t="s">
        <v>852</v>
      </c>
      <c r="E842" s="72">
        <f>SUMIF(History1!B:B, A842, History1!C:C)</f>
        <v>0</v>
      </c>
      <c r="K842" s="71" t="s">
        <v>2811</v>
      </c>
      <c r="L842" s="73" t="s">
        <v>1853</v>
      </c>
    </row>
    <row r="843" spans="1:12" ht="207.6" customHeight="1">
      <c r="A843" s="55" t="s">
        <v>853</v>
      </c>
      <c r="E843" s="72">
        <f>SUMIF(History1!B:B, A843, History1!C:C)</f>
        <v>0</v>
      </c>
      <c r="K843" s="71" t="s">
        <v>2812</v>
      </c>
      <c r="L843" s="73" t="s">
        <v>1854</v>
      </c>
    </row>
    <row r="844" spans="1:12" ht="207.6" customHeight="1">
      <c r="A844" s="55" t="s">
        <v>854</v>
      </c>
      <c r="E844" s="72">
        <f>SUMIF(History1!B:B, A844, History1!C:C)</f>
        <v>0</v>
      </c>
      <c r="K844" s="71" t="s">
        <v>2813</v>
      </c>
      <c r="L844" s="73" t="s">
        <v>1855</v>
      </c>
    </row>
    <row r="845" spans="1:12" ht="207.6" customHeight="1">
      <c r="A845" s="55" t="s">
        <v>855</v>
      </c>
      <c r="E845" s="72">
        <f>SUMIF(History1!B:B, A845, History1!C:C)</f>
        <v>0</v>
      </c>
      <c r="K845" s="71" t="s">
        <v>2814</v>
      </c>
      <c r="L845" s="73" t="s">
        <v>1856</v>
      </c>
    </row>
    <row r="846" spans="1:12" ht="207.6" customHeight="1">
      <c r="A846" s="55" t="s">
        <v>856</v>
      </c>
      <c r="E846" s="72">
        <f>SUMIF(History1!B:B, A846, History1!C:C)</f>
        <v>0</v>
      </c>
      <c r="K846" s="71" t="s">
        <v>2815</v>
      </c>
      <c r="L846" s="73" t="s">
        <v>1857</v>
      </c>
    </row>
    <row r="847" spans="1:12" ht="207.6" customHeight="1">
      <c r="A847" s="55" t="s">
        <v>857</v>
      </c>
      <c r="E847" s="72">
        <f>SUMIF(History1!B:B, A847, History1!C:C)</f>
        <v>0</v>
      </c>
      <c r="K847" s="71" t="s">
        <v>2816</v>
      </c>
      <c r="L847" s="73" t="s">
        <v>1858</v>
      </c>
    </row>
    <row r="848" spans="1:12" ht="207.6" customHeight="1">
      <c r="A848" s="55" t="s">
        <v>858</v>
      </c>
      <c r="E848" s="72">
        <f>SUMIF(History1!B:B, A848, History1!C:C)</f>
        <v>0</v>
      </c>
      <c r="K848" s="71" t="s">
        <v>2817</v>
      </c>
      <c r="L848" s="73" t="s">
        <v>1859</v>
      </c>
    </row>
    <row r="849" spans="1:12" ht="207.6" customHeight="1">
      <c r="A849" s="55" t="s">
        <v>859</v>
      </c>
      <c r="E849" s="72">
        <f>SUMIF(History1!B:B, A849, History1!C:C)</f>
        <v>0</v>
      </c>
      <c r="K849" s="71" t="s">
        <v>2818</v>
      </c>
      <c r="L849" s="73" t="s">
        <v>1860</v>
      </c>
    </row>
    <row r="850" spans="1:12" ht="207.6" customHeight="1">
      <c r="A850" s="55" t="s">
        <v>860</v>
      </c>
      <c r="E850" s="72">
        <f>SUMIF(History1!B:B, A850, History1!C:C)</f>
        <v>0</v>
      </c>
      <c r="K850" s="71" t="s">
        <v>2819</v>
      </c>
      <c r="L850" s="73" t="s">
        <v>1861</v>
      </c>
    </row>
    <row r="851" spans="1:12" ht="207.6" customHeight="1">
      <c r="A851" s="55" t="s">
        <v>861</v>
      </c>
      <c r="E851" s="72">
        <f>SUMIF(History1!B:B, A851, History1!C:C)</f>
        <v>0</v>
      </c>
      <c r="K851" s="71" t="s">
        <v>2820</v>
      </c>
      <c r="L851" s="73" t="s">
        <v>1862</v>
      </c>
    </row>
    <row r="852" spans="1:12" ht="207.6" customHeight="1">
      <c r="A852" s="55" t="s">
        <v>862</v>
      </c>
      <c r="E852" s="72">
        <f>SUMIF(History1!B:B, A852, History1!C:C)</f>
        <v>0</v>
      </c>
      <c r="K852" s="71" t="s">
        <v>2821</v>
      </c>
      <c r="L852" s="73" t="s">
        <v>1863</v>
      </c>
    </row>
    <row r="853" spans="1:12" ht="207.6" customHeight="1">
      <c r="A853" s="55" t="s">
        <v>863</v>
      </c>
      <c r="E853" s="72">
        <f>SUMIF(History1!B:B, A853, History1!C:C)</f>
        <v>0</v>
      </c>
      <c r="K853" s="71" t="s">
        <v>2822</v>
      </c>
      <c r="L853" s="73" t="s">
        <v>1864</v>
      </c>
    </row>
    <row r="854" spans="1:12" ht="207.6" customHeight="1">
      <c r="A854" s="55" t="s">
        <v>864</v>
      </c>
      <c r="E854" s="72">
        <f>SUMIF(History1!B:B, A854, History1!C:C)</f>
        <v>0</v>
      </c>
      <c r="K854" s="71" t="s">
        <v>2823</v>
      </c>
      <c r="L854" s="73" t="s">
        <v>1865</v>
      </c>
    </row>
    <row r="855" spans="1:12" ht="207.6" customHeight="1">
      <c r="A855" s="55" t="s">
        <v>865</v>
      </c>
      <c r="E855" s="72">
        <f>SUMIF(History1!B:B, A855, History1!C:C)</f>
        <v>0</v>
      </c>
      <c r="K855" s="71" t="s">
        <v>2824</v>
      </c>
      <c r="L855" s="73" t="s">
        <v>1866</v>
      </c>
    </row>
    <row r="856" spans="1:12" ht="207.6" customHeight="1">
      <c r="A856" s="55" t="s">
        <v>866</v>
      </c>
      <c r="E856" s="72">
        <f>SUMIF(History1!B:B, A856, History1!C:C)</f>
        <v>0</v>
      </c>
      <c r="K856" s="71" t="s">
        <v>2825</v>
      </c>
      <c r="L856" s="73" t="s">
        <v>1867</v>
      </c>
    </row>
    <row r="857" spans="1:12" ht="207.6" customHeight="1">
      <c r="A857" s="55" t="s">
        <v>867</v>
      </c>
      <c r="E857" s="72">
        <f>SUMIF(History1!B:B, A857, History1!C:C)</f>
        <v>0</v>
      </c>
      <c r="K857" s="71" t="s">
        <v>2826</v>
      </c>
      <c r="L857" s="73" t="s">
        <v>1868</v>
      </c>
    </row>
    <row r="858" spans="1:12" ht="207.6" customHeight="1">
      <c r="A858" s="55" t="s">
        <v>868</v>
      </c>
      <c r="E858" s="72">
        <f>SUMIF(History1!B:B, A858, History1!C:C)</f>
        <v>0</v>
      </c>
      <c r="K858" s="71" t="s">
        <v>2827</v>
      </c>
      <c r="L858" s="73" t="s">
        <v>1869</v>
      </c>
    </row>
    <row r="859" spans="1:12" ht="207.6" customHeight="1">
      <c r="A859" s="55" t="s">
        <v>869</v>
      </c>
      <c r="E859" s="72">
        <f>SUMIF(History1!B:B, A859, History1!C:C)</f>
        <v>0</v>
      </c>
      <c r="K859" s="71" t="s">
        <v>2828</v>
      </c>
      <c r="L859" s="73" t="s">
        <v>1870</v>
      </c>
    </row>
    <row r="860" spans="1:12" ht="207.6" customHeight="1">
      <c r="A860" s="55" t="s">
        <v>870</v>
      </c>
      <c r="E860" s="72">
        <f>SUMIF(History1!B:B, A860, History1!C:C)</f>
        <v>0</v>
      </c>
      <c r="K860" s="71" t="s">
        <v>2829</v>
      </c>
      <c r="L860" s="73" t="s">
        <v>1871</v>
      </c>
    </row>
    <row r="861" spans="1:12" ht="207.6" customHeight="1">
      <c r="A861" s="55" t="s">
        <v>871</v>
      </c>
      <c r="E861" s="72">
        <f>SUMIF(History1!B:B, A861, History1!C:C)</f>
        <v>0</v>
      </c>
      <c r="K861" s="71" t="s">
        <v>2830</v>
      </c>
      <c r="L861" s="73" t="s">
        <v>1872</v>
      </c>
    </row>
    <row r="862" spans="1:12" ht="207.6" customHeight="1">
      <c r="A862" s="55" t="s">
        <v>872</v>
      </c>
      <c r="E862" s="72">
        <f>SUMIF(History1!B:B, A862, History1!C:C)</f>
        <v>0</v>
      </c>
      <c r="K862" s="71" t="s">
        <v>2831</v>
      </c>
      <c r="L862" s="73" t="s">
        <v>1873</v>
      </c>
    </row>
    <row r="863" spans="1:12" ht="207.6" customHeight="1">
      <c r="A863" s="55" t="s">
        <v>873</v>
      </c>
      <c r="E863" s="72">
        <f>SUMIF(History1!B:B, A863, History1!C:C)</f>
        <v>0</v>
      </c>
      <c r="K863" s="71" t="s">
        <v>2832</v>
      </c>
      <c r="L863" s="73" t="s">
        <v>1874</v>
      </c>
    </row>
    <row r="864" spans="1:12" ht="207.6" customHeight="1">
      <c r="A864" s="55" t="s">
        <v>874</v>
      </c>
      <c r="E864" s="72">
        <f>SUMIF(History1!B:B, A864, History1!C:C)</f>
        <v>0</v>
      </c>
      <c r="K864" s="71" t="s">
        <v>2833</v>
      </c>
      <c r="L864" s="73" t="s">
        <v>1875</v>
      </c>
    </row>
    <row r="865" spans="1:12" ht="207.6" customHeight="1">
      <c r="A865" s="55" t="s">
        <v>875</v>
      </c>
      <c r="E865" s="72">
        <f>SUMIF(History1!B:B, A865, History1!C:C)</f>
        <v>0</v>
      </c>
      <c r="K865" s="71" t="s">
        <v>2834</v>
      </c>
      <c r="L865" s="73" t="s">
        <v>1876</v>
      </c>
    </row>
    <row r="866" spans="1:12" ht="207.6" customHeight="1">
      <c r="A866" s="55" t="s">
        <v>876</v>
      </c>
      <c r="E866" s="72">
        <f>SUMIF(History1!B:B, A866, History1!C:C)</f>
        <v>0</v>
      </c>
      <c r="K866" s="71" t="s">
        <v>2835</v>
      </c>
      <c r="L866" s="73" t="s">
        <v>1877</v>
      </c>
    </row>
    <row r="867" spans="1:12" ht="207.6" customHeight="1">
      <c r="A867" s="55" t="s">
        <v>877</v>
      </c>
      <c r="E867" s="72">
        <f>SUMIF(History1!B:B, A867, History1!C:C)</f>
        <v>0</v>
      </c>
      <c r="K867" s="71" t="s">
        <v>2836</v>
      </c>
      <c r="L867" s="73" t="s">
        <v>1878</v>
      </c>
    </row>
    <row r="868" spans="1:12" ht="207.6" customHeight="1">
      <c r="A868" s="55" t="s">
        <v>878</v>
      </c>
      <c r="E868" s="72">
        <f>SUMIF(History1!B:B, A868, History1!C:C)</f>
        <v>0</v>
      </c>
      <c r="K868" s="71" t="s">
        <v>2837</v>
      </c>
      <c r="L868" s="73" t="s">
        <v>1879</v>
      </c>
    </row>
    <row r="869" spans="1:12" ht="207.6" customHeight="1">
      <c r="A869" s="55" t="s">
        <v>879</v>
      </c>
      <c r="E869" s="72">
        <f>SUMIF(History1!B:B, A869, History1!C:C)</f>
        <v>0</v>
      </c>
      <c r="K869" s="71" t="s">
        <v>2838</v>
      </c>
      <c r="L869" s="73" t="s">
        <v>1880</v>
      </c>
    </row>
    <row r="870" spans="1:12" ht="207.6" customHeight="1">
      <c r="A870" s="55" t="s">
        <v>880</v>
      </c>
      <c r="E870" s="72">
        <f>SUMIF(History1!B:B, A870, History1!C:C)</f>
        <v>0</v>
      </c>
      <c r="K870" s="71" t="s">
        <v>2839</v>
      </c>
      <c r="L870" s="73" t="s">
        <v>1881</v>
      </c>
    </row>
    <row r="871" spans="1:12" ht="207.6" customHeight="1">
      <c r="A871" s="55" t="s">
        <v>881</v>
      </c>
      <c r="E871" s="72">
        <f>SUMIF(History1!B:B, A871, History1!C:C)</f>
        <v>0</v>
      </c>
      <c r="K871" s="71" t="s">
        <v>2840</v>
      </c>
      <c r="L871" s="73" t="s">
        <v>1882</v>
      </c>
    </row>
    <row r="872" spans="1:12" ht="207.6" customHeight="1">
      <c r="A872" s="55" t="s">
        <v>882</v>
      </c>
      <c r="E872" s="72">
        <f>SUMIF(History1!B:B, A872, History1!C:C)</f>
        <v>0</v>
      </c>
      <c r="K872" s="71" t="s">
        <v>2841</v>
      </c>
      <c r="L872" s="73" t="s">
        <v>1883</v>
      </c>
    </row>
    <row r="873" spans="1:12" ht="207.6" customHeight="1">
      <c r="A873" s="55" t="s">
        <v>883</v>
      </c>
      <c r="E873" s="72">
        <f>SUMIF(History1!B:B, A873, History1!C:C)</f>
        <v>0</v>
      </c>
      <c r="K873" s="71" t="s">
        <v>2842</v>
      </c>
      <c r="L873" s="73" t="s">
        <v>1884</v>
      </c>
    </row>
    <row r="874" spans="1:12" ht="207.6" customHeight="1">
      <c r="A874" s="55" t="s">
        <v>884</v>
      </c>
      <c r="E874" s="72">
        <f>SUMIF(History1!B:B, A874, History1!C:C)</f>
        <v>0</v>
      </c>
      <c r="K874" s="71" t="s">
        <v>2843</v>
      </c>
      <c r="L874" s="73" t="s">
        <v>1885</v>
      </c>
    </row>
    <row r="875" spans="1:12" ht="207.6" customHeight="1">
      <c r="A875" s="55" t="s">
        <v>885</v>
      </c>
      <c r="E875" s="72">
        <f>SUMIF(History1!B:B, A875, History1!C:C)</f>
        <v>0</v>
      </c>
      <c r="K875" s="71" t="s">
        <v>2844</v>
      </c>
      <c r="L875" s="73" t="s">
        <v>1886</v>
      </c>
    </row>
    <row r="876" spans="1:12" ht="207.6" customHeight="1">
      <c r="A876" s="55" t="s">
        <v>886</v>
      </c>
      <c r="E876" s="72">
        <f>SUMIF(History1!B:B, A876, History1!C:C)</f>
        <v>0</v>
      </c>
      <c r="K876" s="71" t="s">
        <v>2845</v>
      </c>
      <c r="L876" s="73" t="s">
        <v>1887</v>
      </c>
    </row>
    <row r="877" spans="1:12" ht="207.6" customHeight="1">
      <c r="A877" s="55" t="s">
        <v>887</v>
      </c>
      <c r="E877" s="72">
        <f>SUMIF(History1!B:B, A877, History1!C:C)</f>
        <v>0</v>
      </c>
      <c r="K877" s="71" t="s">
        <v>2846</v>
      </c>
      <c r="L877" s="73" t="s">
        <v>1888</v>
      </c>
    </row>
    <row r="878" spans="1:12" ht="207.6" customHeight="1">
      <c r="A878" s="55" t="s">
        <v>888</v>
      </c>
      <c r="E878" s="72">
        <f>SUMIF(History1!B:B, A878, History1!C:C)</f>
        <v>0</v>
      </c>
      <c r="K878" s="71" t="s">
        <v>2847</v>
      </c>
      <c r="L878" s="73" t="s">
        <v>1889</v>
      </c>
    </row>
    <row r="879" spans="1:12" ht="207.6" customHeight="1">
      <c r="A879" s="55" t="s">
        <v>889</v>
      </c>
      <c r="E879" s="72">
        <f>SUMIF(History1!B:B, A879, History1!C:C)</f>
        <v>0</v>
      </c>
      <c r="K879" s="71" t="s">
        <v>2848</v>
      </c>
      <c r="L879" s="73" t="s">
        <v>1890</v>
      </c>
    </row>
    <row r="880" spans="1:12" ht="207.6" customHeight="1">
      <c r="A880" s="55" t="s">
        <v>890</v>
      </c>
      <c r="E880" s="72">
        <f>SUMIF(History1!B:B, A880, History1!C:C)</f>
        <v>0</v>
      </c>
      <c r="K880" s="71" t="s">
        <v>2849</v>
      </c>
      <c r="L880" s="73" t="s">
        <v>1891</v>
      </c>
    </row>
    <row r="881" spans="1:12" ht="207.6" customHeight="1">
      <c r="A881" s="55" t="s">
        <v>891</v>
      </c>
      <c r="E881" s="72">
        <f>SUMIF(History1!B:B, A881, History1!C:C)</f>
        <v>0</v>
      </c>
      <c r="K881" s="71" t="s">
        <v>2850</v>
      </c>
      <c r="L881" s="73" t="s">
        <v>1892</v>
      </c>
    </row>
    <row r="882" spans="1:12" ht="207.6" customHeight="1">
      <c r="A882" s="55" t="s">
        <v>892</v>
      </c>
      <c r="E882" s="72">
        <f>SUMIF(History1!B:B, A882, History1!C:C)</f>
        <v>0</v>
      </c>
      <c r="K882" s="71" t="s">
        <v>2851</v>
      </c>
      <c r="L882" s="73" t="s">
        <v>1893</v>
      </c>
    </row>
    <row r="883" spans="1:12" ht="207.6" customHeight="1">
      <c r="A883" s="55" t="s">
        <v>893</v>
      </c>
      <c r="E883" s="72">
        <f>SUMIF(History1!B:B, A883, History1!C:C)</f>
        <v>0</v>
      </c>
      <c r="K883" s="71" t="s">
        <v>2852</v>
      </c>
      <c r="L883" s="73" t="s">
        <v>1894</v>
      </c>
    </row>
    <row r="884" spans="1:12" ht="207.6" customHeight="1">
      <c r="A884" s="55" t="s">
        <v>894</v>
      </c>
      <c r="E884" s="72">
        <f>SUMIF(History1!B:B, A884, History1!C:C)</f>
        <v>0</v>
      </c>
      <c r="K884" s="71" t="s">
        <v>2853</v>
      </c>
      <c r="L884" s="73" t="s">
        <v>1895</v>
      </c>
    </row>
    <row r="885" spans="1:12" ht="207.6" customHeight="1">
      <c r="A885" s="55" t="s">
        <v>895</v>
      </c>
      <c r="E885" s="72">
        <f>SUMIF(History1!B:B, A885, History1!C:C)</f>
        <v>0</v>
      </c>
      <c r="K885" s="71" t="s">
        <v>2854</v>
      </c>
      <c r="L885" s="73" t="s">
        <v>1896</v>
      </c>
    </row>
    <row r="886" spans="1:12" ht="207.6" customHeight="1">
      <c r="A886" s="55" t="s">
        <v>896</v>
      </c>
      <c r="E886" s="72">
        <f>SUMIF(History1!B:B, A886, History1!C:C)</f>
        <v>0</v>
      </c>
      <c r="K886" s="71" t="s">
        <v>2855</v>
      </c>
      <c r="L886" s="73" t="s">
        <v>1897</v>
      </c>
    </row>
    <row r="887" spans="1:12" ht="207.6" customHeight="1">
      <c r="A887" s="55" t="s">
        <v>897</v>
      </c>
      <c r="E887" s="72">
        <f>SUMIF(History1!B:B, A887, History1!C:C)</f>
        <v>0</v>
      </c>
      <c r="K887" s="71" t="s">
        <v>2856</v>
      </c>
      <c r="L887" s="73" t="s">
        <v>1898</v>
      </c>
    </row>
    <row r="888" spans="1:12" ht="207.6" customHeight="1">
      <c r="A888" s="55" t="s">
        <v>898</v>
      </c>
      <c r="E888" s="72">
        <f>SUMIF(History1!B:B, A888, History1!C:C)</f>
        <v>0</v>
      </c>
      <c r="K888" s="71" t="s">
        <v>2857</v>
      </c>
      <c r="L888" s="73" t="s">
        <v>1899</v>
      </c>
    </row>
    <row r="889" spans="1:12" ht="207.6" customHeight="1">
      <c r="A889" s="55" t="s">
        <v>899</v>
      </c>
      <c r="E889" s="72">
        <f>SUMIF(History1!B:B, A889, History1!C:C)</f>
        <v>0</v>
      </c>
      <c r="K889" s="71" t="s">
        <v>2858</v>
      </c>
      <c r="L889" s="73" t="s">
        <v>1900</v>
      </c>
    </row>
    <row r="890" spans="1:12" ht="207.6" customHeight="1">
      <c r="A890" s="55" t="s">
        <v>900</v>
      </c>
      <c r="E890" s="72">
        <f>SUMIF(History1!B:B, A890, History1!C:C)</f>
        <v>0</v>
      </c>
      <c r="K890" s="71" t="s">
        <v>2859</v>
      </c>
      <c r="L890" s="73" t="s">
        <v>1901</v>
      </c>
    </row>
    <row r="891" spans="1:12" ht="207.6" customHeight="1">
      <c r="A891" s="55" t="s">
        <v>901</v>
      </c>
      <c r="E891" s="72">
        <f>SUMIF(History1!B:B, A891, History1!C:C)</f>
        <v>0</v>
      </c>
      <c r="K891" s="71" t="s">
        <v>2860</v>
      </c>
      <c r="L891" s="73" t="s">
        <v>1902</v>
      </c>
    </row>
    <row r="892" spans="1:12" ht="207.6" customHeight="1">
      <c r="A892" s="55" t="s">
        <v>902</v>
      </c>
      <c r="E892" s="72">
        <f>SUMIF(History1!B:B, A892, History1!C:C)</f>
        <v>0</v>
      </c>
      <c r="K892" s="71" t="s">
        <v>2861</v>
      </c>
      <c r="L892" s="73" t="s">
        <v>1903</v>
      </c>
    </row>
    <row r="893" spans="1:12" ht="207.6" customHeight="1">
      <c r="A893" s="55" t="s">
        <v>903</v>
      </c>
      <c r="E893" s="72">
        <f>SUMIF(History1!B:B, A893, History1!C:C)</f>
        <v>0</v>
      </c>
      <c r="K893" s="71" t="s">
        <v>2862</v>
      </c>
      <c r="L893" s="73" t="s">
        <v>1904</v>
      </c>
    </row>
    <row r="894" spans="1:12" ht="207.6" customHeight="1">
      <c r="A894" s="55" t="s">
        <v>904</v>
      </c>
      <c r="E894" s="72">
        <f>SUMIF(History1!B:B, A894, History1!C:C)</f>
        <v>0</v>
      </c>
      <c r="K894" s="71" t="s">
        <v>2863</v>
      </c>
      <c r="L894" s="73" t="s">
        <v>1905</v>
      </c>
    </row>
    <row r="895" spans="1:12" ht="207.6" customHeight="1">
      <c r="A895" s="55" t="s">
        <v>905</v>
      </c>
      <c r="E895" s="72">
        <f>SUMIF(History1!B:B, A895, History1!C:C)</f>
        <v>0</v>
      </c>
      <c r="K895" s="71" t="s">
        <v>2864</v>
      </c>
      <c r="L895" s="73" t="s">
        <v>1906</v>
      </c>
    </row>
    <row r="896" spans="1:12" ht="207.6" customHeight="1">
      <c r="A896" s="55" t="s">
        <v>906</v>
      </c>
      <c r="E896" s="72">
        <f>SUMIF(History1!B:B, A896, History1!C:C)</f>
        <v>0</v>
      </c>
      <c r="K896" s="71" t="s">
        <v>2865</v>
      </c>
      <c r="L896" s="73" t="s">
        <v>1907</v>
      </c>
    </row>
    <row r="897" spans="1:12" ht="207.6" customHeight="1">
      <c r="A897" s="55" t="s">
        <v>907</v>
      </c>
      <c r="E897" s="72">
        <f>SUMIF(History1!B:B, A897, History1!C:C)</f>
        <v>0</v>
      </c>
      <c r="K897" s="71" t="s">
        <v>2866</v>
      </c>
      <c r="L897" s="73" t="s">
        <v>1908</v>
      </c>
    </row>
    <row r="898" spans="1:12" ht="207.6" customHeight="1">
      <c r="A898" s="55" t="s">
        <v>908</v>
      </c>
      <c r="E898" s="72">
        <f>SUMIF(History1!B:B, A898, History1!C:C)</f>
        <v>0</v>
      </c>
      <c r="K898" s="71" t="s">
        <v>2867</v>
      </c>
      <c r="L898" s="73" t="s">
        <v>1909</v>
      </c>
    </row>
    <row r="899" spans="1:12" ht="207.6" customHeight="1">
      <c r="A899" s="55" t="s">
        <v>909</v>
      </c>
      <c r="E899" s="72">
        <f>SUMIF(History1!B:B, A899, History1!C:C)</f>
        <v>0</v>
      </c>
      <c r="K899" s="71" t="s">
        <v>2868</v>
      </c>
      <c r="L899" s="73" t="s">
        <v>1910</v>
      </c>
    </row>
    <row r="900" spans="1:12" ht="207.6" customHeight="1">
      <c r="A900" s="55" t="s">
        <v>910</v>
      </c>
      <c r="E900" s="72">
        <f>SUMIF(History1!B:B, A900, History1!C:C)</f>
        <v>0</v>
      </c>
      <c r="K900" s="71" t="s">
        <v>2869</v>
      </c>
      <c r="L900" s="73" t="s">
        <v>1911</v>
      </c>
    </row>
    <row r="901" spans="1:12" ht="207.6" customHeight="1">
      <c r="A901" s="55" t="s">
        <v>911</v>
      </c>
      <c r="E901" s="72">
        <f>SUMIF(History1!B:B, A901, History1!C:C)</f>
        <v>0</v>
      </c>
      <c r="K901" s="71" t="s">
        <v>2870</v>
      </c>
      <c r="L901" s="73" t="s">
        <v>1912</v>
      </c>
    </row>
    <row r="902" spans="1:12" ht="207.6" customHeight="1">
      <c r="A902" s="55" t="s">
        <v>912</v>
      </c>
      <c r="E902" s="72">
        <f>SUMIF(History1!B:B, A902, History1!C:C)</f>
        <v>0</v>
      </c>
      <c r="K902" s="71" t="s">
        <v>2871</v>
      </c>
      <c r="L902" s="73" t="s">
        <v>1913</v>
      </c>
    </row>
    <row r="903" spans="1:12" ht="207.6" customHeight="1">
      <c r="A903" s="55" t="s">
        <v>913</v>
      </c>
      <c r="E903" s="72">
        <f>SUMIF(History1!B:B, A903, History1!C:C)</f>
        <v>0</v>
      </c>
      <c r="K903" s="71" t="s">
        <v>2872</v>
      </c>
      <c r="L903" s="73" t="s">
        <v>1914</v>
      </c>
    </row>
    <row r="904" spans="1:12" ht="207.6" customHeight="1">
      <c r="A904" s="55" t="s">
        <v>914</v>
      </c>
      <c r="E904" s="72">
        <f>SUMIF(History1!B:B, A904, History1!C:C)</f>
        <v>0</v>
      </c>
      <c r="K904" s="71" t="s">
        <v>2873</v>
      </c>
      <c r="L904" s="73" t="s">
        <v>1915</v>
      </c>
    </row>
    <row r="905" spans="1:12" ht="207.6" customHeight="1">
      <c r="A905" s="55" t="s">
        <v>915</v>
      </c>
      <c r="E905" s="72">
        <f>SUMIF(History1!B:B, A905, History1!C:C)</f>
        <v>0</v>
      </c>
      <c r="K905" s="71" t="s">
        <v>2874</v>
      </c>
      <c r="L905" s="73" t="s">
        <v>1916</v>
      </c>
    </row>
    <row r="906" spans="1:12" ht="207.6" customHeight="1">
      <c r="A906" s="55" t="s">
        <v>916</v>
      </c>
      <c r="E906" s="72">
        <f>SUMIF(History1!B:B, A906, History1!C:C)</f>
        <v>0</v>
      </c>
      <c r="K906" s="71" t="s">
        <v>2875</v>
      </c>
      <c r="L906" s="73" t="s">
        <v>1917</v>
      </c>
    </row>
    <row r="907" spans="1:12" ht="207.6" customHeight="1">
      <c r="A907" s="55" t="s">
        <v>917</v>
      </c>
      <c r="E907" s="72">
        <f>SUMIF(History1!B:B, A907, History1!C:C)</f>
        <v>0</v>
      </c>
      <c r="K907" s="71" t="s">
        <v>2876</v>
      </c>
      <c r="L907" s="73" t="s">
        <v>1918</v>
      </c>
    </row>
    <row r="908" spans="1:12" ht="207.6" customHeight="1">
      <c r="A908" s="55" t="s">
        <v>918</v>
      </c>
      <c r="E908" s="72">
        <f>SUMIF(History1!B:B, A908, History1!C:C)</f>
        <v>0</v>
      </c>
      <c r="K908" s="71" t="s">
        <v>2877</v>
      </c>
      <c r="L908" s="73" t="s">
        <v>1919</v>
      </c>
    </row>
    <row r="909" spans="1:12" ht="207.6" customHeight="1">
      <c r="A909" s="55" t="s">
        <v>919</v>
      </c>
      <c r="E909" s="72">
        <f>SUMIF(History1!B:B, A909, History1!C:C)</f>
        <v>0</v>
      </c>
      <c r="K909" s="71" t="s">
        <v>2878</v>
      </c>
      <c r="L909" s="73" t="s">
        <v>1920</v>
      </c>
    </row>
    <row r="910" spans="1:12" ht="207.6" customHeight="1">
      <c r="A910" s="55" t="s">
        <v>920</v>
      </c>
      <c r="E910" s="72">
        <f>SUMIF(History1!B:B, A910, History1!C:C)</f>
        <v>0</v>
      </c>
      <c r="K910" s="71" t="s">
        <v>2879</v>
      </c>
      <c r="L910" s="73" t="s">
        <v>1921</v>
      </c>
    </row>
    <row r="911" spans="1:12" ht="207.6" customHeight="1">
      <c r="A911" s="55" t="s">
        <v>921</v>
      </c>
      <c r="E911" s="72">
        <f>SUMIF(History1!B:B, A911, History1!C:C)</f>
        <v>0</v>
      </c>
      <c r="K911" s="71" t="s">
        <v>2880</v>
      </c>
      <c r="L911" s="73" t="s">
        <v>1922</v>
      </c>
    </row>
    <row r="912" spans="1:12" ht="207.6" customHeight="1">
      <c r="A912" s="55" t="s">
        <v>922</v>
      </c>
      <c r="E912" s="72">
        <f>SUMIF(History1!B:B, A912, History1!C:C)</f>
        <v>0</v>
      </c>
      <c r="K912" s="71" t="s">
        <v>2881</v>
      </c>
      <c r="L912" s="73" t="s">
        <v>1923</v>
      </c>
    </row>
    <row r="913" spans="1:12" ht="207.6" customHeight="1">
      <c r="A913" s="55" t="s">
        <v>923</v>
      </c>
      <c r="E913" s="72">
        <f>SUMIF(History1!B:B, A913, History1!C:C)</f>
        <v>0</v>
      </c>
      <c r="K913" s="71" t="s">
        <v>2882</v>
      </c>
      <c r="L913" s="73" t="s">
        <v>1924</v>
      </c>
    </row>
    <row r="914" spans="1:12" ht="207.6" customHeight="1">
      <c r="A914" s="55" t="s">
        <v>924</v>
      </c>
      <c r="E914" s="72">
        <f>SUMIF(History1!B:B, A914, History1!C:C)</f>
        <v>0</v>
      </c>
      <c r="K914" s="71" t="s">
        <v>2883</v>
      </c>
      <c r="L914" s="73" t="s">
        <v>1925</v>
      </c>
    </row>
    <row r="915" spans="1:12" ht="207.6" customHeight="1">
      <c r="A915" s="55" t="s">
        <v>925</v>
      </c>
      <c r="E915" s="72">
        <f>SUMIF(History1!B:B, A915, History1!C:C)</f>
        <v>0</v>
      </c>
      <c r="K915" s="71" t="s">
        <v>2884</v>
      </c>
      <c r="L915" s="73" t="s">
        <v>1926</v>
      </c>
    </row>
    <row r="916" spans="1:12" ht="207.6" customHeight="1">
      <c r="A916" s="55" t="s">
        <v>926</v>
      </c>
      <c r="E916" s="72">
        <f>SUMIF(History1!B:B, A916, History1!C:C)</f>
        <v>0</v>
      </c>
      <c r="K916" s="71" t="s">
        <v>2885</v>
      </c>
      <c r="L916" s="73" t="s">
        <v>1927</v>
      </c>
    </row>
    <row r="917" spans="1:12" ht="207.6" customHeight="1">
      <c r="A917" s="55" t="s">
        <v>927</v>
      </c>
      <c r="E917" s="72">
        <f>SUMIF(History1!B:B, A917, History1!C:C)</f>
        <v>0</v>
      </c>
      <c r="K917" s="71" t="s">
        <v>2886</v>
      </c>
      <c r="L917" s="73" t="s">
        <v>1928</v>
      </c>
    </row>
    <row r="918" spans="1:12" ht="207.6" customHeight="1">
      <c r="A918" s="55" t="s">
        <v>928</v>
      </c>
      <c r="E918" s="72">
        <f>SUMIF(History1!B:B, A918, History1!C:C)</f>
        <v>0</v>
      </c>
      <c r="K918" s="71" t="s">
        <v>2887</v>
      </c>
      <c r="L918" s="73" t="s">
        <v>1929</v>
      </c>
    </row>
    <row r="919" spans="1:12" ht="207.6" customHeight="1">
      <c r="A919" s="55" t="s">
        <v>929</v>
      </c>
      <c r="E919" s="72">
        <f>SUMIF(History1!B:B, A919, History1!C:C)</f>
        <v>0</v>
      </c>
      <c r="K919" s="71" t="s">
        <v>2888</v>
      </c>
      <c r="L919" s="73" t="s">
        <v>1930</v>
      </c>
    </row>
    <row r="920" spans="1:12" ht="207.6" customHeight="1">
      <c r="A920" s="55" t="s">
        <v>930</v>
      </c>
      <c r="E920" s="72">
        <f>SUMIF(History1!B:B, A920, History1!C:C)</f>
        <v>0</v>
      </c>
      <c r="K920" s="71" t="s">
        <v>2889</v>
      </c>
      <c r="L920" s="73" t="s">
        <v>1931</v>
      </c>
    </row>
    <row r="921" spans="1:12" ht="207.6" customHeight="1">
      <c r="A921" s="55" t="s">
        <v>931</v>
      </c>
      <c r="E921" s="72">
        <f>SUMIF(History1!B:B, A921, History1!C:C)</f>
        <v>0</v>
      </c>
      <c r="K921" s="71" t="s">
        <v>2890</v>
      </c>
      <c r="L921" s="73" t="s">
        <v>1932</v>
      </c>
    </row>
    <row r="922" spans="1:12" ht="207.6" customHeight="1">
      <c r="A922" s="55" t="s">
        <v>932</v>
      </c>
      <c r="E922" s="72">
        <f>SUMIF(History1!B:B, A922, History1!C:C)</f>
        <v>0</v>
      </c>
      <c r="K922" s="71" t="s">
        <v>2891</v>
      </c>
      <c r="L922" s="73" t="s">
        <v>1933</v>
      </c>
    </row>
    <row r="923" spans="1:12" ht="207.6" customHeight="1">
      <c r="A923" s="55" t="s">
        <v>933</v>
      </c>
      <c r="E923" s="72">
        <f>SUMIF(History1!B:B, A923, History1!C:C)</f>
        <v>0</v>
      </c>
      <c r="K923" s="71" t="s">
        <v>2892</v>
      </c>
      <c r="L923" s="73" t="s">
        <v>1934</v>
      </c>
    </row>
    <row r="924" spans="1:12" ht="207.6" customHeight="1">
      <c r="A924" s="55" t="s">
        <v>934</v>
      </c>
      <c r="E924" s="72">
        <f>SUMIF(History1!B:B, A924, History1!C:C)</f>
        <v>0</v>
      </c>
      <c r="K924" s="71" t="s">
        <v>2893</v>
      </c>
      <c r="L924" s="73" t="s">
        <v>1935</v>
      </c>
    </row>
    <row r="925" spans="1:12" ht="207.6" customHeight="1">
      <c r="A925" s="55" t="s">
        <v>935</v>
      </c>
      <c r="E925" s="72">
        <f>SUMIF(History1!B:B, A925, History1!C:C)</f>
        <v>0</v>
      </c>
      <c r="K925" s="71" t="s">
        <v>2894</v>
      </c>
      <c r="L925" s="73" t="s">
        <v>1936</v>
      </c>
    </row>
    <row r="926" spans="1:12" ht="207.6" customHeight="1">
      <c r="A926" s="55" t="s">
        <v>936</v>
      </c>
      <c r="E926" s="72">
        <f>SUMIF(History1!B:B, A926, History1!C:C)</f>
        <v>0</v>
      </c>
      <c r="K926" s="71" t="s">
        <v>2895</v>
      </c>
      <c r="L926" s="73" t="s">
        <v>1937</v>
      </c>
    </row>
    <row r="927" spans="1:12" ht="207.6" customHeight="1">
      <c r="A927" s="55" t="s">
        <v>937</v>
      </c>
      <c r="E927" s="72">
        <f>SUMIF(History1!B:B, A927, History1!C:C)</f>
        <v>0</v>
      </c>
      <c r="K927" s="71" t="s">
        <v>2896</v>
      </c>
      <c r="L927" s="73" t="s">
        <v>1938</v>
      </c>
    </row>
    <row r="928" spans="1:12" ht="207.6" customHeight="1">
      <c r="A928" s="55" t="s">
        <v>938</v>
      </c>
      <c r="E928" s="72">
        <f>SUMIF(History1!B:B, A928, History1!C:C)</f>
        <v>0</v>
      </c>
      <c r="K928" s="71" t="s">
        <v>2897</v>
      </c>
      <c r="L928" s="73" t="s">
        <v>1939</v>
      </c>
    </row>
    <row r="929" spans="1:12" ht="207.6" customHeight="1">
      <c r="A929" s="55" t="s">
        <v>939</v>
      </c>
      <c r="E929" s="72">
        <f>SUMIF(History1!B:B, A929, History1!C:C)</f>
        <v>0</v>
      </c>
      <c r="K929" s="71" t="s">
        <v>2898</v>
      </c>
      <c r="L929" s="73" t="s">
        <v>1940</v>
      </c>
    </row>
    <row r="930" spans="1:12" ht="207.6" customHeight="1">
      <c r="A930" s="55" t="s">
        <v>940</v>
      </c>
      <c r="E930" s="72">
        <f>SUMIF(History1!B:B, A930, History1!C:C)</f>
        <v>0</v>
      </c>
      <c r="K930" s="71" t="s">
        <v>2899</v>
      </c>
      <c r="L930" s="73" t="s">
        <v>1941</v>
      </c>
    </row>
    <row r="931" spans="1:12" ht="207.6" customHeight="1">
      <c r="A931" s="55" t="s">
        <v>941</v>
      </c>
      <c r="E931" s="72">
        <f>SUMIF(History1!B:B, A931, History1!C:C)</f>
        <v>0</v>
      </c>
      <c r="K931" s="71" t="s">
        <v>2900</v>
      </c>
      <c r="L931" s="73" t="s">
        <v>1942</v>
      </c>
    </row>
    <row r="932" spans="1:12" ht="207.6" customHeight="1">
      <c r="A932" s="55" t="s">
        <v>942</v>
      </c>
      <c r="E932" s="72">
        <f>SUMIF(History1!B:B, A932, History1!C:C)</f>
        <v>0</v>
      </c>
      <c r="K932" s="71" t="s">
        <v>2901</v>
      </c>
      <c r="L932" s="73" t="s">
        <v>1943</v>
      </c>
    </row>
    <row r="933" spans="1:12" ht="207.6" customHeight="1">
      <c r="A933" s="55" t="s">
        <v>943</v>
      </c>
      <c r="E933" s="72">
        <f>SUMIF(History1!B:B, A933, History1!C:C)</f>
        <v>0</v>
      </c>
      <c r="K933" s="71" t="s">
        <v>2902</v>
      </c>
      <c r="L933" s="73" t="s">
        <v>1944</v>
      </c>
    </row>
    <row r="934" spans="1:12" ht="207.6" customHeight="1">
      <c r="A934" s="55" t="s">
        <v>944</v>
      </c>
      <c r="E934" s="72">
        <f>SUMIF(History1!B:B, A934, History1!C:C)</f>
        <v>0</v>
      </c>
      <c r="K934" s="71" t="s">
        <v>2903</v>
      </c>
      <c r="L934" s="73" t="s">
        <v>1945</v>
      </c>
    </row>
    <row r="935" spans="1:12" ht="207.6" customHeight="1">
      <c r="A935" s="55" t="s">
        <v>945</v>
      </c>
      <c r="E935" s="72">
        <f>SUMIF(History1!B:B, A935, History1!C:C)</f>
        <v>0</v>
      </c>
      <c r="K935" s="71" t="s">
        <v>2904</v>
      </c>
      <c r="L935" s="73" t="s">
        <v>1946</v>
      </c>
    </row>
    <row r="936" spans="1:12" ht="207.6" customHeight="1">
      <c r="A936" s="55" t="s">
        <v>946</v>
      </c>
      <c r="E936" s="72">
        <f>SUMIF(History1!B:B, A936, History1!C:C)</f>
        <v>0</v>
      </c>
      <c r="K936" s="71" t="s">
        <v>2905</v>
      </c>
      <c r="L936" s="73" t="s">
        <v>1947</v>
      </c>
    </row>
    <row r="937" spans="1:12" ht="207.6" customHeight="1">
      <c r="A937" s="55" t="s">
        <v>947</v>
      </c>
      <c r="E937" s="72">
        <f>SUMIF(History1!B:B, A937, History1!C:C)</f>
        <v>0</v>
      </c>
      <c r="K937" s="71" t="s">
        <v>2906</v>
      </c>
      <c r="L937" s="73" t="s">
        <v>1948</v>
      </c>
    </row>
    <row r="938" spans="1:12" ht="207.6" customHeight="1">
      <c r="A938" s="55" t="s">
        <v>948</v>
      </c>
      <c r="E938" s="72">
        <f>SUMIF(History1!B:B, A938, History1!C:C)</f>
        <v>0</v>
      </c>
      <c r="K938" s="71" t="s">
        <v>2907</v>
      </c>
      <c r="L938" s="73" t="s">
        <v>1949</v>
      </c>
    </row>
    <row r="939" spans="1:12" ht="207.6" customHeight="1">
      <c r="A939" s="55" t="s">
        <v>949</v>
      </c>
      <c r="E939" s="72">
        <f>SUMIF(History1!B:B, A939, History1!C:C)</f>
        <v>0</v>
      </c>
      <c r="K939" s="71" t="s">
        <v>2908</v>
      </c>
      <c r="L939" s="73" t="s">
        <v>1950</v>
      </c>
    </row>
    <row r="940" spans="1:12" ht="207.6" customHeight="1">
      <c r="A940" s="55" t="s">
        <v>950</v>
      </c>
      <c r="E940" s="72">
        <f>SUMIF(History1!B:B, A940, History1!C:C)</f>
        <v>0</v>
      </c>
      <c r="K940" s="71" t="s">
        <v>2909</v>
      </c>
      <c r="L940" s="73" t="s">
        <v>1951</v>
      </c>
    </row>
    <row r="941" spans="1:12" ht="207.6" customHeight="1">
      <c r="A941" s="55" t="s">
        <v>951</v>
      </c>
      <c r="E941" s="72">
        <f>SUMIF(History1!B:B, A941, History1!C:C)</f>
        <v>0</v>
      </c>
      <c r="K941" s="71" t="s">
        <v>2910</v>
      </c>
      <c r="L941" s="73" t="s">
        <v>1952</v>
      </c>
    </row>
    <row r="942" spans="1:12" ht="207.6" customHeight="1">
      <c r="A942" s="55" t="s">
        <v>952</v>
      </c>
      <c r="E942" s="72">
        <f>SUMIF(History1!B:B, A942, History1!C:C)</f>
        <v>0</v>
      </c>
      <c r="K942" s="71" t="s">
        <v>2911</v>
      </c>
      <c r="L942" s="73" t="s">
        <v>1953</v>
      </c>
    </row>
    <row r="943" spans="1:12" ht="207.6" customHeight="1">
      <c r="A943" s="55" t="s">
        <v>953</v>
      </c>
      <c r="E943" s="72">
        <f>SUMIF(History1!B:B, A943, History1!C:C)</f>
        <v>0</v>
      </c>
      <c r="K943" s="71" t="s">
        <v>2912</v>
      </c>
      <c r="L943" s="73" t="s">
        <v>1954</v>
      </c>
    </row>
    <row r="944" spans="1:12" ht="207.6" customHeight="1">
      <c r="A944" s="55" t="s">
        <v>954</v>
      </c>
      <c r="E944" s="72">
        <f>SUMIF(History1!B:B, A944, History1!C:C)</f>
        <v>0</v>
      </c>
      <c r="K944" s="71" t="s">
        <v>2913</v>
      </c>
      <c r="L944" s="73" t="s">
        <v>1955</v>
      </c>
    </row>
    <row r="945" spans="1:12" ht="207.6" customHeight="1">
      <c r="A945" s="55" t="s">
        <v>955</v>
      </c>
      <c r="E945" s="72">
        <f>SUMIF(History1!B:B, A945, History1!C:C)</f>
        <v>0</v>
      </c>
      <c r="K945" s="71" t="s">
        <v>2914</v>
      </c>
      <c r="L945" s="73" t="s">
        <v>1956</v>
      </c>
    </row>
    <row r="946" spans="1:12" ht="207.6" customHeight="1">
      <c r="A946" s="55" t="s">
        <v>956</v>
      </c>
      <c r="E946" s="72">
        <f>SUMIF(History1!B:B, A946, History1!C:C)</f>
        <v>0</v>
      </c>
      <c r="K946" s="71" t="s">
        <v>2915</v>
      </c>
      <c r="L946" s="73" t="s">
        <v>1957</v>
      </c>
    </row>
    <row r="947" spans="1:12" ht="207.6" customHeight="1">
      <c r="A947" s="55" t="s">
        <v>957</v>
      </c>
      <c r="E947" s="72">
        <f>SUMIF(History1!B:B, A947, History1!C:C)</f>
        <v>0</v>
      </c>
      <c r="K947" s="71" t="s">
        <v>2916</v>
      </c>
      <c r="L947" s="73" t="s">
        <v>1958</v>
      </c>
    </row>
    <row r="948" spans="1:12" ht="207.6" customHeight="1">
      <c r="A948" s="55" t="s">
        <v>958</v>
      </c>
      <c r="E948" s="72">
        <f>SUMIF(History1!B:B, A948, History1!C:C)</f>
        <v>0</v>
      </c>
      <c r="K948" s="71" t="s">
        <v>2917</v>
      </c>
      <c r="L948" s="73" t="s">
        <v>1959</v>
      </c>
    </row>
    <row r="949" spans="1:12" ht="207.6" customHeight="1">
      <c r="A949" s="55" t="s">
        <v>959</v>
      </c>
      <c r="E949" s="72">
        <f>SUMIF(History1!B:B, A949, History1!C:C)</f>
        <v>0</v>
      </c>
      <c r="K949" s="71" t="s">
        <v>2918</v>
      </c>
      <c r="L949" s="73" t="s">
        <v>1960</v>
      </c>
    </row>
    <row r="950" spans="1:12" ht="207.6" customHeight="1">
      <c r="A950" s="55" t="s">
        <v>960</v>
      </c>
      <c r="E950" s="72">
        <f>SUMIF(History1!B:B, A950, History1!C:C)</f>
        <v>0</v>
      </c>
      <c r="K950" s="71" t="s">
        <v>2919</v>
      </c>
      <c r="L950" s="73" t="s">
        <v>1961</v>
      </c>
    </row>
    <row r="951" spans="1:12" ht="207.6" customHeight="1">
      <c r="A951" s="55" t="s">
        <v>961</v>
      </c>
      <c r="E951" s="72">
        <f>SUMIF(History1!B:B, A951, History1!C:C)</f>
        <v>0</v>
      </c>
      <c r="K951" s="71" t="s">
        <v>2920</v>
      </c>
      <c r="L951" s="73" t="s">
        <v>1962</v>
      </c>
    </row>
    <row r="952" spans="1:12" ht="207.6" customHeight="1">
      <c r="A952" s="55" t="s">
        <v>962</v>
      </c>
      <c r="E952" s="72">
        <f>SUMIF(History1!B:B, A952, History1!C:C)</f>
        <v>0</v>
      </c>
      <c r="K952" s="71" t="s">
        <v>2921</v>
      </c>
      <c r="L952" s="73" t="s">
        <v>1963</v>
      </c>
    </row>
    <row r="953" spans="1:12" ht="207.6" customHeight="1">
      <c r="A953" s="55" t="s">
        <v>963</v>
      </c>
      <c r="E953" s="72">
        <f>SUMIF(History1!B:B, A953, History1!C:C)</f>
        <v>0</v>
      </c>
      <c r="K953" s="71" t="s">
        <v>2922</v>
      </c>
      <c r="L953" s="73" t="s">
        <v>1964</v>
      </c>
    </row>
    <row r="954" spans="1:12" ht="207.6" customHeight="1">
      <c r="A954" s="55" t="s">
        <v>964</v>
      </c>
      <c r="E954" s="72">
        <f>SUMIF(History1!B:B, A954, History1!C:C)</f>
        <v>0</v>
      </c>
      <c r="K954" s="71" t="s">
        <v>2923</v>
      </c>
      <c r="L954" s="73" t="s">
        <v>1965</v>
      </c>
    </row>
    <row r="955" spans="1:12" ht="207.6" customHeight="1">
      <c r="A955" s="55" t="s">
        <v>965</v>
      </c>
      <c r="E955" s="72">
        <f>SUMIF(History1!B:B, A955, History1!C:C)</f>
        <v>0</v>
      </c>
      <c r="K955" s="71" t="s">
        <v>2924</v>
      </c>
      <c r="L955" s="73" t="s">
        <v>1966</v>
      </c>
    </row>
    <row r="956" spans="1:12" ht="207.6" customHeight="1">
      <c r="A956" s="55" t="s">
        <v>966</v>
      </c>
      <c r="E956" s="72">
        <f>SUMIF(History1!B:B, A956, History1!C:C)</f>
        <v>0</v>
      </c>
      <c r="K956" s="71" t="s">
        <v>2925</v>
      </c>
      <c r="L956" s="73" t="s">
        <v>1967</v>
      </c>
    </row>
    <row r="957" spans="1:12" ht="207.6" customHeight="1">
      <c r="A957" s="55" t="s">
        <v>967</v>
      </c>
      <c r="E957" s="72">
        <f>SUMIF(History1!B:B, A957, History1!C:C)</f>
        <v>0</v>
      </c>
      <c r="K957" s="71" t="s">
        <v>2926</v>
      </c>
      <c r="L957" s="73" t="s">
        <v>1968</v>
      </c>
    </row>
    <row r="958" spans="1:12" ht="207.6" customHeight="1">
      <c r="A958" s="55" t="s">
        <v>968</v>
      </c>
      <c r="E958" s="72">
        <f>SUMIF(History1!B:B, A958, History1!C:C)</f>
        <v>0</v>
      </c>
      <c r="K958" s="71" t="s">
        <v>2927</v>
      </c>
      <c r="L958" s="73" t="s">
        <v>1969</v>
      </c>
    </row>
    <row r="959" spans="1:12" ht="207.6" customHeight="1">
      <c r="A959" s="55" t="s">
        <v>969</v>
      </c>
      <c r="E959" s="72">
        <f>SUMIF(History1!B:B, A959, History1!C:C)</f>
        <v>0</v>
      </c>
      <c r="K959" s="71" t="s">
        <v>2928</v>
      </c>
      <c r="L959" s="73" t="s">
        <v>1970</v>
      </c>
    </row>
    <row r="960" spans="1:12" ht="207.6" customHeight="1">
      <c r="A960" s="55" t="s">
        <v>970</v>
      </c>
      <c r="E960" s="72">
        <f>SUMIF(History1!B:B, A960, History1!C:C)</f>
        <v>0</v>
      </c>
      <c r="K960" s="71" t="s">
        <v>2929</v>
      </c>
      <c r="L960" s="73" t="s">
        <v>1971</v>
      </c>
    </row>
    <row r="961" spans="1:12" ht="207.6" customHeight="1">
      <c r="A961" s="55" t="s">
        <v>971</v>
      </c>
      <c r="E961" s="72">
        <f>SUMIF(History1!B:B, A961, History1!C:C)</f>
        <v>0</v>
      </c>
      <c r="K961" s="71" t="s">
        <v>2930</v>
      </c>
      <c r="L961" s="73" t="s">
        <v>1972</v>
      </c>
    </row>
    <row r="962" spans="1:12" ht="207.6" customHeight="1">
      <c r="A962" s="55" t="s">
        <v>972</v>
      </c>
      <c r="E962" s="72">
        <f>SUMIF(History1!B:B, A962, History1!C:C)</f>
        <v>0</v>
      </c>
      <c r="K962" s="71" t="s">
        <v>2931</v>
      </c>
      <c r="L962" s="73" t="s">
        <v>1973</v>
      </c>
    </row>
    <row r="963" spans="1:12" ht="207.6" customHeight="1">
      <c r="A963" s="55" t="s">
        <v>973</v>
      </c>
      <c r="E963" s="72">
        <f>SUMIF(History1!B:B, A963, History1!C:C)</f>
        <v>0</v>
      </c>
      <c r="K963" s="71" t="s">
        <v>2932</v>
      </c>
      <c r="L963" s="73" t="s">
        <v>1974</v>
      </c>
    </row>
    <row r="964" spans="1:12" ht="207.6" customHeight="1">
      <c r="A964" s="55" t="s">
        <v>974</v>
      </c>
      <c r="E964" s="72">
        <f>SUMIF(History1!B:B, A964, History1!C:C)</f>
        <v>0</v>
      </c>
      <c r="K964" s="71" t="s">
        <v>2933</v>
      </c>
      <c r="L964" s="73" t="s">
        <v>1975</v>
      </c>
    </row>
    <row r="965" spans="1:12" ht="207.6" customHeight="1">
      <c r="A965" s="55" t="s">
        <v>975</v>
      </c>
      <c r="E965" s="72">
        <f>SUMIF(History1!B:B, A965, History1!C:C)</f>
        <v>0</v>
      </c>
      <c r="K965" s="71" t="s">
        <v>2934</v>
      </c>
      <c r="L965" s="73" t="s">
        <v>1976</v>
      </c>
    </row>
    <row r="966" spans="1:12" ht="207.6" customHeight="1">
      <c r="A966" s="55" t="s">
        <v>976</v>
      </c>
      <c r="E966" s="72">
        <f>SUMIF(History1!B:B, A966, History1!C:C)</f>
        <v>0</v>
      </c>
      <c r="K966" s="71" t="s">
        <v>2935</v>
      </c>
      <c r="L966" s="73" t="s">
        <v>1977</v>
      </c>
    </row>
    <row r="967" spans="1:12" ht="207.6" customHeight="1">
      <c r="A967" s="55" t="s">
        <v>977</v>
      </c>
      <c r="E967" s="72">
        <f>SUMIF(History1!B:B, A967, History1!C:C)</f>
        <v>0</v>
      </c>
      <c r="K967" s="71" t="s">
        <v>2936</v>
      </c>
      <c r="L967" s="73" t="s">
        <v>1978</v>
      </c>
    </row>
    <row r="968" spans="1:12" ht="207.6" customHeight="1">
      <c r="A968" s="55" t="s">
        <v>978</v>
      </c>
      <c r="E968" s="72">
        <f>SUMIF(History1!B:B, A968, History1!C:C)</f>
        <v>0</v>
      </c>
      <c r="K968" s="71" t="s">
        <v>2937</v>
      </c>
      <c r="L968" s="73" t="s">
        <v>1979</v>
      </c>
    </row>
    <row r="969" spans="1:12" ht="207.6" customHeight="1">
      <c r="A969" s="55" t="s">
        <v>979</v>
      </c>
      <c r="E969" s="72">
        <f>SUMIF(History1!B:B, A969, History1!C:C)</f>
        <v>0</v>
      </c>
      <c r="K969" s="71" t="s">
        <v>2938</v>
      </c>
      <c r="L969" s="73" t="s">
        <v>1980</v>
      </c>
    </row>
    <row r="970" spans="1:12" ht="207.6" customHeight="1">
      <c r="A970" s="55" t="s">
        <v>980</v>
      </c>
      <c r="E970" s="72">
        <f>SUMIF(History1!B:B, A970, History1!C:C)</f>
        <v>0</v>
      </c>
      <c r="K970" s="71" t="s">
        <v>2939</v>
      </c>
      <c r="L970" s="73" t="s">
        <v>1981</v>
      </c>
    </row>
    <row r="971" spans="1:12" ht="207.6" customHeight="1">
      <c r="A971" s="55" t="s">
        <v>981</v>
      </c>
      <c r="E971" s="72">
        <f>SUMIF(History1!B:B, A971, History1!C:C)</f>
        <v>0</v>
      </c>
      <c r="K971" s="71" t="s">
        <v>2940</v>
      </c>
      <c r="L971" s="73" t="s">
        <v>1982</v>
      </c>
    </row>
    <row r="972" spans="1:12" ht="207.6" customHeight="1">
      <c r="A972" s="55" t="s">
        <v>982</v>
      </c>
      <c r="E972" s="72">
        <f>SUMIF(History1!B:B, A972, History1!C:C)</f>
        <v>0</v>
      </c>
      <c r="K972" s="71" t="s">
        <v>2941</v>
      </c>
      <c r="L972" s="73" t="s">
        <v>1983</v>
      </c>
    </row>
    <row r="973" spans="1:12" ht="207.6" customHeight="1">
      <c r="A973" s="55" t="s">
        <v>983</v>
      </c>
      <c r="E973" s="72">
        <f>SUMIF(History1!B:B, A973, History1!C:C)</f>
        <v>0</v>
      </c>
      <c r="K973" s="71" t="s">
        <v>2942</v>
      </c>
      <c r="L973" s="73" t="s">
        <v>1984</v>
      </c>
    </row>
    <row r="974" spans="1:12" ht="207.6" customHeight="1">
      <c r="A974" s="55" t="s">
        <v>984</v>
      </c>
      <c r="E974" s="72">
        <f>SUMIF(History1!B:B, A974, History1!C:C)</f>
        <v>0</v>
      </c>
      <c r="K974" s="71" t="s">
        <v>2943</v>
      </c>
      <c r="L974" s="73" t="s">
        <v>1985</v>
      </c>
    </row>
    <row r="975" spans="1:12" ht="207.6" customHeight="1">
      <c r="A975" s="55" t="s">
        <v>985</v>
      </c>
      <c r="E975" s="72">
        <f>SUMIF(History1!B:B, A975, History1!C:C)</f>
        <v>0</v>
      </c>
      <c r="K975" s="71" t="s">
        <v>2944</v>
      </c>
      <c r="L975" s="73" t="s">
        <v>1986</v>
      </c>
    </row>
    <row r="976" spans="1:12" ht="207.6" customHeight="1">
      <c r="A976" s="55" t="s">
        <v>986</v>
      </c>
      <c r="E976" s="72">
        <f>SUMIF(History1!B:B, A976, History1!C:C)</f>
        <v>0</v>
      </c>
      <c r="K976" s="71" t="s">
        <v>2945</v>
      </c>
      <c r="L976" s="73" t="s">
        <v>1987</v>
      </c>
    </row>
    <row r="977" spans="1:12" ht="207.6" customHeight="1">
      <c r="A977" s="55" t="s">
        <v>987</v>
      </c>
      <c r="E977" s="72">
        <f>SUMIF(History1!B:B, A977, History1!C:C)</f>
        <v>0</v>
      </c>
      <c r="K977" s="71" t="s">
        <v>2946</v>
      </c>
      <c r="L977" s="73" t="s">
        <v>1988</v>
      </c>
    </row>
    <row r="978" spans="1:12" ht="207.6" customHeight="1">
      <c r="A978" s="55" t="s">
        <v>988</v>
      </c>
      <c r="E978" s="72">
        <f>SUMIF(History1!B:B, A978, History1!C:C)</f>
        <v>0</v>
      </c>
      <c r="K978" s="71" t="s">
        <v>2947</v>
      </c>
      <c r="L978" s="73" t="s">
        <v>1989</v>
      </c>
    </row>
    <row r="979" spans="1:12" ht="207.6" customHeight="1">
      <c r="A979" s="55" t="s">
        <v>989</v>
      </c>
      <c r="E979" s="72">
        <f>SUMIF(History1!B:B, A979, History1!C:C)</f>
        <v>0</v>
      </c>
      <c r="K979" s="71" t="s">
        <v>2948</v>
      </c>
      <c r="L979" s="73" t="s">
        <v>1990</v>
      </c>
    </row>
    <row r="980" spans="1:12" ht="207.6" customHeight="1">
      <c r="A980" s="55" t="s">
        <v>990</v>
      </c>
      <c r="E980" s="72">
        <f>SUMIF(History1!B:B, A980, History1!C:C)</f>
        <v>0</v>
      </c>
      <c r="K980" s="71" t="s">
        <v>2949</v>
      </c>
      <c r="L980" s="73" t="s">
        <v>1991</v>
      </c>
    </row>
    <row r="981" spans="1:12" ht="207.6" customHeight="1">
      <c r="A981" s="55" t="s">
        <v>991</v>
      </c>
      <c r="E981" s="72">
        <f>SUMIF(History1!B:B, A981, History1!C:C)</f>
        <v>0</v>
      </c>
      <c r="K981" s="71" t="s">
        <v>2950</v>
      </c>
      <c r="L981" s="73" t="s">
        <v>1992</v>
      </c>
    </row>
    <row r="982" spans="1:12" ht="207.6" customHeight="1">
      <c r="A982" s="55" t="s">
        <v>992</v>
      </c>
      <c r="E982" s="72">
        <f>SUMIF(History1!B:B, A982, History1!C:C)</f>
        <v>0</v>
      </c>
      <c r="K982" s="71" t="s">
        <v>2951</v>
      </c>
      <c r="L982" s="73" t="s">
        <v>1993</v>
      </c>
    </row>
    <row r="983" spans="1:12" ht="207.6" customHeight="1">
      <c r="A983" s="55" t="s">
        <v>993</v>
      </c>
      <c r="E983" s="72">
        <f>SUMIF(History1!B:B, A983, History1!C:C)</f>
        <v>0</v>
      </c>
      <c r="K983" s="71" t="s">
        <v>2952</v>
      </c>
      <c r="L983" s="73" t="s">
        <v>1994</v>
      </c>
    </row>
    <row r="984" spans="1:12" ht="207.6" customHeight="1">
      <c r="A984" s="55" t="s">
        <v>994</v>
      </c>
      <c r="E984" s="72">
        <f>SUMIF(History1!B:B, A984, History1!C:C)</f>
        <v>0</v>
      </c>
      <c r="K984" s="71" t="s">
        <v>2953</v>
      </c>
      <c r="L984" s="73" t="s">
        <v>1995</v>
      </c>
    </row>
    <row r="985" spans="1:12" ht="207.6" customHeight="1">
      <c r="A985" s="55" t="s">
        <v>995</v>
      </c>
      <c r="E985" s="72">
        <f>SUMIF(History1!B:B, A985, History1!C:C)</f>
        <v>0</v>
      </c>
      <c r="K985" s="71" t="s">
        <v>2954</v>
      </c>
      <c r="L985" s="73" t="s">
        <v>1996</v>
      </c>
    </row>
    <row r="986" spans="1:12" ht="207.6" customHeight="1">
      <c r="A986" s="55" t="s">
        <v>996</v>
      </c>
      <c r="E986" s="72">
        <f>SUMIF(History1!B:B, A986, History1!C:C)</f>
        <v>0</v>
      </c>
      <c r="K986" s="71" t="s">
        <v>2955</v>
      </c>
      <c r="L986" s="73" t="s">
        <v>1997</v>
      </c>
    </row>
    <row r="987" spans="1:12" ht="207.6" customHeight="1">
      <c r="A987" s="55" t="s">
        <v>997</v>
      </c>
      <c r="E987" s="72">
        <f>SUMIF(History1!B:B, A987, History1!C:C)</f>
        <v>0</v>
      </c>
      <c r="K987" s="71" t="s">
        <v>2956</v>
      </c>
      <c r="L987" s="73" t="s">
        <v>1998</v>
      </c>
    </row>
    <row r="988" spans="1:12" ht="207.6" customHeight="1">
      <c r="A988" s="55" t="s">
        <v>998</v>
      </c>
      <c r="E988" s="72">
        <f>SUMIF(History1!B:B, A988, History1!C:C)</f>
        <v>0</v>
      </c>
      <c r="K988" s="71" t="s">
        <v>2957</v>
      </c>
      <c r="L988" s="73" t="s">
        <v>1999</v>
      </c>
    </row>
    <row r="989" spans="1:12" ht="207.6" customHeight="1">
      <c r="A989" s="55" t="s">
        <v>999</v>
      </c>
      <c r="E989" s="72">
        <f>SUMIF(History1!B:B, A989, History1!C:C)</f>
        <v>0</v>
      </c>
      <c r="K989" s="71" t="s">
        <v>2958</v>
      </c>
      <c r="L989" s="73" t="s">
        <v>2000</v>
      </c>
    </row>
    <row r="990" spans="1:12" ht="207.6" customHeight="1">
      <c r="A990" s="55" t="s">
        <v>1000</v>
      </c>
      <c r="E990" s="72">
        <f>SUMIF(History1!B:B, A990, History1!C:C)</f>
        <v>0</v>
      </c>
      <c r="K990" s="71" t="s">
        <v>2959</v>
      </c>
      <c r="L990" s="73" t="s">
        <v>2001</v>
      </c>
    </row>
    <row r="991" spans="1:12" ht="207.6" customHeight="1">
      <c r="A991" s="55" t="s">
        <v>1001</v>
      </c>
      <c r="E991" s="72">
        <f>SUMIF(History1!B:B, A991, History1!C:C)</f>
        <v>0</v>
      </c>
      <c r="K991" s="71" t="s">
        <v>2960</v>
      </c>
      <c r="L991" s="73" t="s">
        <v>2002</v>
      </c>
    </row>
    <row r="992" spans="1:12" ht="207.6" customHeight="1">
      <c r="A992" s="55" t="s">
        <v>1002</v>
      </c>
      <c r="E992" s="72">
        <f>SUMIF(History1!B:B, A992, History1!C:C)</f>
        <v>0</v>
      </c>
      <c r="K992" s="71" t="s">
        <v>2961</v>
      </c>
      <c r="L992" s="73" t="s">
        <v>2003</v>
      </c>
    </row>
    <row r="993" spans="1:12" ht="207.6" customHeight="1">
      <c r="A993" s="55" t="s">
        <v>1003</v>
      </c>
      <c r="E993" s="72">
        <f>SUMIF(History1!B:B, A993, History1!C:C)</f>
        <v>0</v>
      </c>
      <c r="K993" s="71" t="s">
        <v>2962</v>
      </c>
      <c r="L993" s="73" t="s">
        <v>2004</v>
      </c>
    </row>
    <row r="994" spans="1:12" ht="207.6" customHeight="1">
      <c r="A994" s="55" t="s">
        <v>1004</v>
      </c>
      <c r="E994" s="72">
        <f>SUMIF(History1!B:B, A994, History1!C:C)</f>
        <v>0</v>
      </c>
      <c r="K994" s="71" t="s">
        <v>2963</v>
      </c>
      <c r="L994" s="73" t="s">
        <v>2005</v>
      </c>
    </row>
    <row r="995" spans="1:12" ht="207.6" customHeight="1">
      <c r="A995" s="55" t="s">
        <v>1005</v>
      </c>
      <c r="E995" s="72">
        <f>SUMIF(History1!B:B, A995, History1!C:C)</f>
        <v>0</v>
      </c>
      <c r="K995" s="71" t="s">
        <v>2964</v>
      </c>
      <c r="L995" s="73" t="s">
        <v>2006</v>
      </c>
    </row>
    <row r="996" spans="1:12" ht="207.6" customHeight="1">
      <c r="A996" s="55" t="s">
        <v>1006</v>
      </c>
      <c r="E996" s="72">
        <f>SUMIF(History1!B:B, A996, History1!C:C)</f>
        <v>0</v>
      </c>
      <c r="K996" s="71" t="s">
        <v>2965</v>
      </c>
      <c r="L996" s="73" t="s">
        <v>2007</v>
      </c>
    </row>
    <row r="997" spans="1:12" ht="207.6" customHeight="1">
      <c r="A997" s="55" t="s">
        <v>1007</v>
      </c>
      <c r="E997" s="72">
        <f>SUMIF(History1!B:B, A997, History1!C:C)</f>
        <v>0</v>
      </c>
      <c r="K997" s="71" t="s">
        <v>2966</v>
      </c>
      <c r="L997" s="73" t="s">
        <v>2008</v>
      </c>
    </row>
    <row r="998" spans="1:12" ht="207.6" customHeight="1">
      <c r="A998" s="55" t="s">
        <v>1008</v>
      </c>
      <c r="E998" s="72">
        <f>SUMIF(History1!B:B, A998, History1!C:C)</f>
        <v>0</v>
      </c>
      <c r="K998" s="71" t="s">
        <v>2967</v>
      </c>
      <c r="L998" s="73" t="s">
        <v>2009</v>
      </c>
    </row>
    <row r="999" spans="1:12" ht="207.6" customHeight="1">
      <c r="A999" s="55" t="s">
        <v>1009</v>
      </c>
      <c r="E999" s="72">
        <f>SUMIF(History1!B:B, A999, History1!C:C)</f>
        <v>0</v>
      </c>
      <c r="K999" s="71" t="s">
        <v>2968</v>
      </c>
      <c r="L999" s="73" t="s">
        <v>2010</v>
      </c>
    </row>
    <row r="1000" spans="1:12" ht="207.6" customHeight="1">
      <c r="A1000" s="55" t="s">
        <v>1010</v>
      </c>
      <c r="E1000" s="72">
        <f>SUMIF(History1!B:B, A1000, History1!C:C)</f>
        <v>0</v>
      </c>
      <c r="K1000" s="71" t="s">
        <v>2969</v>
      </c>
      <c r="L1000" s="73" t="s">
        <v>2011</v>
      </c>
    </row>
    <row r="1001" spans="1:12" ht="207.6" customHeight="1">
      <c r="A1001" s="55" t="s">
        <v>1011</v>
      </c>
      <c r="E1001" s="72">
        <f>SUMIF(History1!B:B, A1001, History1!C:C)</f>
        <v>0</v>
      </c>
      <c r="K1001" s="71" t="s">
        <v>2970</v>
      </c>
      <c r="L1001" s="73"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2976</v>
      </c>
      <c r="B1" s="79" t="s">
        <v>0</v>
      </c>
      <c r="C1" s="79" t="s">
        <v>2013</v>
      </c>
      <c r="D1" s="79" t="s">
        <v>2977</v>
      </c>
      <c r="E1" s="79" t="s">
        <v>2978</v>
      </c>
      <c r="F1" s="79" t="s">
        <v>2</v>
      </c>
      <c r="G1" s="80"/>
    </row>
    <row r="2" spans="1:7" ht="55.8" customHeight="1">
      <c r="A2" s="82" t="s">
        <v>2983</v>
      </c>
      <c r="B2" s="82" t="s">
        <v>62</v>
      </c>
      <c r="C2" s="82">
        <v>85</v>
      </c>
      <c r="D2" s="82" t="s">
        <v>2984</v>
      </c>
      <c r="E2" s="82" t="s">
        <v>2985</v>
      </c>
      <c r="F2" s="82" t="str">
        <f>_xlfn.XLOOKUP(TRIM(B2), Inventory!A:A, Inventory!C:C, "")</f>
        <v>Small-Vases</v>
      </c>
    </row>
    <row r="3" spans="1:7" ht="55.8" customHeight="1">
      <c r="A3" s="82" t="s">
        <v>2983</v>
      </c>
      <c r="B3" s="82" t="s">
        <v>63</v>
      </c>
      <c r="C3" s="82">
        <v>375</v>
      </c>
      <c r="D3" s="82" t="s">
        <v>2984</v>
      </c>
      <c r="E3" s="82" t="s">
        <v>2985</v>
      </c>
      <c r="F3" s="82" t="str">
        <f>_xlfn.XLOOKUP(TRIM(B3), Inventory!A:A, Inventory!C:C, "")</f>
        <v>Small-Vases</v>
      </c>
    </row>
    <row r="4" spans="1:7" ht="55.8" customHeight="1">
      <c r="A4" s="82" t="s">
        <v>2983</v>
      </c>
      <c r="B4" s="82" t="s">
        <v>64</v>
      </c>
      <c r="C4" s="82">
        <v>80</v>
      </c>
      <c r="D4" s="82" t="s">
        <v>2984</v>
      </c>
      <c r="E4" s="82" t="s">
        <v>2985</v>
      </c>
      <c r="F4" s="82" t="str">
        <f>_xlfn.XLOOKUP(TRIM(B4), Inventory!A:A, Inventory!C:C, "")</f>
        <v>Small-Vases</v>
      </c>
    </row>
    <row r="5" spans="1:7" ht="55.8" customHeight="1">
      <c r="A5" s="82" t="s">
        <v>2983</v>
      </c>
      <c r="B5" s="82" t="s">
        <v>65</v>
      </c>
      <c r="C5" s="82">
        <v>135</v>
      </c>
      <c r="D5" s="82" t="s">
        <v>2984</v>
      </c>
      <c r="E5" s="82" t="s">
        <v>2985</v>
      </c>
      <c r="F5" s="82" t="str">
        <f>_xlfn.XLOOKUP(TRIM(B5), Inventory!A:A, Inventory!C:C, "")</f>
        <v>Small-Vases</v>
      </c>
    </row>
    <row r="6" spans="1:7" ht="55.8" customHeight="1">
      <c r="A6" s="82" t="s">
        <v>2983</v>
      </c>
      <c r="B6" s="82" t="s">
        <v>66</v>
      </c>
      <c r="C6" s="82">
        <v>20</v>
      </c>
      <c r="D6" s="82" t="s">
        <v>2984</v>
      </c>
      <c r="E6" s="82" t="s">
        <v>2985</v>
      </c>
      <c r="F6" s="82" t="str">
        <f>_xlfn.XLOOKUP(TRIM(B6), Inventory!A:A, Inventory!C:C, "")</f>
        <v>Small-Vases</v>
      </c>
    </row>
    <row r="7" spans="1:7" ht="55.8" customHeight="1">
      <c r="A7" s="82" t="s">
        <v>2983</v>
      </c>
      <c r="B7" s="82" t="s">
        <v>67</v>
      </c>
      <c r="C7" s="82">
        <v>115</v>
      </c>
      <c r="D7" s="84" t="s">
        <v>2984</v>
      </c>
      <c r="E7" s="82" t="s">
        <v>2985</v>
      </c>
      <c r="F7" s="82" t="str">
        <f>_xlfn.XLOOKUP(TRIM(B7), Inventory!A:A, Inventory!C:C, "")</f>
        <v>Small-Vases</v>
      </c>
    </row>
    <row r="8" spans="1:7" ht="55.8" customHeight="1">
      <c r="A8" s="82" t="s">
        <v>2983</v>
      </c>
      <c r="B8" s="82" t="s">
        <v>68</v>
      </c>
      <c r="C8" s="82">
        <v>110</v>
      </c>
      <c r="D8" s="82" t="s">
        <v>2984</v>
      </c>
      <c r="E8" s="82" t="s">
        <v>2985</v>
      </c>
      <c r="F8" s="82" t="str">
        <f>_xlfn.XLOOKUP(TRIM(B8), Inventory!A:A, Inventory!C:C, "")</f>
        <v>Small-Vases</v>
      </c>
    </row>
    <row r="9" spans="1:7" ht="55.8" customHeight="1">
      <c r="A9" s="82" t="s">
        <v>2983</v>
      </c>
      <c r="B9" s="82" t="s">
        <v>69</v>
      </c>
      <c r="C9" s="82">
        <v>130</v>
      </c>
      <c r="D9" s="82" t="s">
        <v>2984</v>
      </c>
      <c r="E9" s="82" t="s">
        <v>2985</v>
      </c>
      <c r="F9" s="82" t="str">
        <f>_xlfn.XLOOKUP(TRIM(B9), Inventory!A:A, Inventory!C:C, "")</f>
        <v>Tealights - Vases</v>
      </c>
    </row>
    <row r="10" spans="1:7" ht="55.8" customHeight="1">
      <c r="A10" s="82" t="s">
        <v>2983</v>
      </c>
      <c r="B10" s="82" t="s">
        <v>70</v>
      </c>
      <c r="C10" s="82">
        <v>105</v>
      </c>
      <c r="D10" s="82" t="s">
        <v>2984</v>
      </c>
      <c r="E10" s="82" t="s">
        <v>2985</v>
      </c>
      <c r="F10" s="82" t="str">
        <f>_xlfn.XLOOKUP(TRIM(B10), Inventory!A:A, Inventory!C:C, "")</f>
        <v>Square Vase</v>
      </c>
    </row>
    <row r="11" spans="1:7" ht="55.8" customHeight="1">
      <c r="A11" s="82" t="s">
        <v>2983</v>
      </c>
      <c r="B11" s="82" t="s">
        <v>71</v>
      </c>
      <c r="C11" s="82">
        <v>140</v>
      </c>
      <c r="D11" s="82" t="s">
        <v>2984</v>
      </c>
      <c r="E11" s="82" t="s">
        <v>2985</v>
      </c>
      <c r="F11" s="82" t="str">
        <f>_xlfn.XLOOKUP(TRIM(B11), Inventory!A:A, Inventory!C:C, "")</f>
        <v>Tealights - Vases</v>
      </c>
    </row>
    <row r="12" spans="1:7" ht="55.8" customHeight="1">
      <c r="A12" s="82" t="s">
        <v>2983</v>
      </c>
      <c r="B12" s="82" t="s">
        <v>72</v>
      </c>
      <c r="C12" s="82">
        <v>9</v>
      </c>
      <c r="D12" s="82" t="s">
        <v>2984</v>
      </c>
      <c r="E12" s="82" t="s">
        <v>2985</v>
      </c>
      <c r="F12" s="82" t="str">
        <f>_xlfn.XLOOKUP(TRIM(B12), Inventory!A:A, Inventory!C:C, "")</f>
        <v>Square Vase</v>
      </c>
    </row>
    <row r="13" spans="1:7" ht="55.8" customHeight="1">
      <c r="A13" s="82" t="s">
        <v>2983</v>
      </c>
      <c r="B13" s="82" t="s">
        <v>73</v>
      </c>
      <c r="C13" s="82">
        <v>32</v>
      </c>
      <c r="D13" s="82" t="s">
        <v>2984</v>
      </c>
      <c r="E13" s="82" t="s">
        <v>2985</v>
      </c>
      <c r="F13" s="82" t="str">
        <f>_xlfn.XLOOKUP(TRIM(B13), Inventory!A:A, Inventory!C:C, "")</f>
        <v>Tealights - Vases</v>
      </c>
    </row>
    <row r="14" spans="1:7" ht="55.8" customHeight="1">
      <c r="A14" s="82" t="s">
        <v>2983</v>
      </c>
      <c r="B14" s="82" t="s">
        <v>74</v>
      </c>
      <c r="C14" s="82">
        <v>14</v>
      </c>
      <c r="D14" s="82" t="s">
        <v>2984</v>
      </c>
      <c r="E14" s="82" t="s">
        <v>2985</v>
      </c>
      <c r="F14" s="82" t="str">
        <f>_xlfn.XLOOKUP(TRIM(B14), Inventory!A:A, Inventory!C:C, "")</f>
        <v>Tealights - Vases</v>
      </c>
    </row>
    <row r="15" spans="1:7" ht="55.8" customHeight="1">
      <c r="A15" s="82" t="s">
        <v>2983</v>
      </c>
      <c r="B15" s="82" t="s">
        <v>75</v>
      </c>
      <c r="C15" s="82">
        <v>18</v>
      </c>
      <c r="D15" s="82" t="s">
        <v>2984</v>
      </c>
      <c r="E15" s="82" t="s">
        <v>2985</v>
      </c>
      <c r="F15" s="82" t="str">
        <f>_xlfn.XLOOKUP(TRIM(B15), Inventory!A:A, Inventory!C:C, "")</f>
        <v>Tealights - Vases</v>
      </c>
    </row>
    <row r="16" spans="1:7" ht="55.8" customHeight="1">
      <c r="A16" s="82" t="s">
        <v>2983</v>
      </c>
      <c r="B16" s="82" t="s">
        <v>76</v>
      </c>
      <c r="C16" s="82">
        <v>9</v>
      </c>
      <c r="D16" s="82" t="s">
        <v>2984</v>
      </c>
      <c r="E16" s="82" t="s">
        <v>2985</v>
      </c>
      <c r="F16" s="82" t="str">
        <f>_xlfn.XLOOKUP(TRIM(B16), Inventory!A:A, Inventory!C:C, "")</f>
        <v>Medium Vase</v>
      </c>
    </row>
    <row r="17" spans="1:6" ht="55.8" customHeight="1">
      <c r="A17" s="82" t="s">
        <v>2983</v>
      </c>
      <c r="B17" s="82" t="s">
        <v>77</v>
      </c>
      <c r="C17" s="82">
        <v>5</v>
      </c>
      <c r="D17" s="82" t="s">
        <v>2984</v>
      </c>
      <c r="E17" s="82" t="s">
        <v>2985</v>
      </c>
      <c r="F17" s="82" t="str">
        <f>_xlfn.XLOOKUP(TRIM(B17), Inventory!A:A, Inventory!C:C, "")</f>
        <v>Medium Vase</v>
      </c>
    </row>
    <row r="18" spans="1:6" ht="55.8" customHeight="1">
      <c r="A18" s="82" t="s">
        <v>2983</v>
      </c>
      <c r="B18" s="82" t="s">
        <v>78</v>
      </c>
      <c r="C18" s="82">
        <v>12</v>
      </c>
      <c r="D18" s="82" t="s">
        <v>2984</v>
      </c>
      <c r="E18" s="82" t="s">
        <v>2985</v>
      </c>
      <c r="F18" s="82" t="str">
        <f>_xlfn.XLOOKUP(TRIM(B18), Inventory!A:A, Inventory!C:C, "")</f>
        <v>Medium Vase</v>
      </c>
    </row>
    <row r="19" spans="1:6" ht="55.8" customHeight="1">
      <c r="A19" s="82" t="s">
        <v>2983</v>
      </c>
      <c r="B19" s="82" t="s">
        <v>79</v>
      </c>
      <c r="C19" s="82">
        <v>85</v>
      </c>
      <c r="D19" s="82" t="s">
        <v>2984</v>
      </c>
      <c r="E19" s="82" t="s">
        <v>2985</v>
      </c>
      <c r="F19" s="82" t="str">
        <f>_xlfn.XLOOKUP(TRIM(B19), Inventory!A:A, Inventory!C:C, "")</f>
        <v>Tealights - Vases</v>
      </c>
    </row>
    <row r="20" spans="1:6" ht="55.8" customHeight="1">
      <c r="A20" s="82" t="s">
        <v>2983</v>
      </c>
      <c r="B20" s="82" t="s">
        <v>80</v>
      </c>
      <c r="C20" s="82">
        <v>70</v>
      </c>
      <c r="D20" s="82" t="s">
        <v>2984</v>
      </c>
      <c r="E20" s="82" t="s">
        <v>2985</v>
      </c>
      <c r="F20" s="82" t="str">
        <f>_xlfn.XLOOKUP(TRIM(B20), Inventory!A:A, Inventory!C:C, "")</f>
        <v>Tealights - Vases</v>
      </c>
    </row>
    <row r="21" spans="1:6" ht="55.8" customHeight="1">
      <c r="A21" s="82" t="s">
        <v>2983</v>
      </c>
      <c r="B21" s="82" t="s">
        <v>81</v>
      </c>
      <c r="C21" s="82">
        <v>27</v>
      </c>
      <c r="D21" s="82" t="s">
        <v>2984</v>
      </c>
      <c r="E21" s="82" t="s">
        <v>2985</v>
      </c>
      <c r="F21" s="82" t="str">
        <f>_xlfn.XLOOKUP(TRIM(B21), Inventory!A:A, Inventory!C:C, "")</f>
        <v>Medium Vase</v>
      </c>
    </row>
    <row r="22" spans="1:6" ht="55.8" customHeight="1">
      <c r="A22" s="82" t="s">
        <v>2983</v>
      </c>
      <c r="B22" s="82" t="s">
        <v>82</v>
      </c>
      <c r="C22" s="82">
        <v>7</v>
      </c>
      <c r="D22" s="82" t="s">
        <v>2984</v>
      </c>
      <c r="E22" s="82" t="s">
        <v>2985</v>
      </c>
      <c r="F22" s="82" t="str">
        <f>_xlfn.XLOOKUP(TRIM(B22), Inventory!A:A, Inventory!C:C, "")</f>
        <v>Others</v>
      </c>
    </row>
    <row r="23" spans="1:6" ht="55.8" customHeight="1">
      <c r="A23" s="82" t="s">
        <v>2983</v>
      </c>
      <c r="B23" s="82" t="s">
        <v>83</v>
      </c>
      <c r="C23" s="82">
        <v>310</v>
      </c>
      <c r="D23" s="82" t="s">
        <v>2984</v>
      </c>
      <c r="E23" s="82" t="s">
        <v>2985</v>
      </c>
      <c r="F23" s="82" t="str">
        <f>_xlfn.XLOOKUP(TRIM(B23), Inventory!A:A, Inventory!C:C, "")</f>
        <v>Tealights - Vases</v>
      </c>
    </row>
    <row r="24" spans="1:6" ht="55.8" customHeight="1">
      <c r="A24" s="82" t="s">
        <v>2983</v>
      </c>
      <c r="B24" s="82" t="s">
        <v>84</v>
      </c>
      <c r="C24" s="82">
        <v>20</v>
      </c>
      <c r="D24" s="82" t="s">
        <v>2984</v>
      </c>
      <c r="E24" s="82" t="s">
        <v>2985</v>
      </c>
      <c r="F24" s="82" t="str">
        <f>_xlfn.XLOOKUP(TRIM(B24), Inventory!A:A, Inventory!C:C, "")</f>
        <v>Medium Vase</v>
      </c>
    </row>
    <row r="25" spans="1:6" ht="55.8" customHeight="1">
      <c r="A25" s="82" t="s">
        <v>2983</v>
      </c>
      <c r="B25" s="82" t="s">
        <v>85</v>
      </c>
      <c r="C25" s="82">
        <v>75</v>
      </c>
      <c r="D25" s="82" t="s">
        <v>2984</v>
      </c>
      <c r="E25" s="82" t="s">
        <v>2985</v>
      </c>
      <c r="F25" s="82" t="str">
        <f>_xlfn.XLOOKUP(TRIM(B25), Inventory!A:A, Inventory!C:C, "")</f>
        <v>Holder Candles</v>
      </c>
    </row>
    <row r="26" spans="1:6" ht="55.8" customHeight="1">
      <c r="A26" s="82" t="s">
        <v>2983</v>
      </c>
      <c r="B26" s="82" t="s">
        <v>86</v>
      </c>
      <c r="C26" s="82">
        <v>24</v>
      </c>
      <c r="D26" s="82" t="s">
        <v>2984</v>
      </c>
      <c r="E26" s="82" t="s">
        <v>2985</v>
      </c>
      <c r="F26" s="82" t="str">
        <f>_xlfn.XLOOKUP(TRIM(B26), Inventory!A:A, Inventory!C:C, "")</f>
        <v>Square Vase</v>
      </c>
    </row>
    <row r="27" spans="1:6" ht="55.8" customHeight="1">
      <c r="A27" s="82" t="s">
        <v>2983</v>
      </c>
      <c r="B27" s="82" t="s">
        <v>87</v>
      </c>
      <c r="C27" s="82">
        <v>8</v>
      </c>
      <c r="D27" s="82" t="s">
        <v>2984</v>
      </c>
      <c r="E27" s="82" t="s">
        <v>2985</v>
      </c>
      <c r="F27" s="82" t="str">
        <f>_xlfn.XLOOKUP(TRIM(B27), Inventory!A:A, Inventory!C:C, "")</f>
        <v>Square Vase</v>
      </c>
    </row>
    <row r="28" spans="1:6" ht="55.8" customHeight="1">
      <c r="A28" s="82" t="s">
        <v>2983</v>
      </c>
      <c r="B28" s="82" t="s">
        <v>88</v>
      </c>
      <c r="C28" s="82">
        <v>150</v>
      </c>
      <c r="D28" s="82" t="s">
        <v>2984</v>
      </c>
      <c r="E28" s="82" t="s">
        <v>2985</v>
      </c>
      <c r="F28" s="82" t="str">
        <f>_xlfn.XLOOKUP(TRIM(B28), Inventory!A:A, Inventory!C:C, "")</f>
        <v>Holder Candles</v>
      </c>
    </row>
    <row r="29" spans="1:6" ht="55.8" customHeight="1">
      <c r="A29" s="82" t="s">
        <v>2983</v>
      </c>
      <c r="B29" s="82" t="s">
        <v>89</v>
      </c>
      <c r="C29" s="82">
        <v>145</v>
      </c>
      <c r="D29" s="82" t="s">
        <v>2984</v>
      </c>
      <c r="E29" s="82" t="s">
        <v>2985</v>
      </c>
      <c r="F29" s="82" t="str">
        <f>_xlfn.XLOOKUP(TRIM(B29), Inventory!A:A, Inventory!C:C, "")</f>
        <v>Tealights - Vases</v>
      </c>
    </row>
    <row r="30" spans="1:6" ht="55.8" customHeight="1">
      <c r="A30" s="82" t="s">
        <v>2983</v>
      </c>
      <c r="B30" s="82" t="s">
        <v>90</v>
      </c>
      <c r="C30" s="82">
        <v>125</v>
      </c>
      <c r="D30" s="82" t="s">
        <v>2984</v>
      </c>
      <c r="E30" s="82" t="s">
        <v>2985</v>
      </c>
      <c r="F30" s="82" t="str">
        <f>_xlfn.XLOOKUP(TRIM(B30), Inventory!A:A, Inventory!C:C, "")</f>
        <v>Tealights - Vases</v>
      </c>
    </row>
    <row r="31" spans="1:6" ht="55.8" customHeight="1">
      <c r="A31" s="82" t="s">
        <v>3043</v>
      </c>
      <c r="B31" s="82" t="s">
        <v>91</v>
      </c>
      <c r="C31" s="82">
        <v>42</v>
      </c>
      <c r="D31" s="82" t="s">
        <v>2984</v>
      </c>
      <c r="E31" s="82" t="s">
        <v>2985</v>
      </c>
      <c r="F31" s="82" t="str">
        <f>_xlfn.XLOOKUP(TRIM(B31), Inventory!A:A, Inventory!C:C, "")</f>
        <v>Medium Vase</v>
      </c>
    </row>
    <row r="32" spans="1:6" ht="55.8" customHeight="1">
      <c r="A32" s="82" t="s">
        <v>3043</v>
      </c>
      <c r="B32" s="82" t="s">
        <v>92</v>
      </c>
      <c r="C32" s="82">
        <v>4</v>
      </c>
      <c r="D32" s="82" t="s">
        <v>2984</v>
      </c>
      <c r="E32" s="82" t="s">
        <v>2985</v>
      </c>
      <c r="F32" s="82" t="str">
        <f>_xlfn.XLOOKUP(TRIM(B32), Inventory!A:A, Inventory!C:C, "")</f>
        <v>Others</v>
      </c>
    </row>
    <row r="33" spans="1:6" ht="55.8" customHeight="1">
      <c r="A33" s="82" t="s">
        <v>3043</v>
      </c>
      <c r="B33" s="82" t="s">
        <v>93</v>
      </c>
      <c r="C33" s="82">
        <v>9</v>
      </c>
      <c r="D33" s="82" t="s">
        <v>2984</v>
      </c>
      <c r="E33" s="82" t="s">
        <v>2985</v>
      </c>
      <c r="F33" s="82" t="str">
        <f>_xlfn.XLOOKUP(TRIM(B33), Inventory!A:A, Inventory!C:C, "")</f>
        <v>Medium Vase</v>
      </c>
    </row>
    <row r="34" spans="1:6" ht="55.8" customHeight="1">
      <c r="A34" s="82" t="s">
        <v>3043</v>
      </c>
      <c r="B34" s="82" t="s">
        <v>94</v>
      </c>
      <c r="C34" s="82">
        <v>18</v>
      </c>
      <c r="D34" s="82" t="s">
        <v>2984</v>
      </c>
      <c r="E34" s="82" t="s">
        <v>2985</v>
      </c>
      <c r="F34" s="82" t="str">
        <f>_xlfn.XLOOKUP(TRIM(B34), Inventory!A:A, Inventory!C:C, "")</f>
        <v>Gold Cup</v>
      </c>
    </row>
    <row r="35" spans="1:6" ht="55.8" customHeight="1">
      <c r="A35" s="82" t="s">
        <v>3043</v>
      </c>
      <c r="B35" s="82" t="s">
        <v>95</v>
      </c>
      <c r="C35" s="82">
        <v>92</v>
      </c>
      <c r="D35" s="82" t="s">
        <v>2984</v>
      </c>
      <c r="E35" s="82" t="s">
        <v>2985</v>
      </c>
      <c r="F35" s="82" t="str">
        <f>_xlfn.XLOOKUP(TRIM(B35), Inventory!A:A, Inventory!C:C, "")</f>
        <v>Gold Cup</v>
      </c>
    </row>
    <row r="36" spans="1:6" ht="55.8" customHeight="1">
      <c r="A36" s="82" t="s">
        <v>3043</v>
      </c>
      <c r="B36" s="82" t="s">
        <v>96</v>
      </c>
      <c r="C36" s="82">
        <v>48</v>
      </c>
      <c r="D36" s="82" t="s">
        <v>2984</v>
      </c>
      <c r="E36" s="82" t="s">
        <v>2985</v>
      </c>
      <c r="F36" s="82" t="str">
        <f>_xlfn.XLOOKUP(TRIM(B36), Inventory!A:A, Inventory!C:C, "")</f>
        <v>Gold Cup</v>
      </c>
    </row>
    <row r="37" spans="1:6" ht="55.8" customHeight="1">
      <c r="A37" s="82" t="s">
        <v>3043</v>
      </c>
      <c r="B37" s="82" t="s">
        <v>97</v>
      </c>
      <c r="C37" s="82">
        <v>44</v>
      </c>
      <c r="D37" s="82" t="s">
        <v>2984</v>
      </c>
      <c r="E37" s="82" t="s">
        <v>2985</v>
      </c>
      <c r="F37" s="82" t="str">
        <f>_xlfn.XLOOKUP(TRIM(B37), Inventory!A:A, Inventory!C:C, "")</f>
        <v>Gold Cup</v>
      </c>
    </row>
    <row r="38" spans="1:6" ht="55.8" customHeight="1">
      <c r="A38" s="82" t="s">
        <v>3043</v>
      </c>
      <c r="B38" s="82" t="s">
        <v>98</v>
      </c>
      <c r="C38" s="82">
        <v>10</v>
      </c>
      <c r="D38" s="82" t="s">
        <v>2984</v>
      </c>
      <c r="E38" s="82" t="s">
        <v>2985</v>
      </c>
      <c r="F38" s="82" t="str">
        <f>_xlfn.XLOOKUP(TRIM(B38), Inventory!A:A, Inventory!C:C, "")</f>
        <v>Gold Cup</v>
      </c>
    </row>
    <row r="39" spans="1:6" ht="55.8" customHeight="1">
      <c r="A39" s="82" t="s">
        <v>3043</v>
      </c>
      <c r="B39" s="82" t="s">
        <v>99</v>
      </c>
      <c r="C39" s="82">
        <v>36</v>
      </c>
      <c r="D39" s="82" t="s">
        <v>2984</v>
      </c>
      <c r="E39" s="82" t="s">
        <v>2985</v>
      </c>
      <c r="F39" s="82" t="str">
        <f>_xlfn.XLOOKUP(TRIM(B39), Inventory!A:A, Inventory!C:C, "")</f>
        <v>Tealights - Vases</v>
      </c>
    </row>
    <row r="40" spans="1:6" ht="55.8" customHeight="1">
      <c r="A40" s="82" t="s">
        <v>3043</v>
      </c>
      <c r="B40" s="82" t="s">
        <v>100</v>
      </c>
      <c r="C40" s="82">
        <v>15</v>
      </c>
      <c r="D40" s="82" t="s">
        <v>2984</v>
      </c>
      <c r="E40" s="82" t="s">
        <v>2985</v>
      </c>
      <c r="F40" s="82" t="str">
        <f>_xlfn.XLOOKUP(TRIM(B40), Inventory!A:A, Inventory!C:C, "")</f>
        <v>Medium Vase</v>
      </c>
    </row>
    <row r="41" spans="1:6" ht="55.8" customHeight="1">
      <c r="A41" s="82" t="s">
        <v>3043</v>
      </c>
      <c r="B41" s="82" t="s">
        <v>101</v>
      </c>
      <c r="C41" s="82">
        <v>64</v>
      </c>
      <c r="D41" s="82" t="s">
        <v>2984</v>
      </c>
      <c r="E41" s="82" t="s">
        <v>2985</v>
      </c>
      <c r="F41" s="82" t="str">
        <f>_xlfn.XLOOKUP(TRIM(B41), Inventory!A:A, Inventory!C:C, "")</f>
        <v>Medium Vase</v>
      </c>
    </row>
    <row r="42" spans="1:6" ht="55.8" customHeight="1">
      <c r="A42" s="82" t="s">
        <v>3043</v>
      </c>
      <c r="B42" s="82" t="s">
        <v>102</v>
      </c>
      <c r="C42" s="82">
        <v>7</v>
      </c>
      <c r="D42" s="82" t="s">
        <v>2984</v>
      </c>
      <c r="E42" s="82" t="s">
        <v>2985</v>
      </c>
      <c r="F42" s="82" t="str">
        <f>_xlfn.XLOOKUP(TRIM(B42), Inventory!A:A, Inventory!C:C, "")</f>
        <v>Medium Vase</v>
      </c>
    </row>
    <row r="43" spans="1:6" ht="55.8" customHeight="1">
      <c r="A43" s="82" t="s">
        <v>3043</v>
      </c>
      <c r="B43" s="82" t="s">
        <v>103</v>
      </c>
      <c r="C43" s="82">
        <v>5</v>
      </c>
      <c r="D43" s="82" t="s">
        <v>2984</v>
      </c>
      <c r="E43" s="82" t="s">
        <v>2985</v>
      </c>
      <c r="F43" s="82" t="str">
        <f>_xlfn.XLOOKUP(TRIM(B43), Inventory!A:A, Inventory!C:C, "")</f>
        <v>Medium Vase</v>
      </c>
    </row>
    <row r="44" spans="1:6" ht="55.8" customHeight="1">
      <c r="A44" s="82" t="s">
        <v>3043</v>
      </c>
      <c r="B44" s="82" t="s">
        <v>104</v>
      </c>
      <c r="C44" s="82">
        <v>7</v>
      </c>
      <c r="D44" s="82" t="s">
        <v>2984</v>
      </c>
      <c r="E44" s="82" t="s">
        <v>2985</v>
      </c>
      <c r="F44" s="82" t="str">
        <f>_xlfn.XLOOKUP(TRIM(B44), Inventory!A:A, Inventory!C:C, "")</f>
        <v>Medium Vase</v>
      </c>
    </row>
    <row r="45" spans="1:6" ht="55.8" customHeight="1">
      <c r="A45" s="82" t="s">
        <v>3043</v>
      </c>
      <c r="B45" s="82" t="s">
        <v>105</v>
      </c>
      <c r="C45" s="82">
        <v>14</v>
      </c>
      <c r="D45" s="82" t="s">
        <v>2984</v>
      </c>
      <c r="E45" s="82" t="s">
        <v>2985</v>
      </c>
      <c r="F45" s="82" t="str">
        <f>_xlfn.XLOOKUP(TRIM(B45), Inventory!A:A, Inventory!C:C, "")</f>
        <v>Medium Vase</v>
      </c>
    </row>
    <row r="46" spans="1:6" ht="55.8" customHeight="1">
      <c r="A46" s="82" t="s">
        <v>3043</v>
      </c>
      <c r="B46" s="82" t="s">
        <v>106</v>
      </c>
      <c r="C46" s="82">
        <v>7</v>
      </c>
      <c r="D46" s="82" t="s">
        <v>2984</v>
      </c>
      <c r="E46" s="82" t="s">
        <v>2985</v>
      </c>
      <c r="F46" s="82" t="str">
        <f>_xlfn.XLOOKUP(TRIM(B46), Inventory!A:A, Inventory!C:C, "")</f>
        <v>Medium Vase</v>
      </c>
    </row>
    <row r="47" spans="1:6" ht="55.8" customHeight="1">
      <c r="A47" s="82" t="s">
        <v>3043</v>
      </c>
      <c r="B47" s="82" t="s">
        <v>107</v>
      </c>
      <c r="C47" s="82">
        <v>7</v>
      </c>
      <c r="D47" s="82" t="s">
        <v>2984</v>
      </c>
      <c r="E47" s="82" t="s">
        <v>2985</v>
      </c>
      <c r="F47" s="82" t="str">
        <f>_xlfn.XLOOKUP(TRIM(B47), Inventory!A:A, Inventory!C:C, "")</f>
        <v>Medium Vase</v>
      </c>
    </row>
    <row r="48" spans="1:6" ht="55.8" customHeight="1">
      <c r="A48" s="82" t="s">
        <v>3043</v>
      </c>
      <c r="B48" s="82" t="s">
        <v>108</v>
      </c>
      <c r="C48" s="82">
        <v>13</v>
      </c>
      <c r="D48" s="82" t="s">
        <v>2984</v>
      </c>
      <c r="E48" s="82" t="s">
        <v>2985</v>
      </c>
      <c r="F48" s="82" t="str">
        <f>_xlfn.XLOOKUP(TRIM(B48), Inventory!A:A, Inventory!C:C, "")</f>
        <v>Medium Vase</v>
      </c>
    </row>
    <row r="49" spans="1:6" ht="55.8" customHeight="1">
      <c r="A49" s="82" t="s">
        <v>3043</v>
      </c>
      <c r="B49" s="82" t="s">
        <v>109</v>
      </c>
      <c r="C49" s="82">
        <v>85</v>
      </c>
      <c r="D49" s="82" t="s">
        <v>2984</v>
      </c>
      <c r="E49" s="82" t="s">
        <v>2985</v>
      </c>
      <c r="F49" s="82" t="str">
        <f>_xlfn.XLOOKUP(TRIM(B49), Inventory!A:A, Inventory!C:C, "")</f>
        <v>Medium Vase</v>
      </c>
    </row>
    <row r="50" spans="1:6" ht="55.8" customHeight="1">
      <c r="A50" s="82" t="s">
        <v>3043</v>
      </c>
      <c r="B50" s="82" t="s">
        <v>110</v>
      </c>
      <c r="C50" s="82">
        <v>0</v>
      </c>
      <c r="D50" s="82" t="s">
        <v>2984</v>
      </c>
      <c r="E50" s="82" t="s">
        <v>2985</v>
      </c>
      <c r="F50" s="82" t="str">
        <f>_xlfn.XLOOKUP(TRIM(B50), Inventory!A:A, Inventory!C:C, "")</f>
        <v>Wood</v>
      </c>
    </row>
    <row r="51" spans="1:6" ht="55.8" customHeight="1">
      <c r="A51" s="82" t="s">
        <v>3043</v>
      </c>
      <c r="B51" s="82" t="s">
        <v>111</v>
      </c>
      <c r="C51" s="82">
        <v>27</v>
      </c>
      <c r="D51" s="82" t="s">
        <v>2984</v>
      </c>
      <c r="E51" s="82" t="s">
        <v>2985</v>
      </c>
      <c r="F51" s="82" t="str">
        <f>_xlfn.XLOOKUP(TRIM(B51), Inventory!A:A, Inventory!C:C, "")</f>
        <v>Ceramic Vases</v>
      </c>
    </row>
    <row r="52" spans="1:6" ht="55.8" customHeight="1">
      <c r="A52" s="82" t="s">
        <v>3043</v>
      </c>
      <c r="B52" s="82" t="s">
        <v>112</v>
      </c>
      <c r="C52" s="82">
        <v>13</v>
      </c>
      <c r="D52" s="82" t="s">
        <v>2984</v>
      </c>
      <c r="E52" s="82" t="s">
        <v>2985</v>
      </c>
      <c r="F52" s="82" t="str">
        <f>_xlfn.XLOOKUP(TRIM(B52), Inventory!A:A, Inventory!C:C, "")</f>
        <v>Ceramic Vases</v>
      </c>
    </row>
    <row r="53" spans="1:6" ht="55.8" customHeight="1">
      <c r="A53" s="82" t="s">
        <v>3043</v>
      </c>
      <c r="B53" s="82" t="s">
        <v>113</v>
      </c>
      <c r="C53" s="82">
        <v>11</v>
      </c>
      <c r="D53" s="82" t="s">
        <v>2984</v>
      </c>
      <c r="E53" s="82" t="s">
        <v>2985</v>
      </c>
      <c r="F53" s="82" t="str">
        <f>_xlfn.XLOOKUP(TRIM(B53), Inventory!A:A, Inventory!C:C, "")</f>
        <v>Ceramic Vases</v>
      </c>
    </row>
    <row r="54" spans="1:6" ht="55.8" customHeight="1">
      <c r="A54" s="82" t="s">
        <v>3043</v>
      </c>
      <c r="B54" s="82" t="s">
        <v>114</v>
      </c>
      <c r="C54" s="82">
        <v>15</v>
      </c>
      <c r="D54" s="82" t="s">
        <v>2984</v>
      </c>
      <c r="E54" s="82" t="s">
        <v>2985</v>
      </c>
      <c r="F54" s="82" t="str">
        <f>_xlfn.XLOOKUP(TRIM(B54), Inventory!A:A, Inventory!C:C, "")</f>
        <v>Ceramic Vases</v>
      </c>
    </row>
    <row r="55" spans="1:6" ht="55.8" customHeight="1">
      <c r="A55" s="82" t="s">
        <v>3043</v>
      </c>
      <c r="B55" s="82" t="s">
        <v>115</v>
      </c>
      <c r="C55" s="82">
        <v>2</v>
      </c>
      <c r="D55" s="82" t="s">
        <v>2984</v>
      </c>
      <c r="E55" s="82" t="s">
        <v>2985</v>
      </c>
      <c r="F55" s="82" t="str">
        <f>_xlfn.XLOOKUP(TRIM(B55), Inventory!A:A, Inventory!C:C, "")</f>
        <v>Medium Vase</v>
      </c>
    </row>
    <row r="56" spans="1:6" ht="55.8" customHeight="1">
      <c r="A56" s="82" t="s">
        <v>3043</v>
      </c>
      <c r="B56" s="82" t="s">
        <v>116</v>
      </c>
      <c r="C56" s="82">
        <v>4</v>
      </c>
      <c r="D56" s="82" t="s">
        <v>2984</v>
      </c>
      <c r="E56" s="82" t="s">
        <v>2985</v>
      </c>
      <c r="F56" s="82" t="str">
        <f>_xlfn.XLOOKUP(TRIM(B56), Inventory!A:A, Inventory!C:C, "")</f>
        <v>Medium Vase</v>
      </c>
    </row>
    <row r="57" spans="1:6" ht="55.8" customHeight="1">
      <c r="A57" s="82" t="s">
        <v>3043</v>
      </c>
      <c r="B57" s="82" t="s">
        <v>117</v>
      </c>
      <c r="C57" s="82">
        <v>0</v>
      </c>
      <c r="D57" s="82" t="s">
        <v>2984</v>
      </c>
      <c r="E57" s="82" t="s">
        <v>2985</v>
      </c>
      <c r="F57" s="82" t="str">
        <f>_xlfn.XLOOKUP(TRIM(B57), Inventory!A:A, Inventory!C:C, "")</f>
        <v>Wood</v>
      </c>
    </row>
    <row r="58" spans="1:6" ht="55.8" customHeight="1">
      <c r="A58" s="82" t="s">
        <v>3043</v>
      </c>
      <c r="B58" s="82" t="s">
        <v>118</v>
      </c>
      <c r="C58" s="82">
        <v>16</v>
      </c>
      <c r="D58" s="82" t="s">
        <v>2984</v>
      </c>
      <c r="E58" s="82" t="s">
        <v>2985</v>
      </c>
      <c r="F58" s="82" t="str">
        <f>_xlfn.XLOOKUP(TRIM(B58), Inventory!A:A, Inventory!C:C, "")</f>
        <v>Ceramic Vases</v>
      </c>
    </row>
    <row r="59" spans="1:6" ht="55.8" customHeight="1">
      <c r="A59" s="82" t="s">
        <v>3043</v>
      </c>
      <c r="B59" s="82" t="s">
        <v>119</v>
      </c>
      <c r="C59" s="82">
        <v>20</v>
      </c>
      <c r="D59" s="82" t="s">
        <v>2984</v>
      </c>
      <c r="E59" s="82" t="s">
        <v>2985</v>
      </c>
      <c r="F59" s="82" t="str">
        <f>_xlfn.XLOOKUP(TRIM(B59), Inventory!A:A, Inventory!C:C, "")</f>
        <v>Ceramic Vases</v>
      </c>
    </row>
    <row r="60" spans="1:6" ht="55.8" customHeight="1">
      <c r="A60" s="82" t="s">
        <v>3043</v>
      </c>
      <c r="B60" s="82" t="s">
        <v>120</v>
      </c>
      <c r="C60" s="82">
        <v>10</v>
      </c>
      <c r="D60" s="82" t="s">
        <v>2984</v>
      </c>
      <c r="E60" s="82" t="s">
        <v>2985</v>
      </c>
      <c r="F60" s="82" t="str">
        <f>_xlfn.XLOOKUP(TRIM(B60), Inventory!A:A, Inventory!C:C, "")</f>
        <v>Ceramic Vases</v>
      </c>
    </row>
    <row r="61" spans="1:6" ht="55.8" customHeight="1">
      <c r="A61" s="82" t="s">
        <v>3043</v>
      </c>
      <c r="B61" s="82" t="s">
        <v>121</v>
      </c>
      <c r="C61" s="82">
        <v>15</v>
      </c>
      <c r="D61" s="82" t="s">
        <v>2984</v>
      </c>
      <c r="E61" s="82" t="s">
        <v>2985</v>
      </c>
      <c r="F61" s="82" t="str">
        <f>_xlfn.XLOOKUP(TRIM(B61), Inventory!A:A, Inventory!C:C, "")</f>
        <v>Ceramic Vases</v>
      </c>
    </row>
    <row r="62" spans="1:6" ht="55.8" customHeight="1">
      <c r="A62" s="82" t="s">
        <v>3043</v>
      </c>
      <c r="B62" s="82" t="s">
        <v>122</v>
      </c>
      <c r="C62" s="82">
        <v>12</v>
      </c>
      <c r="D62" s="82" t="s">
        <v>2984</v>
      </c>
      <c r="E62" s="82" t="s">
        <v>2985</v>
      </c>
      <c r="F62" s="82" t="str">
        <f>_xlfn.XLOOKUP(TRIM(B62), Inventory!A:A, Inventory!C:C, "")</f>
        <v>Ceramic Vases</v>
      </c>
    </row>
    <row r="63" spans="1:6" ht="55.8" customHeight="1">
      <c r="A63" s="82" t="s">
        <v>3043</v>
      </c>
      <c r="B63" s="82" t="s">
        <v>123</v>
      </c>
      <c r="C63" s="82">
        <v>42</v>
      </c>
      <c r="D63" s="82" t="s">
        <v>2984</v>
      </c>
      <c r="E63" s="82" t="s">
        <v>2985</v>
      </c>
      <c r="F63" s="82" t="str">
        <f>_xlfn.XLOOKUP(TRIM(B63), Inventory!A:A, Inventory!C:C, "")</f>
        <v>Ceramic Vases</v>
      </c>
    </row>
    <row r="64" spans="1:6" ht="55.8" customHeight="1">
      <c r="A64" s="82" t="s">
        <v>3043</v>
      </c>
      <c r="B64" s="82" t="s">
        <v>124</v>
      </c>
      <c r="C64" s="82">
        <v>39</v>
      </c>
      <c r="D64" s="82" t="s">
        <v>2984</v>
      </c>
      <c r="E64" s="82" t="s">
        <v>2985</v>
      </c>
      <c r="F64" s="82" t="str">
        <f>_xlfn.XLOOKUP(TRIM(B64), Inventory!A:A, Inventory!C:C, "")</f>
        <v>Plastic-Vase</v>
      </c>
    </row>
    <row r="65" spans="1:6" ht="55.8" customHeight="1">
      <c r="A65" s="82" t="s">
        <v>3043</v>
      </c>
      <c r="B65" s="82" t="s">
        <v>125</v>
      </c>
      <c r="C65" s="82">
        <v>19</v>
      </c>
      <c r="D65" s="82" t="s">
        <v>2984</v>
      </c>
      <c r="E65" s="82" t="s">
        <v>2985</v>
      </c>
      <c r="F65" s="82" t="str">
        <f>_xlfn.XLOOKUP(TRIM(B65), Inventory!A:A, Inventory!C:C, "")</f>
        <v>Ceramic Vases</v>
      </c>
    </row>
    <row r="66" spans="1:6" ht="55.8" customHeight="1">
      <c r="A66" s="82" t="s">
        <v>3043</v>
      </c>
      <c r="B66" s="82" t="s">
        <v>126</v>
      </c>
      <c r="C66" s="82">
        <v>16</v>
      </c>
      <c r="D66" s="82" t="s">
        <v>2984</v>
      </c>
      <c r="E66" s="82" t="s">
        <v>2985</v>
      </c>
      <c r="F66" s="82" t="str">
        <f>_xlfn.XLOOKUP(TRIM(B66), Inventory!A:A, Inventory!C:C, "")</f>
        <v>Ceramic Vases</v>
      </c>
    </row>
    <row r="67" spans="1:6" ht="55.8" customHeight="1">
      <c r="A67" s="82" t="s">
        <v>3043</v>
      </c>
      <c r="B67" s="82" t="s">
        <v>127</v>
      </c>
      <c r="C67" s="82">
        <v>30</v>
      </c>
      <c r="D67" s="82" t="s">
        <v>2984</v>
      </c>
      <c r="E67" s="82" t="s">
        <v>2985</v>
      </c>
      <c r="F67" s="82" t="str">
        <f>_xlfn.XLOOKUP(TRIM(B67), Inventory!A:A, Inventory!C:C, "")</f>
        <v>Stands</v>
      </c>
    </row>
    <row r="68" spans="1:6" ht="55.8" customHeight="1">
      <c r="A68" s="82" t="s">
        <v>3043</v>
      </c>
      <c r="B68" s="82" t="s">
        <v>128</v>
      </c>
      <c r="C68" s="82">
        <v>0</v>
      </c>
      <c r="D68" s="82" t="s">
        <v>2984</v>
      </c>
      <c r="E68" s="82" t="s">
        <v>2985</v>
      </c>
      <c r="F68" s="82" t="str">
        <f>_xlfn.XLOOKUP(TRIM(B68), Inventory!A:A, Inventory!C:C, "")</f>
        <v>Others</v>
      </c>
    </row>
    <row r="69" spans="1:6" ht="55.8" customHeight="1">
      <c r="A69" s="82" t="s">
        <v>3043</v>
      </c>
      <c r="B69" s="82" t="s">
        <v>129</v>
      </c>
      <c r="C69" s="82">
        <v>62</v>
      </c>
      <c r="D69" s="82" t="s">
        <v>2984</v>
      </c>
      <c r="E69" s="82" t="s">
        <v>2985</v>
      </c>
      <c r="F69" s="82" t="str">
        <f>_xlfn.XLOOKUP(TRIM(B69), Inventory!A:A, Inventory!C:C, "")</f>
        <v>Small-Vases</v>
      </c>
    </row>
    <row r="70" spans="1:6" ht="55.8" customHeight="1">
      <c r="A70" s="82" t="s">
        <v>3043</v>
      </c>
      <c r="B70" s="82" t="s">
        <v>130</v>
      </c>
      <c r="C70" s="82">
        <v>43</v>
      </c>
      <c r="D70" s="82" t="s">
        <v>2984</v>
      </c>
      <c r="E70" s="82" t="s">
        <v>2985</v>
      </c>
      <c r="F70" s="82" t="str">
        <f>_xlfn.XLOOKUP(TRIM(B70), Inventory!A:A, Inventory!C:C, "")</f>
        <v>Small-Vases</v>
      </c>
    </row>
    <row r="71" spans="1:6" ht="55.8" customHeight="1">
      <c r="A71" s="82" t="s">
        <v>3043</v>
      </c>
      <c r="B71" s="82" t="s">
        <v>131</v>
      </c>
      <c r="C71" s="82">
        <v>18</v>
      </c>
      <c r="D71" s="82" t="s">
        <v>2984</v>
      </c>
      <c r="E71" s="82" t="s">
        <v>2985</v>
      </c>
      <c r="F71" s="82" t="str">
        <f>_xlfn.XLOOKUP(TRIM(B71), Inventory!A:A, Inventory!C:C, "")</f>
        <v>Holder Candles</v>
      </c>
    </row>
    <row r="72" spans="1:6" ht="55.8" customHeight="1">
      <c r="A72" s="82" t="s">
        <v>3043</v>
      </c>
      <c r="B72" s="82" t="s">
        <v>132</v>
      </c>
      <c r="C72" s="82">
        <v>30</v>
      </c>
      <c r="D72" s="82" t="s">
        <v>2984</v>
      </c>
      <c r="E72" s="82" t="s">
        <v>2985</v>
      </c>
      <c r="F72" s="82" t="str">
        <f>_xlfn.XLOOKUP(TRIM(B72), Inventory!A:A, Inventory!C:C, "")</f>
        <v>Holder Candles</v>
      </c>
    </row>
    <row r="73" spans="1:6" ht="55.8" customHeight="1">
      <c r="A73" s="82" t="s">
        <v>3043</v>
      </c>
      <c r="B73" s="82" t="s">
        <v>133</v>
      </c>
      <c r="C73" s="82">
        <v>28</v>
      </c>
      <c r="D73" s="82" t="s">
        <v>2984</v>
      </c>
      <c r="E73" s="82" t="s">
        <v>2985</v>
      </c>
      <c r="F73" s="82" t="str">
        <f>_xlfn.XLOOKUP(TRIM(B73), Inventory!A:A, Inventory!C:C, "")</f>
        <v>Holder Candles</v>
      </c>
    </row>
    <row r="74" spans="1:6" ht="55.8" customHeight="1">
      <c r="A74" s="82" t="s">
        <v>3043</v>
      </c>
      <c r="B74" s="82" t="s">
        <v>134</v>
      </c>
      <c r="C74" s="82">
        <v>19</v>
      </c>
      <c r="D74" s="82" t="s">
        <v>2984</v>
      </c>
      <c r="E74" s="82" t="s">
        <v>2985</v>
      </c>
      <c r="F74" s="82" t="str">
        <f>_xlfn.XLOOKUP(TRIM(B74), Inventory!A:A, Inventory!C:C, "")</f>
        <v>Holder Candles</v>
      </c>
    </row>
    <row r="75" spans="1:6" ht="55.8" customHeight="1">
      <c r="A75" s="82" t="s">
        <v>3043</v>
      </c>
      <c r="B75" s="82" t="s">
        <v>135</v>
      </c>
      <c r="C75" s="82">
        <v>18</v>
      </c>
      <c r="D75" s="82" t="s">
        <v>2984</v>
      </c>
      <c r="E75" s="82" t="s">
        <v>2985</v>
      </c>
      <c r="F75" s="82" t="str">
        <f>_xlfn.XLOOKUP(TRIM(B75), Inventory!A:A, Inventory!C:C, "")</f>
        <v>Holder Candles</v>
      </c>
    </row>
    <row r="76" spans="1:6" ht="55.8" customHeight="1">
      <c r="A76" s="82" t="s">
        <v>3043</v>
      </c>
      <c r="B76" s="82" t="s">
        <v>136</v>
      </c>
      <c r="C76" s="82">
        <v>11</v>
      </c>
      <c r="D76" s="82" t="s">
        <v>2984</v>
      </c>
      <c r="E76" s="82" t="s">
        <v>2985</v>
      </c>
      <c r="F76" s="82" t="str">
        <f>_xlfn.XLOOKUP(TRIM(B76), Inventory!A:A, Inventory!C:C, "")</f>
        <v>Holder Candles</v>
      </c>
    </row>
    <row r="77" spans="1:6" ht="55.8" customHeight="1">
      <c r="A77" s="82" t="s">
        <v>3043</v>
      </c>
      <c r="B77" s="82" t="s">
        <v>137</v>
      </c>
      <c r="C77" s="82">
        <v>15</v>
      </c>
      <c r="D77" s="82" t="s">
        <v>2984</v>
      </c>
      <c r="E77" s="82" t="s">
        <v>2985</v>
      </c>
      <c r="F77" s="82" t="str">
        <f>_xlfn.XLOOKUP(TRIM(B77), Inventory!A:A, Inventory!C:C, "")</f>
        <v>Plastic-Vase</v>
      </c>
    </row>
    <row r="78" spans="1:6" ht="55.8" customHeight="1">
      <c r="A78" s="82" t="s">
        <v>3043</v>
      </c>
      <c r="B78" s="82" t="s">
        <v>138</v>
      </c>
      <c r="C78" s="82">
        <v>15</v>
      </c>
      <c r="D78" s="82" t="s">
        <v>2984</v>
      </c>
      <c r="E78" s="82" t="s">
        <v>2985</v>
      </c>
      <c r="F78" s="82" t="str">
        <f>_xlfn.XLOOKUP(TRIM(B78), Inventory!A:A, Inventory!C:C, "")</f>
        <v>Plastic-Vase</v>
      </c>
    </row>
    <row r="79" spans="1:6" ht="55.8" customHeight="1">
      <c r="A79" s="82" t="s">
        <v>3043</v>
      </c>
      <c r="B79" s="82" t="s">
        <v>139</v>
      </c>
      <c r="C79" s="82">
        <v>15</v>
      </c>
      <c r="D79" s="82" t="s">
        <v>2984</v>
      </c>
      <c r="E79" s="82" t="s">
        <v>2985</v>
      </c>
      <c r="F79" s="82" t="str">
        <f>_xlfn.XLOOKUP(TRIM(B79), Inventory!A:A, Inventory!C:C, "")</f>
        <v>Plastic-Vase</v>
      </c>
    </row>
    <row r="80" spans="1:6" ht="55.8" customHeight="1">
      <c r="A80" s="82" t="s">
        <v>3043</v>
      </c>
      <c r="B80" s="82" t="s">
        <v>140</v>
      </c>
      <c r="C80" s="82">
        <v>15</v>
      </c>
      <c r="D80" s="82" t="s">
        <v>2984</v>
      </c>
      <c r="E80" s="82" t="s">
        <v>2985</v>
      </c>
      <c r="F80" s="82" t="str">
        <f>_xlfn.XLOOKUP(TRIM(B80), Inventory!A:A, Inventory!C:C, "")</f>
        <v>Plastic-Vase</v>
      </c>
    </row>
    <row r="81" spans="1:6" ht="55.8" customHeight="1">
      <c r="A81" s="82" t="s">
        <v>3043</v>
      </c>
      <c r="B81" s="82" t="s">
        <v>141</v>
      </c>
      <c r="C81" s="82">
        <v>15</v>
      </c>
      <c r="D81" s="82" t="s">
        <v>2984</v>
      </c>
      <c r="E81" s="82" t="s">
        <v>2985</v>
      </c>
      <c r="F81" s="82" t="str">
        <f>_xlfn.XLOOKUP(TRIM(B81), Inventory!A:A, Inventory!C:C, "")</f>
        <v>Plastic-Vase</v>
      </c>
    </row>
    <row r="82" spans="1:6" ht="55.8" customHeight="1">
      <c r="A82" s="82" t="s">
        <v>3043</v>
      </c>
      <c r="B82" s="82" t="s">
        <v>142</v>
      </c>
      <c r="C82" s="82">
        <v>15</v>
      </c>
      <c r="D82" s="82" t="s">
        <v>2984</v>
      </c>
      <c r="E82" s="82" t="s">
        <v>2985</v>
      </c>
      <c r="F82" s="82" t="str">
        <f>_xlfn.XLOOKUP(TRIM(B82), Inventory!A:A, Inventory!C:C, "")</f>
        <v>Plastic-Vase</v>
      </c>
    </row>
    <row r="83" spans="1:6" ht="55.8" customHeight="1">
      <c r="A83" s="82" t="s">
        <v>3043</v>
      </c>
      <c r="B83" s="82" t="s">
        <v>143</v>
      </c>
      <c r="C83" s="82">
        <v>15</v>
      </c>
      <c r="D83" s="82" t="s">
        <v>2984</v>
      </c>
      <c r="E83" s="82" t="s">
        <v>2985</v>
      </c>
      <c r="F83" s="82" t="str">
        <f>_xlfn.XLOOKUP(TRIM(B83), Inventory!A:A, Inventory!C:C, "")</f>
        <v>Plastic-Vase</v>
      </c>
    </row>
    <row r="84" spans="1:6" ht="55.8" customHeight="1">
      <c r="A84" s="82" t="s">
        <v>3043</v>
      </c>
      <c r="B84" s="82" t="s">
        <v>144</v>
      </c>
      <c r="C84" s="82">
        <v>7</v>
      </c>
      <c r="D84" s="82" t="s">
        <v>2984</v>
      </c>
      <c r="E84" s="82" t="s">
        <v>2985</v>
      </c>
      <c r="F84" s="82" t="str">
        <f>_xlfn.XLOOKUP(TRIM(B84), Inventory!A:A, Inventory!C:C, "")</f>
        <v>Stands</v>
      </c>
    </row>
    <row r="85" spans="1:6" ht="55.8" customHeight="1">
      <c r="A85" s="82" t="s">
        <v>3043</v>
      </c>
      <c r="B85" s="82" t="s">
        <v>145</v>
      </c>
      <c r="C85" s="82">
        <v>14</v>
      </c>
      <c r="D85" s="82" t="s">
        <v>2984</v>
      </c>
      <c r="E85" s="82" t="s">
        <v>2985</v>
      </c>
      <c r="F85" s="82" t="str">
        <f>_xlfn.XLOOKUP(TRIM(B85), Inventory!A:A, Inventory!C:C, "")</f>
        <v>Stands</v>
      </c>
    </row>
    <row r="86" spans="1:6" ht="55.8" customHeight="1">
      <c r="A86" s="82" t="s">
        <v>3043</v>
      </c>
      <c r="B86" s="82" t="s">
        <v>146</v>
      </c>
      <c r="C86" s="82">
        <v>15</v>
      </c>
      <c r="D86" s="82" t="s">
        <v>2984</v>
      </c>
      <c r="E86" s="82" t="s">
        <v>2985</v>
      </c>
      <c r="F86" s="82" t="str">
        <f>_xlfn.XLOOKUP(TRIM(B86), Inventory!A:A, Inventory!C:C, "")</f>
        <v>Stands</v>
      </c>
    </row>
    <row r="87" spans="1:6" ht="55.8" customHeight="1">
      <c r="A87" s="82" t="s">
        <v>3043</v>
      </c>
      <c r="B87" s="82" t="s">
        <v>147</v>
      </c>
      <c r="C87" s="82">
        <v>90</v>
      </c>
      <c r="D87" s="82" t="s">
        <v>2984</v>
      </c>
      <c r="E87" s="82" t="s">
        <v>2985</v>
      </c>
      <c r="F87" s="82" t="str">
        <f>_xlfn.XLOOKUP(TRIM(B87), Inventory!A:A, Inventory!C:C, "")</f>
        <v>Ceramic Vases</v>
      </c>
    </row>
    <row r="88" spans="1:6" ht="55.8" customHeight="1">
      <c r="A88" s="82" t="s">
        <v>3043</v>
      </c>
      <c r="B88" s="82" t="s">
        <v>148</v>
      </c>
      <c r="C88" s="82">
        <v>90</v>
      </c>
      <c r="D88" s="82" t="s">
        <v>2984</v>
      </c>
      <c r="E88" s="82" t="s">
        <v>2985</v>
      </c>
      <c r="F88" s="82" t="str">
        <f>_xlfn.XLOOKUP(TRIM(B88), Inventory!A:A, Inventory!C:C, "")</f>
        <v>Ceramic Vases</v>
      </c>
    </row>
    <row r="89" spans="1:6" ht="55.8" customHeight="1">
      <c r="A89" s="82" t="s">
        <v>3043</v>
      </c>
      <c r="B89" s="82" t="s">
        <v>149</v>
      </c>
      <c r="C89" s="82">
        <v>9</v>
      </c>
      <c r="D89" s="82" t="s">
        <v>2984</v>
      </c>
      <c r="E89" s="82" t="s">
        <v>2985</v>
      </c>
      <c r="F89" s="82" t="str">
        <f>_xlfn.XLOOKUP(TRIM(B89), Inventory!A:A, Inventory!C:C, "")</f>
        <v>Holder Candles</v>
      </c>
    </row>
    <row r="90" spans="1:6" ht="55.8" customHeight="1">
      <c r="A90" s="82" t="s">
        <v>3043</v>
      </c>
      <c r="B90" s="82" t="s">
        <v>150</v>
      </c>
      <c r="C90" s="82">
        <v>8</v>
      </c>
      <c r="D90" s="82" t="s">
        <v>2984</v>
      </c>
      <c r="E90" s="82" t="s">
        <v>2985</v>
      </c>
      <c r="F90" s="82" t="str">
        <f>_xlfn.XLOOKUP(TRIM(B90), Inventory!A:A, Inventory!C:C, "")</f>
        <v>Holder Candles</v>
      </c>
    </row>
    <row r="91" spans="1:6" ht="55.8" customHeight="1">
      <c r="A91" s="82" t="s">
        <v>3043</v>
      </c>
      <c r="B91" s="82" t="s">
        <v>151</v>
      </c>
      <c r="C91" s="82">
        <v>9</v>
      </c>
      <c r="D91" s="82" t="s">
        <v>2984</v>
      </c>
      <c r="E91" s="82" t="s">
        <v>2985</v>
      </c>
      <c r="F91" s="82" t="str">
        <f>_xlfn.XLOOKUP(TRIM(B91), Inventory!A:A, Inventory!C:C, "")</f>
        <v>Holder Candles</v>
      </c>
    </row>
    <row r="92" spans="1:6" ht="55.8" customHeight="1">
      <c r="A92" s="82" t="s">
        <v>3043</v>
      </c>
      <c r="B92" s="82" t="s">
        <v>152</v>
      </c>
      <c r="C92" s="82">
        <v>0</v>
      </c>
      <c r="D92" s="82" t="s">
        <v>2984</v>
      </c>
      <c r="E92" s="82" t="s">
        <v>2985</v>
      </c>
      <c r="F92" s="82" t="str">
        <f>_xlfn.XLOOKUP(TRIM(B92), Inventory!A:A, Inventory!C:C, "")</f>
        <v>Others</v>
      </c>
    </row>
    <row r="93" spans="1:6" ht="55.8" customHeight="1">
      <c r="A93" s="82" t="s">
        <v>3043</v>
      </c>
      <c r="B93" s="82" t="s">
        <v>153</v>
      </c>
      <c r="C93" s="82">
        <v>60</v>
      </c>
      <c r="D93" s="82" t="s">
        <v>2984</v>
      </c>
      <c r="E93" s="82" t="s">
        <v>2985</v>
      </c>
      <c r="F93" s="82" t="str">
        <f>_xlfn.XLOOKUP(TRIM(B93), Inventory!A:A, Inventory!C:C, "")</f>
        <v>Holder Candles</v>
      </c>
    </row>
    <row r="94" spans="1:6" ht="55.8" customHeight="1">
      <c r="A94" s="82" t="s">
        <v>3043</v>
      </c>
      <c r="B94" s="82" t="s">
        <v>154</v>
      </c>
      <c r="C94" s="82">
        <v>49</v>
      </c>
      <c r="D94" s="82" t="s">
        <v>2984</v>
      </c>
      <c r="E94" s="82" t="s">
        <v>2985</v>
      </c>
      <c r="F94" s="82" t="str">
        <f>_xlfn.XLOOKUP(TRIM(B94), Inventory!A:A, Inventory!C:C, "")</f>
        <v>Holder Candles</v>
      </c>
    </row>
    <row r="95" spans="1:6" ht="55.8" customHeight="1">
      <c r="A95" s="82" t="s">
        <v>3043</v>
      </c>
      <c r="B95" s="82" t="s">
        <v>155</v>
      </c>
      <c r="C95" s="82">
        <v>68</v>
      </c>
      <c r="D95" s="82" t="s">
        <v>2984</v>
      </c>
      <c r="E95" s="82" t="s">
        <v>2985</v>
      </c>
      <c r="F95" s="82" t="str">
        <f>_xlfn.XLOOKUP(TRIM(B95), Inventory!A:A, Inventory!C:C, "")</f>
        <v>Holder Candles</v>
      </c>
    </row>
    <row r="96" spans="1:6" ht="55.8" customHeight="1">
      <c r="A96" s="82" t="s">
        <v>3043</v>
      </c>
      <c r="B96" s="82" t="s">
        <v>156</v>
      </c>
      <c r="C96" s="82">
        <v>14</v>
      </c>
      <c r="D96" s="82" t="s">
        <v>2984</v>
      </c>
      <c r="E96" s="82" t="s">
        <v>2985</v>
      </c>
      <c r="F96" s="82" t="str">
        <f>_xlfn.XLOOKUP(TRIM(B96), Inventory!A:A, Inventory!C:C, "")</f>
        <v>Small-Vases</v>
      </c>
    </row>
    <row r="97" spans="1:6" ht="55.8" customHeight="1">
      <c r="A97" s="82" t="s">
        <v>3043</v>
      </c>
      <c r="B97" s="82" t="s">
        <v>157</v>
      </c>
      <c r="C97" s="82">
        <v>19</v>
      </c>
      <c r="D97" s="82" t="s">
        <v>2984</v>
      </c>
      <c r="E97" s="82" t="s">
        <v>2985</v>
      </c>
      <c r="F97" s="82" t="str">
        <f>_xlfn.XLOOKUP(TRIM(B97), Inventory!A:A, Inventory!C:C, "")</f>
        <v>Small-Vases</v>
      </c>
    </row>
    <row r="98" spans="1:6" ht="55.8" customHeight="1">
      <c r="A98" s="82" t="s">
        <v>3043</v>
      </c>
      <c r="B98" s="82" t="s">
        <v>158</v>
      </c>
      <c r="C98" s="82">
        <v>15</v>
      </c>
      <c r="D98" s="82" t="s">
        <v>2984</v>
      </c>
      <c r="E98" s="82" t="s">
        <v>2985</v>
      </c>
      <c r="F98" s="82" t="str">
        <f>_xlfn.XLOOKUP(TRIM(B98), Inventory!A:A, Inventory!C:C, "")</f>
        <v>Small-Vases</v>
      </c>
    </row>
    <row r="99" spans="1:6" ht="55.8" customHeight="1">
      <c r="A99" s="82" t="s">
        <v>3043</v>
      </c>
      <c r="B99" s="82" t="s">
        <v>159</v>
      </c>
      <c r="C99" s="82">
        <v>25</v>
      </c>
      <c r="D99" s="82" t="s">
        <v>2984</v>
      </c>
      <c r="E99" s="82" t="s">
        <v>2985</v>
      </c>
      <c r="F99" s="82" t="str">
        <f>_xlfn.XLOOKUP(TRIM(B99), Inventory!A:A, Inventory!C:C, "")</f>
        <v>Holder Candles</v>
      </c>
    </row>
    <row r="100" spans="1:6" ht="55.8" customHeight="1">
      <c r="A100" s="82" t="s">
        <v>3043</v>
      </c>
      <c r="B100" s="82" t="s">
        <v>160</v>
      </c>
      <c r="C100" s="82">
        <v>25</v>
      </c>
      <c r="D100" s="82" t="s">
        <v>2984</v>
      </c>
      <c r="E100" s="82" t="s">
        <v>2985</v>
      </c>
      <c r="F100" s="82" t="str">
        <f>_xlfn.XLOOKUP(TRIM(B100), Inventory!A:A, Inventory!C:C, "")</f>
        <v>Holder Candles</v>
      </c>
    </row>
    <row r="101" spans="1:6" ht="55.8" customHeight="1">
      <c r="A101" s="82" t="s">
        <v>3043</v>
      </c>
      <c r="B101" s="82" t="s">
        <v>161</v>
      </c>
      <c r="C101" s="82">
        <v>16</v>
      </c>
      <c r="D101" s="82" t="s">
        <v>2984</v>
      </c>
      <c r="E101" s="82" t="s">
        <v>2985</v>
      </c>
      <c r="F101" s="82" t="str">
        <f>_xlfn.XLOOKUP(TRIM(B101), Inventory!A:A, Inventory!C:C, "")</f>
        <v>Holder Candles</v>
      </c>
    </row>
    <row r="102" spans="1:6" ht="55.8" customHeight="1">
      <c r="A102" s="82" t="s">
        <v>3043</v>
      </c>
      <c r="B102" s="82" t="s">
        <v>162</v>
      </c>
      <c r="C102" s="82">
        <v>47</v>
      </c>
      <c r="D102" s="82" t="s">
        <v>2984</v>
      </c>
      <c r="E102" s="82" t="s">
        <v>2985</v>
      </c>
      <c r="F102" s="82" t="str">
        <f>_xlfn.XLOOKUP(TRIM(B102), Inventory!A:A, Inventory!C:C, "")</f>
        <v>Fakhar</v>
      </c>
    </row>
    <row r="103" spans="1:6" ht="55.8" customHeight="1">
      <c r="A103" s="82" t="s">
        <v>3043</v>
      </c>
      <c r="B103" s="82" t="s">
        <v>163</v>
      </c>
      <c r="C103" s="82">
        <v>21</v>
      </c>
      <c r="D103" s="82" t="s">
        <v>2984</v>
      </c>
      <c r="E103" s="82" t="s">
        <v>2985</v>
      </c>
      <c r="F103" s="82" t="str">
        <f>_xlfn.XLOOKUP(TRIM(B103), Inventory!A:A, Inventory!C:C, "")</f>
        <v>Fakhar</v>
      </c>
    </row>
    <row r="104" spans="1:6" ht="55.8" customHeight="1">
      <c r="A104" s="82" t="s">
        <v>3043</v>
      </c>
      <c r="B104" s="82" t="s">
        <v>164</v>
      </c>
      <c r="C104" s="82">
        <v>23</v>
      </c>
      <c r="D104" s="82" t="s">
        <v>2984</v>
      </c>
      <c r="E104" s="82" t="s">
        <v>2985</v>
      </c>
      <c r="F104" s="82" t="str">
        <f>_xlfn.XLOOKUP(TRIM(B104), Inventory!A:A, Inventory!C:C, "")</f>
        <v>Fakhar</v>
      </c>
    </row>
    <row r="105" spans="1:6" ht="55.8" customHeight="1">
      <c r="A105" s="82" t="s">
        <v>3043</v>
      </c>
      <c r="B105" s="82" t="s">
        <v>165</v>
      </c>
      <c r="C105" s="82">
        <v>17</v>
      </c>
      <c r="D105" s="82" t="s">
        <v>2984</v>
      </c>
      <c r="E105" s="82" t="s">
        <v>2985</v>
      </c>
      <c r="F105" s="82" t="str">
        <f>_xlfn.XLOOKUP(TRIM(B105), Inventory!A:A, Inventory!C:C, "")</f>
        <v>Fakhar</v>
      </c>
    </row>
    <row r="106" spans="1:6" ht="55.8" customHeight="1">
      <c r="A106" s="82" t="s">
        <v>3043</v>
      </c>
      <c r="B106" s="82" t="s">
        <v>166</v>
      </c>
      <c r="C106" s="82">
        <v>13</v>
      </c>
      <c r="D106" s="82" t="s">
        <v>2984</v>
      </c>
      <c r="E106" s="82" t="s">
        <v>2985</v>
      </c>
      <c r="F106" s="82" t="str">
        <f>_xlfn.XLOOKUP(TRIM(B106), Inventory!A:A, Inventory!C:C, "")</f>
        <v>Fakhar</v>
      </c>
    </row>
    <row r="107" spans="1:6" ht="55.8" customHeight="1">
      <c r="A107" s="82" t="s">
        <v>3043</v>
      </c>
      <c r="B107" s="82" t="s">
        <v>167</v>
      </c>
      <c r="C107" s="82">
        <v>19</v>
      </c>
      <c r="D107" s="82" t="s">
        <v>2984</v>
      </c>
      <c r="E107" s="82" t="s">
        <v>2985</v>
      </c>
      <c r="F107" s="82" t="str">
        <f>_xlfn.XLOOKUP(TRIM(B107), Inventory!A:A, Inventory!C:C, "")</f>
        <v>Fakhar</v>
      </c>
    </row>
    <row r="108" spans="1:6" ht="55.8" customHeight="1">
      <c r="A108" s="82" t="s">
        <v>3043</v>
      </c>
      <c r="B108" s="82" t="s">
        <v>168</v>
      </c>
      <c r="C108" s="82">
        <v>47</v>
      </c>
      <c r="D108" s="82" t="s">
        <v>2984</v>
      </c>
      <c r="E108" s="82" t="s">
        <v>2985</v>
      </c>
      <c r="F108" s="82" t="str">
        <f>_xlfn.XLOOKUP(TRIM(B108), Inventory!A:A, Inventory!C:C, "")</f>
        <v>Fakhar</v>
      </c>
    </row>
    <row r="109" spans="1:6" ht="55.8" customHeight="1">
      <c r="A109" s="82" t="s">
        <v>3043</v>
      </c>
      <c r="B109" s="82" t="s">
        <v>169</v>
      </c>
      <c r="C109" s="82">
        <v>28</v>
      </c>
      <c r="D109" s="82" t="s">
        <v>2984</v>
      </c>
      <c r="E109" s="82" t="s">
        <v>2985</v>
      </c>
      <c r="F109" s="82" t="str">
        <f>_xlfn.XLOOKUP(TRIM(B109), Inventory!A:A, Inventory!C:C, "")</f>
        <v>Fakhar</v>
      </c>
    </row>
    <row r="110" spans="1:6" ht="55.8" customHeight="1">
      <c r="A110" s="82" t="s">
        <v>3043</v>
      </c>
      <c r="B110" s="82" t="s">
        <v>170</v>
      </c>
      <c r="C110" s="82">
        <v>25</v>
      </c>
      <c r="D110" s="82" t="s">
        <v>2984</v>
      </c>
      <c r="E110" s="82" t="s">
        <v>2985</v>
      </c>
      <c r="F110" s="82" t="str">
        <f>_xlfn.XLOOKUP(TRIM(B110), Inventory!A:A, Inventory!C:C, "")</f>
        <v>Fakhar</v>
      </c>
    </row>
    <row r="111" spans="1:6" ht="55.8" customHeight="1">
      <c r="A111" s="82" t="s">
        <v>3043</v>
      </c>
      <c r="B111" s="82" t="s">
        <v>171</v>
      </c>
      <c r="C111" s="82">
        <v>11</v>
      </c>
      <c r="D111" s="82" t="s">
        <v>2984</v>
      </c>
      <c r="E111" s="82" t="s">
        <v>2985</v>
      </c>
      <c r="F111" s="82" t="str">
        <f>_xlfn.XLOOKUP(TRIM(B111), Inventory!A:A, Inventory!C:C, "")</f>
        <v>Fakhar</v>
      </c>
    </row>
    <row r="112" spans="1:6" ht="55.8" customHeight="1">
      <c r="A112" s="82" t="s">
        <v>3043</v>
      </c>
      <c r="B112" s="82" t="s">
        <v>172</v>
      </c>
      <c r="C112" s="82">
        <v>22</v>
      </c>
      <c r="D112" s="82" t="s">
        <v>2984</v>
      </c>
      <c r="E112" s="82" t="s">
        <v>2985</v>
      </c>
      <c r="F112" s="82" t="str">
        <f>_xlfn.XLOOKUP(TRIM(B112), Inventory!A:A, Inventory!C:C, "")</f>
        <v>Fakhar</v>
      </c>
    </row>
    <row r="113" spans="1:6" ht="55.8" customHeight="1">
      <c r="A113" s="82" t="s">
        <v>3043</v>
      </c>
      <c r="B113" s="82" t="s">
        <v>173</v>
      </c>
      <c r="C113" s="82">
        <v>40</v>
      </c>
      <c r="D113" s="82" t="s">
        <v>2984</v>
      </c>
      <c r="E113" s="82" t="s">
        <v>2985</v>
      </c>
      <c r="F113" s="82" t="str">
        <f>_xlfn.XLOOKUP(TRIM(B113), Inventory!A:A, Inventory!C:C, "")</f>
        <v>Fakhar</v>
      </c>
    </row>
    <row r="114" spans="1:6" ht="55.8" customHeight="1">
      <c r="A114" s="82" t="s">
        <v>3043</v>
      </c>
      <c r="B114" s="82" t="s">
        <v>174</v>
      </c>
      <c r="C114" s="82">
        <v>22</v>
      </c>
      <c r="D114" s="82" t="s">
        <v>2984</v>
      </c>
      <c r="E114" s="82" t="s">
        <v>2985</v>
      </c>
      <c r="F114" s="82" t="str">
        <f>_xlfn.XLOOKUP(TRIM(B114), Inventory!A:A, Inventory!C:C, "")</f>
        <v>Fakhar</v>
      </c>
    </row>
    <row r="115" spans="1:6" ht="55.8" customHeight="1">
      <c r="A115" s="82" t="s">
        <v>3043</v>
      </c>
      <c r="B115" s="82" t="s">
        <v>175</v>
      </c>
      <c r="C115" s="82">
        <v>9</v>
      </c>
      <c r="D115" s="82" t="s">
        <v>2984</v>
      </c>
      <c r="E115" s="82" t="s">
        <v>2985</v>
      </c>
      <c r="F115" s="82" t="str">
        <f>_xlfn.XLOOKUP(TRIM(B115), Inventory!A:A, Inventory!C:C, "")</f>
        <v>Fakhar</v>
      </c>
    </row>
    <row r="116" spans="1:6" ht="55.8" customHeight="1">
      <c r="A116" s="82" t="s">
        <v>3043</v>
      </c>
      <c r="B116" s="82" t="s">
        <v>176</v>
      </c>
      <c r="C116" s="82">
        <v>21</v>
      </c>
      <c r="D116" s="82" t="s">
        <v>2984</v>
      </c>
      <c r="E116" s="82" t="s">
        <v>2985</v>
      </c>
      <c r="F116" s="82" t="str">
        <f>_xlfn.XLOOKUP(TRIM(B116), Inventory!A:A, Inventory!C:C, "")</f>
        <v>Holder Candles</v>
      </c>
    </row>
    <row r="117" spans="1:6" ht="55.8" customHeight="1">
      <c r="A117" s="82" t="s">
        <v>3043</v>
      </c>
      <c r="B117" s="82" t="s">
        <v>177</v>
      </c>
      <c r="C117" s="82">
        <v>30</v>
      </c>
      <c r="D117" s="82" t="s">
        <v>2984</v>
      </c>
      <c r="E117" s="82" t="s">
        <v>2985</v>
      </c>
      <c r="F117" s="82" t="str">
        <f>_xlfn.XLOOKUP(TRIM(B117), Inventory!A:A, Inventory!C:C, "")</f>
        <v>Sets-MiniCandles</v>
      </c>
    </row>
    <row r="118" spans="1:6" ht="55.8" customHeight="1">
      <c r="A118" s="82" t="s">
        <v>3043</v>
      </c>
      <c r="B118" s="82" t="s">
        <v>178</v>
      </c>
      <c r="C118" s="82">
        <v>40</v>
      </c>
      <c r="D118" s="82" t="s">
        <v>2984</v>
      </c>
      <c r="E118" s="82" t="s">
        <v>2985</v>
      </c>
      <c r="F118" s="82" t="str">
        <f>_xlfn.XLOOKUP(TRIM(B118), Inventory!A:A, Inventory!C:C, "")</f>
        <v>Sets-MiniCandles</v>
      </c>
    </row>
    <row r="119" spans="1:6" ht="55.8" customHeight="1">
      <c r="A119" s="82" t="s">
        <v>3043</v>
      </c>
      <c r="B119" s="82" t="s">
        <v>179</v>
      </c>
      <c r="C119" s="82">
        <v>25</v>
      </c>
      <c r="D119" s="82" t="s">
        <v>2984</v>
      </c>
      <c r="E119" s="82" t="s">
        <v>2985</v>
      </c>
      <c r="F119" s="82" t="str">
        <f>_xlfn.XLOOKUP(TRIM(B119), Inventory!A:A, Inventory!C:C, "")</f>
        <v>Sets-MiniCandles</v>
      </c>
    </row>
    <row r="120" spans="1:6" ht="55.8" customHeight="1">
      <c r="A120" s="82" t="s">
        <v>3043</v>
      </c>
      <c r="B120" s="82" t="s">
        <v>180</v>
      </c>
      <c r="C120" s="82">
        <v>40</v>
      </c>
      <c r="D120" s="82" t="s">
        <v>2984</v>
      </c>
      <c r="E120" s="82" t="s">
        <v>2985</v>
      </c>
      <c r="F120" s="82" t="str">
        <f>_xlfn.XLOOKUP(TRIM(B120), Inventory!A:A, Inventory!C:C, "")</f>
        <v>Sets-MiniCandles</v>
      </c>
    </row>
    <row r="121" spans="1:6" ht="55.8" customHeight="1">
      <c r="A121" s="82" t="s">
        <v>3043</v>
      </c>
      <c r="B121" s="82" t="s">
        <v>181</v>
      </c>
      <c r="C121" s="82">
        <v>13</v>
      </c>
      <c r="D121" s="82" t="s">
        <v>2984</v>
      </c>
      <c r="E121" s="82" t="s">
        <v>2985</v>
      </c>
      <c r="F121" s="82" t="str">
        <f>_xlfn.XLOOKUP(TRIM(B121), Inventory!A:A, Inventory!C:C, "")</f>
        <v>Sets-MiniCandles</v>
      </c>
    </row>
    <row r="122" spans="1:6" ht="55.8" customHeight="1">
      <c r="A122" s="82" t="s">
        <v>3043</v>
      </c>
      <c r="B122" s="82" t="s">
        <v>182</v>
      </c>
      <c r="C122" s="82">
        <v>17</v>
      </c>
      <c r="D122" s="82" t="s">
        <v>2984</v>
      </c>
      <c r="E122" s="82" t="s">
        <v>2985</v>
      </c>
      <c r="F122" s="82" t="str">
        <f>_xlfn.XLOOKUP(TRIM(B122), Inventory!A:A, Inventory!C:C, "")</f>
        <v>Sets-MiniCandles</v>
      </c>
    </row>
    <row r="123" spans="1:6" ht="55.8" customHeight="1">
      <c r="A123" s="82" t="s">
        <v>3043</v>
      </c>
      <c r="B123" s="82" t="s">
        <v>183</v>
      </c>
      <c r="C123" s="82">
        <v>20</v>
      </c>
      <c r="D123" s="82" t="s">
        <v>2984</v>
      </c>
      <c r="E123" s="82" t="s">
        <v>2985</v>
      </c>
      <c r="F123" s="82" t="str">
        <f>_xlfn.XLOOKUP(TRIM(B123), Inventory!A:A, Inventory!C:C, "")</f>
        <v>Sets-MiniCandles</v>
      </c>
    </row>
    <row r="124" spans="1:6" ht="55.8" customHeight="1">
      <c r="A124" s="82" t="s">
        <v>3043</v>
      </c>
      <c r="B124" s="82" t="s">
        <v>184</v>
      </c>
      <c r="C124" s="82">
        <v>8</v>
      </c>
      <c r="D124" s="82" t="s">
        <v>2984</v>
      </c>
      <c r="E124" s="82" t="s">
        <v>2985</v>
      </c>
      <c r="F124" s="82" t="str">
        <f>_xlfn.XLOOKUP(TRIM(B124), Inventory!A:A, Inventory!C:C, "")</f>
        <v>Sets-MiniCandles</v>
      </c>
    </row>
    <row r="125" spans="1:6" ht="55.8" customHeight="1">
      <c r="A125" s="82" t="s">
        <v>3043</v>
      </c>
      <c r="B125" s="82" t="s">
        <v>185</v>
      </c>
      <c r="C125" s="82">
        <v>19</v>
      </c>
      <c r="D125" s="82" t="s">
        <v>2984</v>
      </c>
      <c r="E125" s="82" t="s">
        <v>2985</v>
      </c>
      <c r="F125" s="82" t="str">
        <f>_xlfn.XLOOKUP(TRIM(B125), Inventory!A:A, Inventory!C:C, "")</f>
        <v>Sets-MiniCandles</v>
      </c>
    </row>
    <row r="126" spans="1:6" ht="55.8" customHeight="1">
      <c r="A126" s="82" t="s">
        <v>3043</v>
      </c>
      <c r="B126" s="82" t="s">
        <v>186</v>
      </c>
      <c r="C126" s="82">
        <v>50</v>
      </c>
      <c r="D126" s="82" t="s">
        <v>2984</v>
      </c>
      <c r="E126" s="82" t="s">
        <v>2985</v>
      </c>
      <c r="F126" s="82" t="str">
        <f>_xlfn.XLOOKUP(TRIM(B126), Inventory!A:A, Inventory!C:C, "")</f>
        <v>Plastic-Vase</v>
      </c>
    </row>
    <row r="127" spans="1:6" ht="55.8" customHeight="1">
      <c r="A127" s="82" t="s">
        <v>3043</v>
      </c>
      <c r="B127" s="82" t="s">
        <v>187</v>
      </c>
      <c r="C127" s="82">
        <v>0</v>
      </c>
      <c r="D127" s="82" t="s">
        <v>2984</v>
      </c>
      <c r="E127" s="82" t="s">
        <v>2985</v>
      </c>
      <c r="F127" s="82" t="str">
        <f>_xlfn.XLOOKUP(TRIM(B127), Inventory!A:A, Inventory!C:C, "")</f>
        <v>Others</v>
      </c>
    </row>
    <row r="128" spans="1:6" ht="55.8" customHeight="1">
      <c r="A128" s="82" t="s">
        <v>3043</v>
      </c>
      <c r="B128" s="82" t="s">
        <v>188</v>
      </c>
      <c r="C128" s="82">
        <v>50</v>
      </c>
      <c r="D128" s="82" t="s">
        <v>2984</v>
      </c>
      <c r="E128" s="82" t="s">
        <v>2985</v>
      </c>
      <c r="F128" s="82" t="str">
        <f>_xlfn.XLOOKUP(TRIM(B128), Inventory!A:A, Inventory!C:C, "")</f>
        <v>Sets-MiniCandles</v>
      </c>
    </row>
    <row r="129" spans="1:6" ht="55.8" customHeight="1">
      <c r="A129" s="82" t="s">
        <v>3043</v>
      </c>
      <c r="B129" s="82" t="s">
        <v>189</v>
      </c>
      <c r="C129" s="82">
        <v>0</v>
      </c>
      <c r="D129" s="82" t="s">
        <v>2984</v>
      </c>
      <c r="E129" s="82" t="s">
        <v>2985</v>
      </c>
      <c r="F129" s="82" t="str">
        <f>_xlfn.XLOOKUP(TRIM(B129), Inventory!A:A, Inventory!C:C, "")</f>
        <v>Others</v>
      </c>
    </row>
    <row r="130" spans="1:6" ht="55.8" customHeight="1">
      <c r="A130" s="82" t="s">
        <v>3043</v>
      </c>
      <c r="B130" s="82" t="s">
        <v>190</v>
      </c>
      <c r="C130" s="82">
        <v>37</v>
      </c>
      <c r="D130" s="82" t="s">
        <v>2984</v>
      </c>
      <c r="E130" s="82" t="s">
        <v>2985</v>
      </c>
      <c r="F130" s="82" t="str">
        <f>_xlfn.XLOOKUP(TRIM(B130), Inventory!A:A, Inventory!C:C, "")</f>
        <v>Sets-MiniCandles</v>
      </c>
    </row>
    <row r="131" spans="1:6" ht="55.8" customHeight="1">
      <c r="A131" s="82" t="s">
        <v>3043</v>
      </c>
      <c r="B131" s="82" t="s">
        <v>191</v>
      </c>
      <c r="C131" s="82">
        <v>0</v>
      </c>
      <c r="D131" s="82" t="s">
        <v>2984</v>
      </c>
      <c r="E131" s="82" t="s">
        <v>2985</v>
      </c>
      <c r="F131" s="82" t="str">
        <f>_xlfn.XLOOKUP(TRIM(B131), Inventory!A:A, Inventory!C:C, "")</f>
        <v>Others</v>
      </c>
    </row>
    <row r="132" spans="1:6" ht="55.8" customHeight="1">
      <c r="A132" s="82" t="s">
        <v>3043</v>
      </c>
      <c r="B132" s="82" t="s">
        <v>192</v>
      </c>
      <c r="C132" s="82">
        <v>8</v>
      </c>
      <c r="D132" s="82" t="s">
        <v>2984</v>
      </c>
      <c r="E132" s="82" t="s">
        <v>2985</v>
      </c>
      <c r="F132" s="82" t="str">
        <f>_xlfn.XLOOKUP(TRIM(B132), Inventory!A:A, Inventory!C:C, "")</f>
        <v>Crystal Stand</v>
      </c>
    </row>
    <row r="133" spans="1:6" ht="55.8" customHeight="1">
      <c r="A133" s="82" t="s">
        <v>3043</v>
      </c>
      <c r="B133" s="82" t="s">
        <v>193</v>
      </c>
      <c r="C133" s="82">
        <v>8</v>
      </c>
      <c r="D133" s="82" t="s">
        <v>2984</v>
      </c>
      <c r="E133" s="82" t="s">
        <v>2985</v>
      </c>
      <c r="F133" s="82" t="str">
        <f>_xlfn.XLOOKUP(TRIM(B133), Inventory!A:A, Inventory!C:C, "")</f>
        <v>Crystal Stand</v>
      </c>
    </row>
    <row r="134" spans="1:6" ht="55.8" customHeight="1">
      <c r="A134" s="82" t="s">
        <v>3043</v>
      </c>
      <c r="B134" s="82" t="s">
        <v>194</v>
      </c>
      <c r="C134" s="82">
        <v>8</v>
      </c>
      <c r="D134" s="82" t="s">
        <v>2984</v>
      </c>
      <c r="E134" s="82" t="s">
        <v>2985</v>
      </c>
      <c r="F134" s="82" t="str">
        <f>_xlfn.XLOOKUP(TRIM(B134), Inventory!A:A, Inventory!C:C, "")</f>
        <v>Crystal Stand</v>
      </c>
    </row>
    <row r="135" spans="1:6" ht="55.8" customHeight="1">
      <c r="A135" s="82" t="s">
        <v>3043</v>
      </c>
      <c r="B135" s="82" t="s">
        <v>195</v>
      </c>
      <c r="C135" s="82">
        <v>8</v>
      </c>
      <c r="D135" s="82" t="s">
        <v>2984</v>
      </c>
      <c r="E135" s="82" t="s">
        <v>2985</v>
      </c>
      <c r="F135" s="82" t="str">
        <f>_xlfn.XLOOKUP(TRIM(B135), Inventory!A:A, Inventory!C:C, "")</f>
        <v>Crystal Stand</v>
      </c>
    </row>
    <row r="136" spans="1:6" ht="55.8" customHeight="1">
      <c r="A136" s="82" t="s">
        <v>3043</v>
      </c>
      <c r="B136" s="82" t="s">
        <v>196</v>
      </c>
      <c r="C136" s="82">
        <v>9</v>
      </c>
      <c r="D136" s="82" t="s">
        <v>2984</v>
      </c>
      <c r="E136" s="82" t="s">
        <v>2985</v>
      </c>
      <c r="F136" s="82" t="str">
        <f>_xlfn.XLOOKUP(TRIM(B136), Inventory!A:A, Inventory!C:C, "")</f>
        <v>Crystal Stand</v>
      </c>
    </row>
    <row r="137" spans="1:6" ht="55.8" customHeight="1">
      <c r="A137" s="82" t="s">
        <v>3043</v>
      </c>
      <c r="B137" s="82" t="s">
        <v>197</v>
      </c>
      <c r="C137" s="82">
        <v>8</v>
      </c>
      <c r="D137" s="82" t="s">
        <v>2984</v>
      </c>
      <c r="E137" s="82" t="s">
        <v>2985</v>
      </c>
      <c r="F137" s="82" t="str">
        <f>_xlfn.XLOOKUP(TRIM(B137), Inventory!A:A, Inventory!C:C, "")</f>
        <v>Crystal Stand</v>
      </c>
    </row>
    <row r="138" spans="1:6" ht="55.8" customHeight="1">
      <c r="A138" s="82" t="s">
        <v>3043</v>
      </c>
      <c r="B138" s="82" t="s">
        <v>198</v>
      </c>
      <c r="C138" s="82">
        <v>7</v>
      </c>
      <c r="D138" s="82" t="s">
        <v>2984</v>
      </c>
      <c r="E138" s="82" t="s">
        <v>2985</v>
      </c>
      <c r="F138" s="82" t="str">
        <f>_xlfn.XLOOKUP(TRIM(B138), Inventory!A:A, Inventory!C:C, "")</f>
        <v>Crystal Stand</v>
      </c>
    </row>
    <row r="139" spans="1:6" ht="55.8" customHeight="1">
      <c r="A139" s="82" t="s">
        <v>3043</v>
      </c>
      <c r="B139" s="82" t="s">
        <v>199</v>
      </c>
      <c r="C139" s="82">
        <v>4</v>
      </c>
      <c r="D139" s="82" t="s">
        <v>2984</v>
      </c>
      <c r="E139" s="82" t="s">
        <v>2985</v>
      </c>
      <c r="F139" s="82" t="str">
        <f>_xlfn.XLOOKUP(TRIM(B139), Inventory!A:A, Inventory!C:C, "")</f>
        <v>Crystal Stand</v>
      </c>
    </row>
    <row r="140" spans="1:6" ht="55.8" customHeight="1">
      <c r="A140" s="82" t="s">
        <v>3043</v>
      </c>
      <c r="B140" s="82" t="s">
        <v>200</v>
      </c>
      <c r="C140" s="82">
        <v>4</v>
      </c>
      <c r="D140" s="82" t="s">
        <v>2984</v>
      </c>
      <c r="E140" s="82" t="s">
        <v>2985</v>
      </c>
      <c r="F140" s="82" t="str">
        <f>_xlfn.XLOOKUP(TRIM(B140), Inventory!A:A, Inventory!C:C, "")</f>
        <v>Crystal Stand</v>
      </c>
    </row>
    <row r="141" spans="1:6" ht="55.8" customHeight="1">
      <c r="A141" s="82" t="s">
        <v>3043</v>
      </c>
      <c r="B141" s="82" t="s">
        <v>201</v>
      </c>
      <c r="C141" s="82">
        <v>0</v>
      </c>
      <c r="D141" s="82" t="s">
        <v>2984</v>
      </c>
      <c r="E141" s="82" t="s">
        <v>2985</v>
      </c>
      <c r="F141" s="82" t="str">
        <f>_xlfn.XLOOKUP(TRIM(B141), Inventory!A:A, Inventory!C:C, "")</f>
        <v>Crystal Stand</v>
      </c>
    </row>
    <row r="142" spans="1:6" ht="55.8" customHeight="1">
      <c r="A142" s="82" t="s">
        <v>3043</v>
      </c>
      <c r="B142" s="82" t="s">
        <v>202</v>
      </c>
      <c r="C142" s="82">
        <v>5</v>
      </c>
      <c r="D142" s="82" t="s">
        <v>2984</v>
      </c>
      <c r="E142" s="82" t="s">
        <v>2985</v>
      </c>
      <c r="F142" s="82" t="str">
        <f>_xlfn.XLOOKUP(TRIM(B142), Inventory!A:A, Inventory!C:C, "")</f>
        <v>Crystal Stand</v>
      </c>
    </row>
    <row r="143" spans="1:6" ht="55.8" customHeight="1">
      <c r="A143" s="82" t="s">
        <v>3043</v>
      </c>
      <c r="B143" s="82" t="s">
        <v>203</v>
      </c>
      <c r="C143" s="82">
        <v>5</v>
      </c>
      <c r="D143" s="82" t="s">
        <v>2984</v>
      </c>
      <c r="E143" s="82" t="s">
        <v>2985</v>
      </c>
      <c r="F143" s="82" t="str">
        <f>_xlfn.XLOOKUP(TRIM(B143), Inventory!A:A, Inventory!C:C, "")</f>
        <v>Crystal Stand</v>
      </c>
    </row>
    <row r="144" spans="1:6" ht="55.8" customHeight="1">
      <c r="A144" s="82" t="s">
        <v>3043</v>
      </c>
      <c r="B144" s="82" t="s">
        <v>204</v>
      </c>
      <c r="C144" s="82">
        <v>1</v>
      </c>
      <c r="D144" s="82" t="s">
        <v>2984</v>
      </c>
      <c r="E144" s="82" t="s">
        <v>2985</v>
      </c>
      <c r="F144" s="82" t="str">
        <f>_xlfn.XLOOKUP(TRIM(B144), Inventory!A:A, Inventory!C:C, "")</f>
        <v>Crystal Stand</v>
      </c>
    </row>
    <row r="145" spans="1:6" ht="55.8" customHeight="1">
      <c r="A145" s="82" t="s">
        <v>3043</v>
      </c>
      <c r="B145" s="82" t="s">
        <v>205</v>
      </c>
      <c r="C145" s="82">
        <v>0</v>
      </c>
      <c r="D145" s="82" t="s">
        <v>2984</v>
      </c>
      <c r="E145" s="82" t="s">
        <v>2985</v>
      </c>
      <c r="F145" s="82" t="str">
        <f>_xlfn.XLOOKUP(TRIM(B145), Inventory!A:A, Inventory!C:C, "")</f>
        <v>Crystal Stand</v>
      </c>
    </row>
    <row r="146" spans="1:6" ht="55.8" customHeight="1">
      <c r="A146" s="82" t="s">
        <v>3043</v>
      </c>
      <c r="B146" s="82" t="s">
        <v>206</v>
      </c>
      <c r="C146" s="82">
        <v>17</v>
      </c>
      <c r="D146" s="82" t="s">
        <v>2984</v>
      </c>
      <c r="E146" s="82" t="s">
        <v>2985</v>
      </c>
      <c r="F146" s="82" t="str">
        <f>_xlfn.XLOOKUP(TRIM(B146), Inventory!A:A, Inventory!C:C, "")</f>
        <v>Holder Candles</v>
      </c>
    </row>
    <row r="147" spans="1:6" ht="55.8" customHeight="1">
      <c r="A147" s="82" t="s">
        <v>3043</v>
      </c>
      <c r="B147" s="82" t="s">
        <v>207</v>
      </c>
      <c r="C147" s="82">
        <v>228</v>
      </c>
      <c r="D147" s="82" t="s">
        <v>2984</v>
      </c>
      <c r="E147" s="82" t="s">
        <v>2985</v>
      </c>
      <c r="F147" s="82" t="str">
        <f>_xlfn.XLOOKUP(TRIM(B147), Inventory!A:A, Inventory!C:C, "")</f>
        <v>Candles</v>
      </c>
    </row>
    <row r="148" spans="1:6" ht="55.8" customHeight="1">
      <c r="A148" s="82" t="s">
        <v>3043</v>
      </c>
      <c r="B148" s="82" t="s">
        <v>208</v>
      </c>
      <c r="C148" s="82">
        <v>95</v>
      </c>
      <c r="D148" s="82" t="s">
        <v>2984</v>
      </c>
      <c r="E148" s="82" t="s">
        <v>2985</v>
      </c>
      <c r="F148" s="82" t="str">
        <f>_xlfn.XLOOKUP(TRIM(B148), Inventory!A:A, Inventory!C:C, "")</f>
        <v>Small-Vases</v>
      </c>
    </row>
    <row r="149" spans="1:6" ht="55.8" customHeight="1">
      <c r="A149" s="82" t="s">
        <v>3043</v>
      </c>
      <c r="B149" s="82" t="s">
        <v>209</v>
      </c>
      <c r="C149" s="82">
        <v>2</v>
      </c>
      <c r="D149" s="82" t="s">
        <v>2984</v>
      </c>
      <c r="E149" s="82" t="s">
        <v>2985</v>
      </c>
      <c r="F149" s="82" t="str">
        <f>_xlfn.XLOOKUP(TRIM(B149), Inventory!A:A, Inventory!C:C, "")</f>
        <v>Stands</v>
      </c>
    </row>
    <row r="150" spans="1:6" ht="55.8" customHeight="1">
      <c r="A150" s="82" t="s">
        <v>3043</v>
      </c>
      <c r="B150" s="82" t="s">
        <v>210</v>
      </c>
      <c r="C150" s="82">
        <v>10</v>
      </c>
      <c r="D150" s="82" t="s">
        <v>2984</v>
      </c>
      <c r="E150" s="82" t="s">
        <v>2985</v>
      </c>
      <c r="F150" s="82" t="str">
        <f>_xlfn.XLOOKUP(TRIM(B150), Inventory!A:A, Inventory!C:C, "")</f>
        <v>Stands</v>
      </c>
    </row>
    <row r="151" spans="1:6" ht="55.8" customHeight="1">
      <c r="A151" s="82" t="s">
        <v>3043</v>
      </c>
      <c r="B151" s="82" t="s">
        <v>211</v>
      </c>
      <c r="C151" s="82">
        <v>10</v>
      </c>
      <c r="D151" s="82" t="s">
        <v>2984</v>
      </c>
      <c r="E151" s="82" t="s">
        <v>2985</v>
      </c>
      <c r="F151" s="82" t="str">
        <f>_xlfn.XLOOKUP(TRIM(B151), Inventory!A:A, Inventory!C:C, "")</f>
        <v>Stands</v>
      </c>
    </row>
    <row r="152" spans="1:6" ht="55.8" customHeight="1">
      <c r="A152" s="82" t="s">
        <v>3043</v>
      </c>
      <c r="B152" s="82" t="s">
        <v>212</v>
      </c>
      <c r="C152" s="82">
        <v>10</v>
      </c>
      <c r="D152" s="82" t="s">
        <v>2984</v>
      </c>
      <c r="E152" s="82" t="s">
        <v>2985</v>
      </c>
      <c r="F152" s="82" t="str">
        <f>_xlfn.XLOOKUP(TRIM(B152), Inventory!A:A, Inventory!C:C, "")</f>
        <v>Stands</v>
      </c>
    </row>
    <row r="153" spans="1:6" ht="55.8" customHeight="1">
      <c r="A153" s="82" t="s">
        <v>3043</v>
      </c>
      <c r="B153" s="82" t="s">
        <v>213</v>
      </c>
      <c r="C153" s="82">
        <v>29</v>
      </c>
      <c r="D153" s="82" t="s">
        <v>2984</v>
      </c>
      <c r="E153" s="82" t="s">
        <v>2985</v>
      </c>
      <c r="F153" s="82" t="str">
        <f>_xlfn.XLOOKUP(TRIM(B153), Inventory!A:A, Inventory!C:C, "")</f>
        <v>Stands</v>
      </c>
    </row>
    <row r="154" spans="1:6" ht="55.8" customHeight="1">
      <c r="F154" s="82" t="str">
        <f>_xlfn.XLOOKUP(TRIM(B154), Inventory!A:A, Inventory!C:C, "")</f>
        <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8" t="s">
        <v>2015</v>
      </c>
      <c r="D2" s="88"/>
      <c r="E2" s="3"/>
      <c r="F2" s="4"/>
      <c r="G2" s="42" t="s">
        <v>2016</v>
      </c>
      <c r="H2" s="5"/>
      <c r="I2" s="37"/>
    </row>
    <row r="3" spans="1:13" ht="16.8" customHeight="1">
      <c r="A3" s="1"/>
      <c r="B3" s="6"/>
      <c r="C3" s="89" t="s">
        <v>2017</v>
      </c>
      <c r="D3" s="89"/>
      <c r="E3" s="7"/>
      <c r="F3" s="43" t="s">
        <v>2018</v>
      </c>
      <c r="G3" s="8"/>
      <c r="H3" s="9"/>
      <c r="I3" s="37"/>
    </row>
    <row r="4" spans="1:13" ht="19.2" customHeight="1">
      <c r="A4" s="1"/>
      <c r="B4" s="10" t="s">
        <v>2019</v>
      </c>
      <c r="C4" s="89"/>
      <c r="D4" s="89"/>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0"/>
      <c r="C34" s="90"/>
      <c r="D34" s="90"/>
      <c r="E34" s="90"/>
      <c r="F34" s="90"/>
      <c r="G34" s="90"/>
      <c r="H34" s="37"/>
      <c r="I34" s="37"/>
    </row>
    <row r="35" spans="1:9" ht="15.6">
      <c r="A35" s="37"/>
      <c r="B35" s="90"/>
      <c r="C35" s="90"/>
      <c r="D35" s="90"/>
      <c r="E35" s="90"/>
      <c r="F35" s="90"/>
      <c r="G35" s="90"/>
      <c r="H35" s="37"/>
      <c r="I35" s="37"/>
    </row>
    <row r="36" spans="1:9" ht="15.6">
      <c r="A36" s="37"/>
      <c r="B36" s="90" t="s">
        <v>2026</v>
      </c>
      <c r="C36" s="90"/>
      <c r="D36" s="90"/>
      <c r="E36" s="90"/>
      <c r="F36" s="90"/>
      <c r="G36" s="90"/>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2026-04-30T12:47:16Z</dcterms:modified>
</cp:coreProperties>
</file>