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7381DBF-3478-405C-BDC9-380FEC2FDA4C}" xr6:coauthVersionLast="47" xr6:coauthVersionMax="47" xr10:uidLastSave="{00000000-0000-0000-0000-000000000000}"/>
  <bookViews>
    <workbookView xWindow="11424" yWindow="0" windowWidth="11712" windowHeight="1305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<sst xmlns="http://schemas.openxmlformats.org/spreadsheetml/2006/main" count="3348" uniqueCount="3161">
  <si>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</si>
  <si>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</si>
  <si>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</si>
  <si>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</si>
  <si>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</si>
  <si>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</si>
  <si>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</si>
  <si>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</si>
  <si>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</si>
  <si>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</si>
  <si>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</si>
  <si>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</si>
  <si>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</si>
  <si>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</si>
  <si>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</si>
  <si>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</si>
  <si>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</si>
  <si>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</si>
  <si>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</si>
  <si>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</si>
  <si>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</si>
  <si>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</si>
  <si>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</si>
  <si>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</si>
  <si>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</si>
  <si>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</si>
  <si>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</si>
  <si>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</si>
  <si>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</si>
  <si>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</si>
  <si>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</si>
  <si>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</si>
  <si>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</si>
  <si>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</si>
  <si>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</si>
  <si>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</si>
  <si>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</si>
  <si>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</si>
  <si>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</si>
  <si>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</si>
  <si>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</si>
  <si>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</si>
  <si>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</si>
  <si>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</si>
  <si>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</si>
  <si>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</si>
  <si>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</si>
  <si>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</si>
  <si>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</si>
  <si>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</si>
  <si>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</si>
  <si>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</si>
  <si>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</si>
  <si>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</si>
  <si>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</si>
  <si>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</si>
  <si>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</si>
  <si>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</si>
  <si>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</si>
  <si>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</si>
  <si>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</si>
  <si>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</si>
  <si>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</si>
  <si>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</si>
  <si>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</si>
  <si>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</si>
  <si>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</si>
  <si>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</si>
  <si>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</si>
  <si>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</si>
  <si>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</si>
  <si>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</si>
  <si>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</si>
  <si>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</si>
  <si>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</si>
  <si>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</si>
  <si>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</si>
  <si>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</si>
  <si>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</si>
  <si>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</si>
  <si>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</si>
  <si>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</si>
  <si>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</si>
  <si>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</si>
  <si>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</si>
  <si>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</si>
  <si>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</si>
  <si>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</si>
  <si>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</si>
  <si>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</si>
  <si>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</si>
  <si>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</si>
  <si>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</si>
  <si>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</si>
  <si>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</si>
  <si>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</si>
  <si>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</si>
  <si>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</si>
  <si>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</si>
  <si>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</si>
  <si>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</si>
  <si>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</si>
  <si>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</si>
  <si>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</si>
  <si>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</si>
  <si>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</si>
  <si>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</si>
  <si>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</si>
  <si>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</si>
  <si>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</si>
  <si>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</si>
  <si>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</si>
  <si>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</si>
  <si>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</si>
  <si>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</si>
  <si>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</si>
  <si>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</si>
  <si>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</si>
  <si>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</si>
  <si>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</si>
  <si>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</si>
  <si>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</si>
  <si>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</si>
  <si>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</si>
  <si>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</si>
  <si>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</si>
  <si>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</si>
  <si>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</si>
  <si>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</si>
  <si>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</si>
  <si>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</si>
  <si>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</si>
  <si>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</si>
  <si>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</si>
  <si>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</si>
  <si>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</si>
  <si>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</si>
  <si>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</si>
  <si>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</si>
  <si>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</si>
  <si>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</si>
  <si>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</si>
  <si>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</si>
  <si>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</si>
  <si>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</si>
  <si>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</si>
  <si>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</si>
  <si>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</si>
  <si>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</si>
  <si>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</si>
  <si>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</si>
  <si>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</si>
  <si>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</si>
  <si>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</si>
  <si>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</si>
  <si>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</si>
  <si>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</si>
  <si>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</si>
  <si>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</si>
  <si>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</si>
  <si>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</si>
  <si>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</si>
  <si>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</si>
  <si>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</si>
  <si>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</si>
  <si>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</si>
  <si>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</si>
  <si>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</si>
  <si>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</si>
  <si>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</si>
  <si>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</si>
  <si>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</si>
  <si>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</si>
  <si>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</si>
  <si>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</si>
  <si>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</si>
  <si>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</si>
  <si>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</si>
  <si>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</si>
  <si>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</si>
  <si>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</si>
  <si>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</si>
  <si>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</si>
  <si>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</si>
  <si>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</si>
  <si>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</si>
  <si>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</si>
  <si>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</si>
  <si>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</si>
  <si>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</si>
  <si>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</si>
  <si>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</si>
  <si>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</si>
  <si>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</si>
  <si>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</si>
  <si>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</si>
  <si>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</si>
  <si>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</si>
  <si>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</si>
  <si>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</si>
  <si>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</si>
  <si>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</si>
  <si>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</si>
  <si>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</si>
  <si>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</si>
  <si>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</si>
  <si>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</si>
  <si>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</si>
  <si>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</si>
  <si>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</si>
  <si>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</si>
  <si>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</si>
  <si>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</si>
  <si>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</si>
  <si>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</si>
  <si>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</si>
  <si>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</si>
  <si>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</si>
  <si>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</si>
  <si>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</si>
  <si>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</si>
  <si>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</si>
  <si>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</si>
  <si>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</si>
  <si>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</si>
  <si>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</si>
  <si>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</si>
  <si>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</si>
  <si>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</si>
  <si>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</si>
  <si>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</si>
  <si>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</si>
  <si>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</si>
  <si>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</si>
  <si>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</si>
  <si>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</si>
  <si>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</si>
  <si>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</si>
  <si>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</si>
  <si>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</si>
  <si>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</si>
  <si>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</si>
  <si>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</si>
  <si>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</si>
  <si>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</si>
  <si>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</si>
  <si>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</si>
  <si>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</si>
  <si>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</si>
  <si>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</si>
  <si>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</si>
  <si>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</si>
  <si>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</si>
  <si>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</si>
  <si>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</si>
  <si>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</si>
  <si>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</si>
  <si>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</si>
  <si>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</si>
  <si>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</si>
  <si>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</si>
  <si>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</si>
  <si>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</si>
  <si>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</si>
  <si>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</si>
  <si>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</si>
  <si>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</si>
  <si>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</si>
  <si>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</si>
  <si>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</si>
  <si>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</si>
  <si>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</si>
  <si>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</si>
  <si>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</si>
  <si>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</si>
  <si>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</si>
  <si>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</si>
  <si>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</si>
  <si>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</si>
  <si>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</si>
  <si>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</si>
  <si>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</si>
  <si>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</si>
  <si>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</si>
  <si>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</si>
  <si>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</si>
  <si>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</si>
  <si>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</si>
  <si>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</si>
  <si>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</si>
  <si>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</si>
  <si>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</si>
  <si>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</si>
  <si>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</si>
  <si>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</si>
  <si>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</si>
  <si>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</si>
  <si>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</si>
  <si>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</si>
  <si>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</si>
  <si>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</si>
  <si>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</si>
  <si>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</si>
  <si>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</si>
  <si>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</si>
  <si>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</si>
  <si>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</si>
  <si>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</si>
  <si>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</si>
  <si>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</si>
  <si>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</si>
  <si>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</si>
  <si>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</si>
  <si>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</si>
  <si>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</si>
  <si>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</si>
  <si>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</si>
  <si>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</si>
  <si>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</si>
  <si>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</si>
  <si>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</si>
  <si>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</si>
  <si>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</si>
  <si>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</si>
  <si>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</si>
  <si>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</si>
  <si>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</si>
  <si>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</si>
  <si>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</si>
  <si>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</si>
  <si>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</si>
  <si>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</si>
  <si>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</si>
  <si>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</si>
  <si>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</si>
  <si>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</si>
  <si>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</si>
  <si>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</si>
  <si>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</si>
  <si>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</si>
  <si>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</si>
  <si>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</si>
  <si>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</si>
  <si>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</si>
  <si>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</si>
  <si>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</si>
  <si>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</si>
  <si>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</si>
  <si>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</si>
  <si>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</si>
  <si>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</si>
  <si>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</si>
  <si>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</si>
  <si>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</si>
  <si>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</si>
  <si>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</si>
  <si>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</si>
  <si>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</si>
  <si>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</si>
  <si>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</si>
  <si>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</si>
  <si>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</si>
  <si>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</si>
  <si>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</si>
  <si>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</si>
  <si>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</si>
  <si>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</si>
  <si>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</si>
  <si>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</si>
  <si>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</si>
  <si>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</si>
  <si>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</si>
  <si>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</si>
  <si>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</si>
  <si>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</si>
  <si>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</si>
  <si>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</si>
  <si>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</si>
  <si>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</si>
  <si>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</si>
  <si>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</si>
  <si>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</si>
  <si>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</si>
  <si>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</si>
  <si>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</si>
  <si>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</si>
  <si>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</si>
  <si>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</si>
  <si>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</si>
  <si>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</si>
  <si>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</si>
  <si>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</si>
  <si>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</si>
  <si>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</si>
  <si>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</si>
  <si>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</si>
  <si>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</si>
  <si>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</si>
  <si>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</si>
  <si>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</si>
  <si>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</si>
  <si>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</si>
  <si>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</si>
  <si>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</si>
  <si>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</si>
  <si>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</si>
  <si>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</si>
  <si>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</si>
  <si>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</si>
  <si>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</si>
  <si>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</si>
  <si>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</si>
  <si>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</si>
  <si>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</si>
  <si>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</si>
  <si>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</si>
  <si>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</si>
  <si>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</si>
  <si>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</si>
  <si>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</si>
  <si>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</si>
  <si>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</si>
  <si>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</si>
  <si>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</si>
  <si>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</si>
  <si>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</si>
  <si>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</si>
  <si>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</si>
  <si>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</si>
  <si>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</si>
  <si>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</si>
  <si>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</si>
  <si>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</si>
  <si>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</si>
  <si>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</si>
  <si>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</si>
  <si>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</si>
  <si>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</si>
  <si>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</si>
  <si>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</si>
  <si>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</si>
  <si>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</si>
  <si>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</si>
  <si>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</si>
  <si>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</si>
  <si>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</si>
  <si>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</si>
  <si>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</si>
  <si>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</si>
  <si>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</si>
  <si>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</si>
  <si>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</si>
  <si>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</si>
  <si>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</si>
  <si>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</si>
  <si>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</si>
  <si>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</si>
  <si>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</si>
  <si>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</si>
  <si>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</si>
  <si>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</si>
  <si>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</si>
  <si>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</si>
  <si>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</si>
  <si>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</si>
  <si>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</si>
  <si>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</si>
  <si>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</si>
  <si>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</si>
  <si>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</si>
  <si>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</si>
  <si>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</si>
  <si>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</si>
  <si>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</si>
  <si>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</si>
  <si>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</si>
  <si>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</si>
  <si>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</si>
  <si>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</si>
  <si>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</si>
  <si>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</si>
  <si>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</si>
  <si>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</si>
  <si>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</si>
  <si>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</si>
  <si>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</si>
  <si>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</si>
  <si>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</si>
  <si>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</si>
  <si>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</si>
  <si>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</si>
  <si>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</si>
  <si>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</si>
  <si>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</si>
  <si>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</si>
  <si>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</si>
  <si>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</si>
  <si>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</si>
  <si>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</si>
  <si>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</si>
  <si>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</si>
  <si>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</si>
  <si>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</si>
  <si>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</si>
  <si>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</si>
  <si>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</si>
  <si>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</si>
  <si>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</si>
  <si>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</si>
  <si>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</si>
  <si>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</si>
  <si>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</si>
  <si>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</si>
  <si>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</si>
  <si>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</si>
  <si>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</si>
  <si>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</si>
  <si>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</si>
  <si>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</si>
  <si>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</si>
  <si>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</si>
  <si>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</si>
  <si>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</si>
  <si>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</si>
  <si>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</si>
  <si>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</si>
  <si>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</si>
  <si>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</si>
  <si>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</si>
  <si>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</si>
  <si>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</si>
  <si>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</si>
  <si>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</si>
  <si>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</si>
  <si>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</si>
  <si>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</si>
  <si>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</si>
  <si>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</si>
  <si>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</si>
  <si>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</si>
  <si>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</si>
  <si>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</si>
  <si>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</si>
  <si>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</si>
  <si>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</si>
  <si>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</si>
  <si>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</si>
  <si>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</si>
  <si>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</si>
  <si>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</si>
  <si>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</si>
  <si>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</si>
  <si>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</si>
  <si>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</si>
  <si>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</si>
  <si>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</si>
  <si>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</si>
  <si>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</si>
  <si>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</si>
  <si>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</si>
  <si>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</si>
  <si>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</si>
  <si>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</si>
  <si>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</si>
  <si>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</si>
  <si>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</si>
  <si>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</si>
  <si>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</si>
  <si>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</si>
  <si>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</si>
  <si>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</si>
  <si>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</si>
  <si>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</si>
  <si>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</si>
  <si>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</si>
  <si>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</si>
  <si>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</si>
  <si>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</si>
  <si>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</si>
  <si>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</si>
  <si>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</si>
  <si>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</si>
  <si>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</si>
  <si>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</si>
  <si>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</si>
  <si>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</si>
  <si>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</si>
  <si>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</si>
  <si>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</si>
  <si>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</si>
  <si>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</si>
  <si>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</si>
  <si>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</si>
  <si>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</si>
  <si>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</si>
  <si>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</si>
  <si>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</si>
  <si>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</si>
  <si>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</si>
  <si>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</si>
  <si>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</si>
  <si>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</si>
  <si>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</si>
  <si>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</si>
  <si>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</si>
  <si>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</si>
  <si>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</si>
  <si>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</si>
  <si>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</si>
  <si>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</si>
  <si>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</si>
  <si>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</si>
  <si>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</si>
  <si>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</si>
  <si>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</si>
  <si>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</si>
  <si>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</si>
  <si>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</si>
  <si>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</si>
  <si>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</si>
  <si>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</si>
  <si>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</si>
  <si>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</si>
  <si>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</si>
  <si>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</si>
  <si>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</si>
  <si>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</si>
  <si>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</si>
  <si>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</si>
  <si>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</si>
  <si>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</si>
  <si>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</si>
  <si>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</si>
  <si>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</si>
  <si>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</si>
  <si>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</si>
  <si>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</si>
  <si>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</si>
  <si>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</si>
  <si>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</si>
  <si>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</si>
  <si>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</si>
  <si>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</si>
  <si>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</si>
  <si>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</si>
  <si>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</si>
  <si>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</si>
  <si>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</si>
  <si>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</si>
  <si>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</si>
  <si>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</si>
  <si>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</si>
  <si>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</si>
  <si>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</si>
  <si>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</si>
  <si>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</si>
  <si>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</si>
  <si>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</si>
  <si>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</si>
  <si>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</si>
  <si>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</si>
  <si>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</si>
  <si>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</si>
  <si>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</si>
  <si>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</si>
  <si>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</si>
  <si>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</si>
  <si>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</si>
  <si>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</si>
  <si>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</si>
  <si>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</si>
  <si>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</si>
  <si>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</si>
  <si>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</si>
  <si>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</si>
  <si>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</si>
  <si>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</si>
  <si>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</si>
  <si>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</si>
  <si>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</si>
  <si>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</si>
  <si>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</si>
  <si>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</si>
  <si>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</si>
  <si>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</si>
  <si>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</si>
  <si>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</si>
  <si>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</si>
  <si>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</si>
  <si>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</si>
  <si>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</si>
  <si>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</si>
  <si>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</si>
  <si>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</si>
  <si>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</si>
  <si>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</si>
  <si>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</si>
  <si>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</si>
  <si>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</si>
  <si>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</si>
  <si>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</si>
  <si>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</si>
  <si>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</si>
  <si>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</si>
  <si>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</si>
  <si>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</si>
  <si>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</si>
  <si>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</si>
  <si>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</si>
  <si>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</si>
  <si>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</si>
  <si>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</si>
  <si>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</si>
  <si>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</si>
  <si>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</si>
  <si>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</si>
  <si>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</si>
  <si>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</si>
  <si>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</si>
  <si>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</si>
  <si>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</si>
  <si>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</si>
  <si>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</si>
  <si>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</si>
  <si>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</si>
  <si>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</si>
  <si>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</si>
  <si>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</si>
  <si>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</si>
  <si>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</si>
  <si>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</si>
  <si>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</si>
  <si>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</si>
  <si>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</si>
  <si>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</si>
  <si>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</si>
  <si>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</si>
  <si>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</si>
  <si>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</si>
  <si>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</si>
  <si>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</si>
  <si>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</si>
  <si>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</si>
  <si>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</si>
  <si>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</si>
  <si>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</si>
  <si>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</si>
  <si>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</si>
  <si>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</si>
  <si>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</si>
  <si>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</si>
  <si>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</si>
  <si>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</si>
  <si>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</si>
  <si>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</si>
  <si>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</si>
  <si>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</si>
  <si>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</si>
  <si>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</si>
  <si>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</si>
  <si>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</si>
  <si>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</si>
  <si>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</si>
  <si>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</si>
  <si>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</si>
  <si>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</si>
  <si>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</si>
  <si>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</si>
  <si>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</si>
  <si>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</si>
  <si>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</si>
  <si>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</si>
  <si>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</si>
  <si>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</si>
  <si>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</si>
  <si>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</si>
  <si>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</si>
  <si>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</si>
  <si>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</si>
  <si>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</si>
  <si>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</si>
  <si>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</si>
  <si>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</si>
  <si>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</si>
  <si>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</si>
  <si>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</si>
  <si>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</si>
  <si>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</si>
  <si>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</si>
  <si>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</si>
  <si>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</si>
  <si>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</si>
  <si>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</si>
  <si>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</si>
  <si>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</si>
  <si>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</si>
  <si>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</si>
  <si>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</si>
  <si>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</si>
  <si>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</si>
  <si>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</si>
  <si>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</si>
  <si>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</si>
  <si>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</si>
  <si>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</si>
  <si>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</si>
  <si>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</si>
  <si>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</si>
  <si>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</si>
  <si>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</si>
  <si>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</si>
  <si>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</si>
  <si>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</si>
  <si>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</si>
  <si>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</si>
  <si>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</si>
  <si>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</si>
  <si>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</si>
  <si>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</si>
  <si>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</si>
  <si>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</si>
  <si>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</si>
  <si>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</si>
  <si>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</si>
  <si>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</si>
  <si>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</si>
  <si>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</si>
  <si>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</si>
  <si>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</si>
  <si>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</si>
  <si>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</si>
  <si>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</si>
  <si>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</si>
  <si>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</si>
  <si>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</si>
  <si>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</si>
  <si>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</si>
  <si>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</si>
  <si>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</si>
  <si>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</si>
  <si>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</si>
  <si>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</si>
  <si>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</si>
  <si>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</si>
  <si>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</si>
  <si>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</si>
  <si>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</si>
  <si>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</si>
  <si>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</si>
  <si>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</si>
  <si>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</si>
  <si>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</si>
  <si>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</si>
  <si>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</si>
  <si>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</si>
  <si>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</si>
  <si>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</si>
  <si>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</si>
  <si>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</si>
  <si>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</si>
  <si>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</si>
  <si>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</si>
  <si>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</si>
  <si>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</si>
  <si>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</si>
  <si>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</si>
  <si>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</si>
  <si>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</si>
  <si>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</si>
  <si>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</si>
  <si>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</si>
  <si>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</si>
  <si>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</si>
  <si>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</si>
  <si>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</si>
  <si>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</si>
  <si>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</si>
  <si>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</si>
  <si>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</si>
  <si>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</si>
  <si>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</si>
  <si>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</si>
  <si>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</si>
  <si>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</si>
  <si>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</si>
  <si>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</si>
  <si>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</si>
  <si>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</si>
  <si>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</si>
  <si>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</si>
  <si>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</si>
  <si>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</si>
  <si>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</si>
  <si>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</si>
  <si>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</si>
  <si>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</si>
  <si>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</si>
  <si>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</si>
  <si>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</si>
  <si>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</si>
  <si>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</si>
  <si>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</si>
  <si>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</si>
  <si>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</si>
  <si>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</si>
  <si>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</si>
  <si>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</si>
  <si>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</si>
  <si>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</si>
  <si>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</si>
  <si>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</si>
  <si>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</si>
  <si>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</si>
  <si>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</si>
  <si>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</si>
  <si>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</si>
  <si>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</si>
  <si>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</si>
  <si>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</si>
  <si>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</si>
  <si>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</si>
  <si>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</si>
  <si>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</si>
  <si>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</si>
  <si>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</si>
  <si>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</si>
  <si>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</si>
  <si>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</si>
  <si>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</si>
  <si>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</si>
  <si>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</si>
  <si>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</si>
  <si>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</si>
  <si>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</si>
  <si>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</si>
  <si>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</si>
  <si>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</si>
  <si>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</si>
  <si>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</si>
  <si>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</si>
  <si>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</si>
  <si>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</si>
  <si>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</si>
  <si>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</si>
  <si>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</si>
  <si>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</si>
  <si>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</si>
  <si>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</si>
  <si>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</si>
  <si>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</si>
  <si>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</si>
  <si>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</si>
  <si>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</si>
  <si>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</si>
  <si>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</si>
  <si>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</si>
  <si>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</si>
  <si>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</si>
  <si>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</si>
  <si>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</si>
  <si>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</si>
  <si>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</si>
  <si>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</si>
  <si>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</si>
  <si>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</si>
  <si>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</si>
  <si>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</si>
  <si>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</si>
  <si>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</si>
  <si>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</si>
  <si>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</si>
  <si>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</si>
  <si>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</si>
  <si>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</si>
  <si>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</si>
  <si>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</si>
  <si>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</si>
  <si>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</si>
  <si>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</si>
  <si>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</si>
  <si>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</si>
  <si>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</si>
  <si>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</si>
  <si>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</si>
  <si>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</si>
  <si>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</si>
  <si>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</si>
  <si>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</si>
  <si>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</si>
  <si>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</si>
  <si>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</si>
  <si>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</si>
  <si>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</si>
  <si>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</si>
  <si>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</si>
  <si>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</si>
  <si>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</si>
  <si>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</si>
  <si>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</si>
  <si>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</si>
  <si>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</si>
  <si>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</si>
  <si>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</si>
  <si>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</si>
  <si>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</si>
  <si>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</si>
  <si>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</si>
  <si>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</si>
  <si>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</si>
  <si>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</si>
  <si>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</si>
  <si>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</si>
  <si>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</si>
  <si>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</si>
  <si>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</si>
  <si>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</si>
  <si>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</si>
  <si>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</si>
  <si>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</si>
  <si>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</si>
  <si>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</si>
  <si>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</si>
  <si>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</si>
  <si>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</si>
  <si>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</si>
  <si>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</si>
  <si>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</si>
  <si>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</si>
  <si>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</si>
  <si>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</si>
  <si>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</si>
  <si>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</si>
  <si>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</si>
  <si>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</si>
  <si>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</si>
  <si>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</si>
  <si>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</si>
  <si>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</si>
  <si>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</si>
  <si>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</si>
  <si>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</si>
  <si>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</si>
  <si>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</si>
  <si>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</si>
  <si>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</si>
  <si>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</si>
  <si>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</si>
  <si>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</si>
  <si>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</si>
  <si>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</si>
  <si>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</si>
  <si>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</si>
  <si>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</si>
  <si>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</si>
  <si>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</si>
  <si>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</si>
  <si>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</si>
  <si>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</si>
  <si>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</si>
  <si>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</si>
  <si>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</si>
  <si>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</si>
  <si>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</si>
  <si>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</si>
  <si>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</si>
  <si>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</si>
  <si>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</si>
  <si>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</si>
  <si>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</si>
  <si>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</si>
  <si>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</si>
  <si>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</si>
  <si>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</si>
  <si>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</si>
  <si>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</si>
  <si>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</si>
  <si>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</si>
  <si>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</si>
  <si>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</si>
  <si>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</si>
  <si>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</si>
  <si>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</si>
  <si>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</si>
  <si>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</si>
  <si>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</si>
  <si>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</si>
  <si>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</si>
  <si>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</si>
  <si>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</si>
  <si>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</si>
  <si>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</si>
  <si>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</si>
  <si>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</si>
  <si>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</si>
  <si>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</si>
  <si>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</si>
  <si>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</si>
  <si>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</si>
  <si>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</si>
  <si>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</si>
  <si>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</si>
  <si>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</si>
  <si>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</si>
  <si>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</si>
  <si>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</si>
  <si>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</si>
  <si>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</si>
  <si>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</si>
  <si>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</si>
  <si>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</si>
  <si>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</si>
  <si>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</si>
  <si>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</si>
  <si>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</si>
  <si>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</si>
  <si>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</si>
  <si>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</si>
  <si>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</si>
  <si>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</si>
  <si>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</si>
  <si>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</si>
  <si>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</si>
  <si>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</si>
  <si>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</si>
  <si>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</si>
  <si>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</si>
  <si>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</si>
  <si>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</si>
  <si>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</si>
  <si>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</si>
  <si>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</si>
  <si>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</si>
  <si>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</si>
  <si>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</si>
  <si>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</si>
  <si>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</si>
  <si>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</si>
  <si>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</si>
  <si>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</si>
  <si>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</si>
  <si>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</si>
  <si>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</si>
  <si>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</si>
  <si>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</si>
  <si>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</si>
  <si>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</si>
  <si>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</si>
  <si>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</si>
  <si>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</si>
  <si>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</si>
  <si>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</si>
  <si>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</si>
  <si>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</si>
  <si>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</si>
  <si>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</si>
  <si>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</si>
  <si>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</si>
  <si>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</si>
  <si>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</si>
  <si>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</si>
  <si>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</si>
  <si>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</si>
  <si>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</si>
  <si>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</si>
  <si>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</si>
  <si>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</si>
  <si>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</si>
  <si>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</si>
  <si>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</si>
  <si>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</si>
  <si>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</si>
  <si>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</si>
  <si>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</si>
  <si>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</si>
  <si>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</si>
  <si>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</si>
  <si>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</si>
  <si>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</si>
  <si>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</si>
  <si>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</si>
  <si>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</si>
  <si>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</si>
  <si>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</si>
  <si>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</si>
  <si>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</si>
  <si>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</si>
  <si>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</si>
  <si>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</si>
  <si>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</si>
  <si>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</si>
  <si>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</si>
  <si>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</si>
  <si>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</si>
  <si>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</si>
  <si>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</si>
  <si>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</si>
  <si>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</si>
  <si>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</si>
  <si>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</si>
  <si>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</si>
  <si>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</si>
  <si>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</si>
  <si>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</si>
  <si>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</si>
  <si>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</si>
  <si>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</si>
  <si>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</si>
  <si>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</si>
  <si>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</si>
  <si>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</si>
  <si>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</si>
  <si>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</si>
  <si>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</si>
  <si>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</si>
  <si>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</si>
  <si>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</si>
  <si>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</si>
  <si>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</si>
  <si>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</si>
  <si>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</si>
  <si>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</si>
  <si>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</si>
  <si>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</si>
  <si>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</si>
  <si>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</si>
  <si>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</si>
  <si>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</si>
  <si>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</si>
  <si>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</si>
  <si>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</si>
  <si>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</si>
  <si>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</si>
  <si>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</si>
  <si>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</si>
  <si>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</si>
  <si>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</si>
  <si>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</si>
  <si>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</si>
  <si>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</si>
  <si>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</si>
  <si>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</si>
  <si>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</si>
  <si>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</si>
  <si>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</si>
  <si>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</si>
  <si>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</si>
  <si>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</si>
  <si>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</si>
  <si>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</si>
  <si>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</si>
  <si>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</si>
  <si>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</si>
  <si>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</si>
  <si>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</si>
  <si>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</si>
  <si>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</si>
  <si>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</si>
  <si>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</si>
  <si>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</si>
  <si>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</si>
  <si>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</si>
  <si>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</si>
  <si>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</si>
  <si>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</si>
  <si>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</si>
  <si>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</si>
  <si>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</si>
  <si>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</si>
  <si>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</si>
  <si>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</si>
  <si>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</si>
  <si>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</si>
  <si>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</si>
  <si>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</si>
  <si>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</si>
  <si>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</si>
  <si>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</si>
  <si>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</si>
  <si>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</si>
  <si>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</si>
  <si>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</si>
  <si>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</si>
  <si>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</si>
  <si>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</si>
  <si>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</si>
  <si>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</si>
  <si>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</si>
  <si>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</si>
  <si>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</si>
  <si>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</si>
  <si>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</si>
  <si>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</si>
  <si>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</si>
  <si>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</si>
  <si>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</si>
  <si>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</si>
  <si>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</si>
  <si>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</si>
  <si>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</si>
  <si>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</si>
  <si>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</si>
  <si>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</si>
  <si>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</si>
  <si>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</si>
  <si>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</si>
  <si>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</si>
  <si>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</si>
  <si>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</si>
  <si>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</si>
  <si>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</si>
  <si>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</si>
  <si>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</si>
  <si>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</si>
  <si>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</si>
  <si>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</si>
  <si>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</si>
  <si>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</si>
  <si>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</si>
  <si>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</si>
  <si>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</si>
  <si>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</si>
  <si>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</si>
  <si>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</si>
  <si>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</si>
  <si>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</si>
  <si>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</si>
  <si>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</si>
  <si>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</si>
  <si>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</si>
  <si>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</si>
  <si>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</si>
  <si>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</si>
  <si>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</si>
  <si>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</si>
  <si>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</si>
  <si>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</si>
  <si>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</si>
  <si>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</si>
  <si>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</si>
  <si>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</si>
  <si>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</si>
  <si>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</si>
  <si>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</si>
  <si>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</si>
  <si>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</si>
  <si>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</si>
  <si>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</si>
  <si>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</si>
  <si>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</si>
  <si>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</si>
  <si>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</si>
  <si>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</si>
  <si>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</si>
  <si>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</si>
  <si>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</si>
  <si>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</si>
  <si>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</si>
  <si>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</si>
  <si>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</si>
  <si>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</si>
  <si>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</si>
  <si>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</si>
  <si>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</si>
  <si>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</si>
  <si>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</si>
  <si>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</si>
  <si>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</si>
  <si>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</si>
  <si>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</si>
  <si>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</si>
  <si>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</si>
  <si>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</si>
  <si>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</si>
  <si>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</si>
  <si>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</si>
  <si>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</si>
  <si>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</si>
  <si>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</si>
  <si>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</si>
  <si>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</si>
  <si>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</si>
  <si>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</si>
  <si>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</si>
  <si>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</si>
  <si>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</si>
  <si>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</si>
  <si>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</si>
  <si>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</si>
  <si>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</si>
  <si>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</si>
  <si>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</si>
  <si>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</si>
  <si>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</si>
  <si>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</si>
  <si>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</si>
  <si>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</si>
  <si>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</si>
  <si>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</si>
  <si>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</si>
  <si>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</si>
  <si>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</si>
  <si>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</si>
  <si>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</si>
  <si>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</si>
  <si>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</si>
  <si>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</si>
  <si>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</si>
  <si>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</si>
  <si>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</si>
  <si>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</si>
  <si>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</si>
  <si>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</si>
  <si>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</si>
  <si>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</si>
  <si>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</si>
  <si>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</si>
  <si>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</si>
  <si>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</si>
  <si>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</si>
  <si>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</si>
  <si>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</si>
  <si>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</si>
  <si>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</si>
  <si>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</si>
  <si>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</si>
  <si>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</si>
  <si>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</si>
  <si>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</si>
  <si>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</si>
  <si>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</si>
  <si>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</si>
  <si>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</si>
  <si>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</si>
  <si>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</si>
  <si>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</si>
  <si>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</si>
  <si>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</si>
  <si>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</si>
  <si>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</si>
  <si>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</si>
  <si>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</si>
  <si>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</si>
  <si>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</si>
  <si>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</si>
  <si>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</si>
  <si>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</si>
  <si>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</si>
  <si>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</si>
  <si>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</si>
  <si>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</si>
  <si>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</si>
  <si>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</si>
  <si>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</si>
  <si>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</si>
  <si>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</si>
  <si>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</si>
  <si>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</si>
  <si>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</si>
  <si>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</si>
  <si>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</si>
  <si>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</si>
  <si>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</si>
  <si>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</si>
  <si>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</si>
  <si>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</si>
  <si>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</si>
  <si>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</si>
  <si>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</si>
  <si>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</si>
  <si>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</si>
  <si>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</si>
  <si>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</si>
  <si>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</si>
  <si>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</si>
  <si>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</si>
  <si>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</si>
  <si>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</si>
  <si>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</si>
  <si>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</si>
  <si>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</si>
  <si>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</si>
  <si>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</si>
  <si>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</si>
  <si>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</si>
  <si>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</si>
  <si>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</si>
  <si>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</si>
  <si>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</si>
  <si>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</si>
  <si>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</si>
  <si>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</si>
  <si>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</si>
  <si>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</si>
  <si>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</si>
  <si>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</si>
  <si>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</si>
  <si>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</si>
  <si>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</si>
  <si>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</si>
  <si>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</si>
  <si>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</si>
  <si>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</si>
  <si>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</si>
  <si>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</si>
  <si>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</si>
  <si>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</si>
  <si>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</si>
  <si>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</si>
  <si>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</si>
  <si>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</si>
  <si>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</si>
  <si>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</si>
  <si>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</si>
  <si>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</si>
  <si>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</si>
  <si>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</si>
  <si>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</si>
  <si>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</si>
  <si>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</si>
  <si>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</si>
  <si>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</si>
  <si>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</si>
  <si>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</si>
  <si>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</si>
  <si>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</si>
  <si>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</si>
  <si>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</si>
  <si>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</si>
  <si>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</si>
  <si>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</si>
  <si>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</si>
  <si>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</si>
  <si>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</si>
  <si>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</si>
  <si>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</si>
  <si>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</si>
  <si>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</si>
  <si>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</si>
  <si>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</si>
  <si>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</si>
  <si>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</si>
  <si>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</si>
  <si>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</si>
  <si>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</si>
  <si>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</si>
  <si>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</si>
  <si>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</si>
  <si>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</si>
  <si>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</si>
  <si>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</si>
  <si>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</si>
  <si>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</si>
  <si>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</si>
  <si>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</si>
  <si>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</si>
  <si>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</si>
  <si>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</si>
  <si>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</si>
  <si>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</si>
  <si>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</si>
  <si>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</si>
  <si>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</si>
  <si>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</si>
  <si>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</si>
  <si>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</si>
  <si>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</si>
  <si>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</si>
  <si>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</si>
  <si>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</si>
  <si>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</si>
  <si>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</si>
  <si>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</si>
  <si>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</si>
  <si>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</si>
  <si>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</si>
  <si>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</si>
  <si>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</si>
  <si>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</si>
  <si>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</si>
  <si>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</si>
  <si>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</si>
  <si>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</si>
  <si>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</si>
  <si>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</si>
  <si>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</si>
  <si>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</si>
  <si>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</si>
  <si>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</si>
  <si>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</si>
  <si>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</si>
  <si>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</si>
  <si>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</si>
  <si>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</si>
  <si>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</si>
  <si>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</si>
  <si>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</si>
  <si>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</si>
  <si>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</si>
  <si>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</si>
  <si>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</si>
  <si>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</si>
  <si>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</si>
  <si>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</si>
  <si>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</si>
  <si>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</si>
  <si>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</si>
  <si>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</si>
  <si>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</si>
  <si>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</si>
  <si>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</si>
  <si>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</si>
  <si>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</si>
  <si>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</si>
  <si>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</si>
  <si>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</si>
  <si>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</si>
  <si>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</si>
  <si>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</si>
  <si>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</si>
  <si>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</si>
  <si>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</si>
  <si>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</si>
  <si>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</si>
  <si>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</si>
  <si>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</si>
  <si>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</si>
  <si>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</si>
  <si>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</si>
  <si>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</si>
  <si>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</si>
  <si>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</si>
  <si>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</si>
  <si>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</si>
  <si>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</si>
  <si>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</si>
  <si>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</si>
  <si>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</si>
  <si>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</si>
  <si>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</si>
  <si>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</si>
  <si>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</si>
  <si>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</si>
  <si>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</si>
  <si>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</si>
  <si>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</si>
  <si>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</si>
  <si>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</si>
  <si>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</si>
  <si>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</si>
  <si>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</si>
  <si>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</si>
  <si>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</si>
  <si>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</si>
  <si>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</si>
  <si>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</si>
  <si>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</si>
  <si>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</si>
  <si>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</si>
  <si>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</si>
  <si>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</si>
  <si>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</si>
  <si>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</si>
  <si>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</si>
  <si>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</si>
  <si>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</si>
  <si>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</si>
  <si>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</si>
  <si>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</si>
  <si>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</si>
  <si>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</si>
  <si>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</si>
  <si>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</si>
  <si>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</si>
  <si>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</si>
  <si>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</si>
  <si>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</si>
  <si>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</si>
  <si>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</si>
  <si>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</si>
  <si>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</si>
  <si>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</si>
  <si>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</si>
  <si>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</si>
  <si>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</si>
  <si>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</si>
  <si>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</si>
  <si>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</si>
  <si>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</si>
  <si>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</si>
  <si>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</si>
  <si>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</si>
  <si>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</si>
  <si>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</si>
  <si>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</si>
  <si>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</si>
  <si>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</si>
  <si>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</si>
  <si>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</si>
  <si>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</si>
  <si>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</si>
  <si>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</si>
  <si>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</si>
  <si>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</si>
  <si>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</si>
  <si>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</si>
  <si>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</si>
  <si>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</si>
  <si>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</si>
  <si>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</si>
  <si>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</si>
  <si>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</si>
  <si>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</si>
  <si>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</si>
  <si>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</si>
  <si>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</si>
  <si>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</si>
  <si>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</si>
  <si>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</si>
  <si>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</si>
  <si>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</si>
  <si>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</si>
  <si>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</si>
  <si>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</si>
  <si>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</si>
  <si>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</si>
  <si>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</si>
  <si>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</si>
  <si>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</si>
  <si>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</si>
  <si>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</si>
  <si>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</si>
  <si>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</si>
  <si>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</si>
  <si>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</si>
  <si>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</si>
  <si>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</si>
  <si>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</si>
  <si>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</si>
  <si>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</si>
  <si>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</si>
  <si>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</si>
  <si>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</si>
  <si>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</si>
  <si>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</si>
  <si>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</si>
  <si>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</si>
  <si>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</si>
  <si>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</si>
  <si>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</si>
  <si>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</si>
  <si>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</si>
  <si>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</si>
  <si>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</si>
  <si>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</si>
  <si>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</si>
  <si>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</si>
  <si>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</si>
  <si>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</si>
  <si>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</si>
  <si>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</si>
  <si>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</si>
  <si>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</si>
  <si>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</si>
  <si>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</si>
  <si>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</si>
  <si>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</si>
  <si>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</si>
  <si>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</si>
  <si>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</si>
  <si>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</si>
  <si>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</si>
  <si>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</si>
  <si>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</si>
  <si>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</si>
  <si>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</si>
  <si>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</si>
  <si>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</si>
  <si>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</si>
  <si>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</si>
  <si>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</si>
  <si>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</si>
  <si>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</si>
  <si>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</si>
  <si>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</si>
  <si>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</si>
  <si>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</si>
  <si>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</si>
  <si>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</si>
  <si>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</si>
  <si>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</si>
  <si>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</si>
  <si>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</si>
  <si>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</si>
  <si>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</si>
  <si>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</si>
  <si>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</si>
  <si>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</si>
  <si>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</si>
  <si>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</si>
  <si>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</si>
  <si>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</si>
  <si>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</si>
  <si>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</si>
  <si>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</si>
  <si>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</si>
  <si>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</si>
  <si>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</si>
  <si>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</si>
  <si>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</si>
  <si>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</si>
  <si>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</si>
  <si>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</si>
  <si>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</si>
  <si>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</si>
  <si>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</si>
  <si>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</si>
  <si>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</si>
  <si>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</si>
  <si>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</si>
  <si>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</si>
  <si>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</si>
  <si>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</si>
  <si>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</si>
  <si>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</si>
  <si>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</si>
  <si>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</si>
  <si>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</si>
  <si>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</si>
  <si>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</si>
  <si>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</si>
  <si>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</si>
  <si>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</si>
  <si>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</si>
  <si>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</si>
  <si>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</si>
  <si>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</si>
  <si>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</si>
  <si>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</si>
  <si>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</si>
  <si>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</si>
  <si>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</si>
  <si>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</si>
  <si>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</si>
  <si>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</si>
  <si>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</si>
  <si>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</si>
  <si>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</si>
  <si>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</si>
  <si>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</si>
  <si>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</si>
  <si>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</si>
  <si>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</si>
  <si>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</si>
  <si>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</si>
  <si>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</si>
  <si>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</si>
  <si>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</si>
  <si>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</si>
  <si>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</si>
  <si>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</si>
  <si>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</si>
  <si>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</si>
  <si>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</si>
  <si>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</si>
  <si>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</si>
  <si>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</si>
  <si>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</si>
  <si>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</si>
  <si>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</si>
  <si>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</si>
  <si>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</si>
  <si>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</si>
  <si>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</si>
  <si>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</si>
  <si>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</si>
  <si>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</si>
  <si>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</si>
  <si>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</si>
  <si>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</si>
  <si>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</si>
  <si>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</si>
  <si>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</si>
  <si>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</si>
  <si>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</si>
  <si>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</si>
  <si>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</si>
  <si>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</si>
  <si>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</si>
  <si>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</si>
  <si>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</si>
  <si>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</si>
  <si>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</si>
  <si>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</si>
  <si>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</si>
  <si>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</si>
  <si>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</si>
  <si>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</si>
  <si>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</si>
  <si>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</si>
  <si>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</si>
  <si>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</si>
  <si>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</si>
  <si>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</si>
  <si>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</si>
  <si>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</si>
  <si>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</si>
  <si>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</si>
  <si>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</si>
  <si>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</si>
  <si>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</si>
  <si>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</si>
  <si>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</si>
  <si>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</si>
  <si>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</si>
  <si>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</si>
  <si>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</si>
  <si>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</si>
  <si>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</si>
  <si>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</si>
  <si>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</si>
  <si>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</si>
  <si>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</si>
  <si>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</si>
  <si>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</si>
  <si>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</si>
  <si>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</si>
  <si>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</si>
  <si>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</si>
  <si>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</si>
  <si>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</si>
  <si>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</si>
  <si>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</si>
  <si>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</si>
  <si>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</si>
  <si>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</si>
  <si>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</si>
  <si>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</si>
  <si>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</si>
  <si>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</si>
  <si>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</si>
  <si>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</si>
  <si>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</si>
  <si>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</si>
  <si>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</si>
  <si>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</si>
  <si>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</si>
  <si>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</si>
  <si>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</si>
  <si>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</si>
  <si>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</si>
  <si>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</si>
  <si>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</si>
  <si>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</si>
  <si>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</si>
  <si>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</si>
  <si>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</si>
  <si>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</si>
  <si>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</si>
  <si>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</si>
  <si>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</si>
  <si>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</si>
  <si>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</si>
  <si>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</si>
  <si>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</si>
  <si>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</si>
  <si>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</si>
  <si>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</si>
  <si>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</si>
  <si>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</si>
  <si>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</si>
  <si>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</si>
  <si>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</si>
  <si>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</si>
  <si>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</si>
  <si>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</si>
  <si>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</si>
  <si>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</si>
  <si>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</si>
  <si>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</si>
  <si>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</si>
  <si>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</si>
  <si>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</si>
  <si>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</si>
  <si>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</si>
  <si>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</si>
  <si>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</si>
  <si>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</si>
  <si>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</si>
  <si>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</si>
  <si>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</si>
  <si>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</si>
  <si>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</si>
  <si>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</si>
  <si>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</si>
  <si>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</si>
  <si>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</si>
  <si>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</si>
  <si>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</si>
  <si>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</si>
  <si>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</si>
  <si>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</si>
  <si>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</si>
  <si>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</si>
  <si>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</si>
  <si>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</si>
  <si>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</si>
  <si>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</si>
  <si>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</si>
  <si>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</si>
  <si>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</si>
  <si>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</si>
  <si>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</si>
  <si>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</si>
  <si>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</si>
  <si>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</si>
  <si>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</si>
  <si>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</si>
  <si>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</si>
  <si>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</si>
  <si>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</si>
  <si>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</si>
  <si>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</si>
  <si>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</si>
  <si>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</si>
  <si>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</si>
  <si>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</si>
  <si>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</si>
  <si>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</si>
  <si>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</si>
  <si>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</si>
  <si>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</si>
  <si>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</si>
  <si>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</si>
  <si>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</si>
  <si>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</si>
  <si>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</si>
  <si>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</si>
  <si>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</si>
  <si>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</si>
  <si>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</si>
  <si>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</si>
  <si>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</si>
  <si>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</si>
  <si>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</si>
  <si>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</si>
  <si>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</si>
  <si>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</si>
  <si>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</si>
  <si>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</si>
  <si>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</si>
  <si>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</si>
  <si>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</si>
  <si>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</si>
  <si>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</si>
  <si>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</si>
  <si>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</si>
  <si>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</si>
  <si>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</si>
  <si>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</si>
  <si>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</si>
  <si>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</si>
  <si>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</si>
  <si>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</si>
  <si>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</si>
  <si>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</si>
  <si>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</si>
  <si>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</si>
  <si>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</si>
  <si>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</si>
  <si>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</si>
  <si>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</si>
  <si>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</si>
  <si>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</si>
  <si>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</si>
  <si>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</si>
  <si>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</si>
  <si>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</si>
  <si>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</si>
  <si>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</si>
  <si>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</si>
  <si>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</si>
  <si>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</si>
  <si>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</si>
  <si>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</si>
  <si>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</si>
  <si>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</si>
  <si>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</si>
  <si>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</si>
  <si>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</si>
  <si>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</si>
  <si>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</si>
  <si>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</si>
  <si>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</si>
  <si>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</si>
  <si>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</si>
  <si>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</si>
  <si>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</si>
  <si>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</si>
  <si>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</si>
  <si>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</si>
  <si>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</si>
  <si>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</si>
  <si>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</si>
  <si>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</si>
  <si>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</si>
  <si>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</si>
  <si>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</si>
  <si>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</si>
  <si>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</si>
  <si>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</si>
  <si>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</si>
  <si>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</si>
  <si>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</si>
  <si>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</si>
  <si>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</si>
  <si>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</si>
  <si>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</si>
  <si>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</si>
  <si>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</si>
  <si>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</si>
  <si>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</si>
  <si>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</si>
  <si>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</si>
  <si>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</si>
  <si>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</si>
  <si>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</si>
  <si>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</si>
  <si>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</si>
  <si>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</si>
  <si>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</si>
  <si>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</si>
  <si>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</si>
  <si>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</si>
  <si>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</si>
  <si>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</si>
  <si>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</si>
  <si>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</si>
  <si>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</si>
  <si>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</si>
  <si>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</si>
  <si>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</si>
  <si>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</si>
  <si>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</si>
  <si>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</si>
  <si>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</si>
  <si>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</si>
  <si>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</si>
  <si>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</si>
  <si>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</si>
  <si>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</si>
  <si>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</si>
  <si>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</si>
  <si>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</si>
  <si>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</si>
  <si>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</si>
  <si>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</si>
  <si>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</si>
  <si>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</si>
  <si>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</si>
  <si>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</si>
  <si>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</si>
  <si>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</si>
  <si>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</si>
  <si>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</si>
  <si>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</si>
  <si>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</si>
  <si>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</si>
  <si>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</si>
  <si>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</si>
  <si>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</si>
  <si>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</si>
  <si>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</si>
  <si>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</si>
  <si>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</si>
  <si>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</si>
  <si>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</si>
  <si>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</si>
  <si>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</si>
  <si>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</si>
  <si>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</si>
  <si>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</si>
  <si>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</si>
  <si>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</si>
  <si>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</si>
  <si>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</si>
  <si>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</si>
  <si>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</si>
  <si>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</si>
  <si>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</si>
  <si>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</si>
  <si>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</si>
  <si>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</si>
  <si>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</si>
  <si>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</si>
  <si>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</si>
  <si>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</si>
  <si>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</si>
  <si>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</si>
  <si>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</si>
  <si>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</si>
  <si>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</si>
  <si>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</si>
  <si>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</si>
  <si>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</si>
  <si>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</si>
  <si>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</si>
  <si>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</si>
  <si>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</si>
  <si>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</si>
  <si>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</si>
  <si>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</si>
  <si>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</si>
  <si>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</si>
  <si>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</si>
  <si>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</si>
  <si>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</si>
  <si>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</si>
  <si>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</si>
  <si>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</si>
  <si>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</si>
  <si>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</si>
  <si>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</si>
  <si>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</si>
  <si>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</si>
  <si>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</si>
  <si>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</si>
  <si>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</si>
  <si>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</si>
  <si>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</si>
  <si>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</si>
  <si>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</si>
  <si>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</si>
  <si>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</si>
  <si>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</si>
  <si>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</si>
  <si>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</si>
  <si>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</si>
  <si>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</si>
  <si>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</si>
  <si>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</si>
  <si>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</si>
  <si>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</si>
  <si>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</si>
  <si>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</si>
  <si>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</si>
  <si>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</si>
  <si>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</si>
  <si>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</si>
  <si>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</si>
  <si>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</si>
  <si>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</si>
  <si>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</si>
  <si>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</si>
  <si>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</si>
  <si>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</si>
  <si>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</si>
  <si>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</si>
  <si>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</si>
  <si>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</si>
  <si>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</si>
  <si>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</si>
  <si>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</si>
  <si>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</si>
  <si>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</si>
  <si>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</si>
  <si>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</si>
  <si>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</si>
  <si>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</si>
  <si>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</si>
  <si>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</si>
  <si>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</si>
  <si>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</si>
  <si>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</si>
  <si>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</si>
  <si>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</si>
  <si>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</si>
  <si>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</si>
  <si>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</si>
  <si>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</si>
  <si>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</si>
  <si>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</si>
  <si>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</si>
  <si>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</si>
  <si>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</si>
  <si>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</si>
  <si>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</si>
  <si>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</si>
  <si>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</si>
  <si>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</si>
  <si>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</si>
  <si>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</si>
  <si>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</si>
  <si>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</si>
  <si>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</si>
  <si>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</si>
  <si>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</si>
  <si>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</si>
  <si>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</si>
  <si>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</si>
  <si>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</si>
  <si>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</si>
  <si>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</si>
  <si>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</si>
  <si>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</si>
  <si>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</si>
  <si>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</si>
  <si>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</si>
  <si>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</si>
  <si>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</si>
  <si>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</si>
  <si>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</si>
  <si>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</si>
  <si>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</si>
  <si>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</si>
  <si>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</si>
  <si>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</si>
  <si>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</si>
  <si>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</si>
  <si>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</si>
  <si>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</si>
  <si>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</si>
  <si>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</si>
  <si>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</si>
  <si>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</si>
  <si>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</si>
  <si>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</si>
  <si>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</si>
  <si>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</si>
  <si>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</si>
  <si>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</si>
  <si>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</si>
  <si>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</si>
  <si>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</si>
  <si>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</si>
  <si>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</si>
  <si>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</si>
  <si>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</si>
  <si>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</si>
  <si>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</si>
  <si>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</si>
  <si>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</si>
  <si>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</si>
  <si>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</si>
  <si>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</si>
  <si>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</si>
  <si>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</si>
  <si>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</si>
  <si>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</si>
  <si>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</si>
  <si>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</si>
  <si>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</si>
  <si>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</si>
  <si>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</si>
  <si>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</si>
  <si>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</si>
  <si>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</si>
  <si>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</si>
  <si>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</si>
  <si>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</si>
  <si>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</si>
  <si>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</si>
  <si>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</si>
  <si>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</si>
  <si>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</si>
  <si>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</si>
  <si>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</si>
  <si>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</si>
  <si>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</si>
  <si>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</si>
  <si>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</si>
  <si>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</si>
  <si>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</si>
  <si>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</si>
  <si>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</si>
  <si>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</si>
  <si>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</si>
  <si>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</si>
  <si>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</si>
  <si>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</si>
  <si>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</si>
  <si>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</si>
  <si>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</si>
  <si>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</si>
  <si>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</si>
  <si>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</si>
  <si>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</si>
  <si>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</si>
  <si>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</si>
  <si>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</si>
  <si>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</si>
  <si>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</si>
  <si>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</si>
  <si>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</si>
  <si>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</si>
  <si>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</si>
  <si>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</si>
  <si>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</si>
  <si>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</si>
  <si>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</si>
  <si>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</si>
  <si>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</si>
  <si>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</si>
  <si>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</si>
  <si>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</si>
  <si>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</si>
  <si>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</si>
  <si>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</si>
  <si>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</si>
  <si>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</si>
  <si>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</si>
  <si>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</si>
  <si>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</si>
  <si>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</si>
  <si>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</si>
  <si>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</si>
  <si>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</si>
  <si>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</si>
  <si>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</si>
  <si>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</si>
  <si>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</si>
  <si>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</si>
  <si>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</si>
  <si>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</si>
  <si>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</si>
  <si>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</si>
  <si>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</si>
  <si>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</si>
  <si>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</si>
  <si>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</si>
  <si>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</si>
  <si>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</si>
  <si>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</si>
  <si>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</si>
  <si>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</si>
  <si>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</si>
  <si>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</si>
  <si>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</si>
  <si>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</si>
  <si>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</si>
  <si>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</si>
  <si>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</si>
  <si>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</si>
  <si>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</si>
  <si>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</si>
  <si>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</si>
  <si>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</si>
  <si>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</si>
  <si>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</si>
  <si>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</si>
  <si>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</si>
  <si>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</si>
  <si>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</si>
  <si>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</si>
  <si>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</si>
  <si>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</si>
  <si>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</si>
  <si>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</si>
  <si>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</si>
  <si>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</si>
  <si>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</si>
  <si>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</si>
  <si>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</si>
  <si>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</si>
  <si>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</si>
  <si>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</si>
  <si>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</si>
  <si>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</si>
  <si>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</si>
  <si>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</si>
  <si>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</si>
  <si>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</si>
  <si>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</si>
  <si>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</si>
  <si>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</si>
  <si>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</si>
  <si>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</si>
  <si>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</si>
  <si>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</si>
  <si>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</si>
  <si>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</si>
  <si>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</si>
  <si>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</si>
  <si>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</si>
  <si>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</si>
  <si>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</si>
  <si>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</si>
  <si>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</si>
  <si>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</si>
  <si>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</si>
  <si>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</si>
  <si>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</si>
  <si>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</si>
  <si>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</si>
  <si>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</si>
  <si>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</si>
  <si>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</si>
  <si>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</si>
  <si>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</si>
  <si>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</si>
  <si>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</si>
  <si>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</si>
  <si>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</si>
  <si>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</si>
  <si>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</si>
  <si>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</si>
  <si>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</si>
  <si>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</si>
  <si>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</si>
  <si>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</si>
  <si>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</si>
  <si>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</si>
  <si>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</si>
  <si>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</si>
  <si>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</si>
  <si>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</si>
  <si>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</si>
  <si>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</si>
  <si>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</si>
  <si>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</si>
  <si>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</si>
  <si>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</si>
  <si>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</si>
  <si>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</si>
  <si>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</si>
  <si>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</si>
  <si>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</si>
  <si>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</si>
  <si>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</si>
  <si>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</si>
  <si>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</si>
  <si>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</si>
  <si>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</si>
  <si>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</si>
  <si>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</si>
  <si>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</si>
  <si>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</si>
  <si>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</si>
  <si>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</si>
  <si>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</si>
  <si>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</si>
  <si>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</si>
  <si>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</si>
  <si>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</si>
  <si>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</si>
  <si>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</si>
  <si>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</si>
  <si>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</si>
  <si>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</si>
  <si>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</si>
  <si>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</si>
  <si>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</si>
  <si>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</si>
  <si>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</si>
  <si>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</si>
  <si>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</si>
  <si>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</si>
  <si>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</si>
  <si>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</si>
  <si>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</si>
  <si>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</si>
  <si>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</si>
  <si>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</si>
  <si>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</si>
  <si>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</si>
  <si>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</si>
  <si>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</si>
  <si>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</si>
  <si>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</si>
  <si>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</si>
  <si>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</si>
  <si>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</si>
  <si>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</si>
  <si>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</si>
  <si>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</si>
  <si>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</si>
  <si>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</si>
  <si>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</si>
  <si>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</si>
  <si>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</si>
  <si>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</si>
  <si>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</si>
  <si>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</si>
  <si>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</si>
  <si>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</si>
  <si>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</si>
  <si>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</si>
  <si>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</si>
  <si>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</si>
  <si>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</si>
  <si>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</si>
  <si>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</si>
  <si>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</si>
  <si>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</si>
  <si>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</si>
  <si>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</si>
  <si>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</si>
  <si>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</si>
  <si>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</si>
  <si>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</si>
  <si>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</si>
  <si>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</si>
  <si>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</si>
  <si>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</si>
  <si>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</si>
  <si>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</si>
  <si>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</si>
  <si>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</si>
  <si>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</si>
  <si>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</si>
  <si>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</si>
  <si>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</si>
  <si>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</si>
  <si>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</si>
  <si>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</si>
  <si>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</si>
  <si>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</si>
  <si>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</si>
  <si>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</si>
  <si>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</si>
  <si>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</si>
  <si>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</si>
  <si>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</si>
  <si>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</si>
  <si>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</si>
  <si>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</si>
  <si>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</si>
  <si>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</si>
  <si>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</si>
  <si>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</si>
  <si>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</si>
  <si>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</si>
  <si>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</si>
  <si>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</si>
  <si>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</si>
  <si>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</si>
  <si>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</si>
  <si>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</si>
  <si>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</si>
  <si>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</si>
  <si>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</si>
  <si>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</si>
  <si>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</si>
  <si>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</si>
  <si>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</si>
  <si>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</si>
  <si>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</si>
  <si>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</si>
  <si>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</si>
  <si>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</si>
  <si>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</si>
  <si>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</si>
  <si>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</si>
  <si>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</si>
  <si>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</si>
  <si>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</si>
  <si>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</si>
  <si>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</si>
  <si>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</si>
  <si>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</si>
  <si>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</si>
  <si>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</si>
  <si>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</si>
  <si>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</si>
  <si>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</si>
  <si>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</si>
  <si>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</si>
  <si>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</si>
  <si>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</si>
  <si>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</si>
  <si>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</si>
  <si>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</si>
  <si>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</si>
  <si>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</si>
  <si>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</si>
  <si>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</si>
  <si>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</si>
  <si>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</si>
  <si>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</si>
  <si>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</si>
  <si>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</si>
  <si>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</si>
  <si>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</si>
  <si>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</si>
  <si>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</si>
  <si>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</si>
  <si>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</si>
  <si>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</si>
  <si>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</si>
  <si>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</si>
  <si>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</si>
  <si>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</si>
  <si>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</si>
  <si>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</si>
  <si>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</si>
  <si>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</si>
  <si>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</si>
  <si>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</si>
  <si>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</si>
  <si>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</si>
  <si>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</si>
  <si>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</si>
  <si>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</si>
  <si>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</si>
  <si>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</si>
  <si>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</si>
  <si>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</si>
  <si>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</si>
  <si>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</si>
  <si>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</si>
  <si>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</si>
  <si>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</si>
  <si>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</si>
  <si>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</si>
  <si>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</si>
  <si>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</si>
  <si>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</si>
  <si>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</si>
  <si>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</si>
  <si>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</si>
  <si>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</si>
  <si>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</si>
  <si>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</si>
  <si>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</si>
  <si>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</si>
  <si>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</si>
  <si>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</si>
  <si>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</si>
  <si>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</si>
  <si>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</si>
  <si>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</si>
  <si>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</si>
  <si>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</si>
  <si>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</si>
  <si>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</si>
  <si>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</si>
  <si>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</si>
  <si>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</si>
  <si>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</si>
  <si>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</si>
  <si>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</si>
  <si>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</si>
  <si>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</si>
  <si>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</si>
  <si>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</si>
  <si>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</si>
  <si>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</si>
  <si>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</si>
  <si>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</si>
  <si>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</si>
  <si>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</si>
  <si>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</si>
  <si>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</si>
  <si>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</si>
  <si>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</si>
  <si>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</si>
  <si>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</si>
  <si>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</si>
  <si>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</si>
  <si>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</si>
  <si>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</si>
  <si>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</si>
  <si>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</si>
  <si>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</si>
  <si>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</si>
  <si>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</si>
  <si>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</si>
  <si>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</si>
  <si>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</si>
  <si>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</si>
  <si>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</si>
  <si>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</si>
  <si>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</si>
  <si>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</si>
  <si>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</si>
  <si>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</si>
  <si>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</si>
  <si>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</si>
  <si>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</si>
  <si>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</si>
  <si>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</si>
  <si>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</si>
  <si>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</si>
  <si>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</si>
  <si>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</si>
  <si>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</si>
  <si>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</si>
  <si>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</si>
  <si>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</si>
  <si>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</si>
  <si>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</si>
  <si>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</si>
  <si>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</si>
  <si>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</si>
  <si>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</si>
  <si>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</si>
  <si>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</si>
  <si>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</si>
  <si>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</si>
  <si>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</si>
  <si>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</si>
  <si>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</si>
  <si>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</si>
  <si>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</si>
  <si>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</si>
  <si>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</si>
  <si>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</si>
  <si>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</si>
  <si>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</si>
  <si>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</si>
  <si>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</si>
  <si>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</si>
  <si>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</si>
  <si>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</si>
  <si>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</si>
  <si>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</si>
  <si>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</si>
  <si>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</si>
  <si>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</si>
  <si>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</si>
  <si>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</si>
  <si>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</si>
  <si>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</si>
  <si>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</si>
  <si>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</si>
  <si>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</si>
  <si>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</si>
  <si>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</si>
  <si>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</si>
  <si>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</si>
  <si>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</si>
  <si>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</si>
  <si>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</si>
  <si>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</si>
  <si>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</si>
  <si>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</si>
  <si>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</si>
  <si>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</si>
  <si>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</si>
  <si>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</si>
  <si>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</si>
  <si>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</si>
  <si>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</si>
  <si>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</si>
  <si>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</si>
  <si>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</si>
  <si>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</si>
  <si>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</si>
  <si>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</si>
  <si>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</si>
  <si>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</si>
  <si>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</si>
  <si>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</si>
  <si>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</si>
  <si>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</si>
  <si>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</si>
  <si>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</si>
  <si>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</si>
  <si>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</si>
  <si>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</si>
  <si>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</si>
  <si>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</si>
  <si>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</si>
  <si>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</si>
  <si>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</si>
  <si>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</si>
  <si>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</si>
  <si>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</si>
  <si>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</si>
  <si>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</si>
  <si>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</si>
  <si>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</si>
  <si>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</si>
  <si>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</si>
  <si>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</si>
  <si>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</si>
  <si>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</si>
  <si>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</si>
  <si>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</si>
  <si>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</si>
  <si>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</si>
  <si>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</si>
  <si>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</si>
  <si>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</si>
  <si>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</si>
  <si>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</si>
  <si>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</si>
  <si>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</si>
  <si>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</si>
  <si>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</si>
  <si>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</si>
  <si>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</si>
  <si>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</si>
  <si>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</si>
  <si>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</si>
  <si>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</si>
  <si>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</si>
  <si>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</si>
  <si>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</si>
  <si>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</si>
  <si>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</si>
  <si>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</si>
  <si>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</si>
  <si>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</si>
  <si>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</si>
  <si>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</si>
  <si>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</si>
  <si>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</si>
  <si>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</si>
  <si>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</si>
  <si>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</si>
  <si>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</si>
  <si>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</si>
  <si>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</si>
  <si>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</si>
  <si>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</si>
  <si>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</si>
  <si>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</si>
  <si>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</si>
  <si>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</si>
  <si>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</si>
  <si>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</si>
  <si>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</si>
  <si>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</si>
  <si>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</si>
  <si>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</si>
  <si>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</si>
  <si>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</si>
  <si>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</si>
  <si>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</si>
  <si>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</si>
  <si>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</si>
  <si>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</si>
  <si>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</si>
  <si>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</si>
  <si>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</si>
  <si>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</si>
  <si>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</si>
  <si>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</si>
  <si>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</si>
  <si>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</si>
  <si>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</si>
  <si>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</si>
  <si>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</si>
  <si>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</si>
  <si>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</si>
  <si>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</si>
  <si>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</si>
  <si>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</si>
  <si>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</si>
  <si>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</si>
  <si>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</si>
  <si>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</si>
  <si>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</si>
  <si>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</si>
  <si>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</si>
  <si>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</si>
  <si>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</si>
  <si>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</si>
  <si>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</si>
  <si>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</si>
  <si>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</si>
  <si>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</si>
  <si>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</si>
  <si>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</si>
  <si>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</si>
  <si>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</si>
  <si>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</si>
  <si>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</si>
  <si>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</si>
  <si>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</si>
  <si>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</si>
  <si>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</si>
  <si>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</si>
  <si>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</si>
  <si>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</si>
  <si>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</si>
  <si>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</si>
  <si>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</si>
  <si>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</si>
  <si>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</si>
  <si>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</si>
  <si>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</si>
  <si>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</si>
  <si>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</si>
  <si>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</si>
  <si>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</si>
  <si>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</si>
  <si>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</si>
  <si>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</si>
  <si>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</si>
  <si>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</si>
  <si>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</si>
  <si>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</si>
  <si>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</si>
  <si>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</si>
  <si>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</si>
  <si>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</si>
  <si>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</si>
  <si>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</si>
  <si>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</si>
  <si>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</si>
  <si>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</si>
  <si>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</si>
  <si>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</si>
  <si>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</si>
  <si>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</si>
  <si>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</si>
  <si>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</si>
  <si>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</si>
  <si>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</si>
  <si>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</si>
  <si>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</si>
  <si>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</si>
  <si>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</si>
  <si>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</si>
  <si>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</si>
  <si>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</si>
  <si>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</si>
  <si>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</si>
  <si>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</si>
  <si>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</si>
  <si>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</si>
  <si>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</si>
  <si>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</si>
  <si>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</si>
  <si>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</si>
  <si>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</si>
  <si>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</si>
  <si>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</si>
  <si>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</si>
  <si>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</si>
  <si>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</si>
  <si>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</si>
  <si>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</si>
  <si>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</si>
  <si>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</si>
  <si>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</si>
  <si>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</si>
  <si>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</si>
  <si>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</si>
  <si>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</si>
  <si>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</si>
  <si>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</si>
  <si>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</si>
  <si>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</si>
  <si>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</si>
  <si>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</si>
  <si>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</si>
  <si>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</si>
  <si>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</si>
  <si>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</si>
  <si>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</si>
  <si>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</si>
  <si>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</si>
  <si>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</si>
  <si>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</si>
  <si>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</si>
  <si>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</si>
  <si>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</si>
  <si>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</si>
  <si>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</si>
  <si>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</si>
  <si>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</si>
  <si>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</si>
  <si>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</si>
  <si>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</si>
  <si>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</si>
  <si>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</si>
  <si>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</si>
  <si>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</si>
  <si>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</si>
  <si>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</si>
  <si>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</si>
  <si>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</si>
  <si>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</si>
  <si>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</si>
  <si>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</si>
  <si>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</si>
  <si>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</si>
  <si>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</si>
  <si>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</si>
  <si>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</si>
  <si>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</si>
  <si>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</si>
  <si>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</si>
  <si>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</si>
  <si>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</si>
  <si>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</si>
  <si>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</si>
  <si>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</si>
  <si>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</si>
  <si>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</si>
  <si>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</si>
  <si>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</si>
  <si>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</si>
  <si>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</si>
  <si>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</si>
  <si>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</si>
  <si>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</si>
  <si>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</si>
  <si>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</si>
  <si>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</si>
  <si>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</si>
  <si>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</si>
  <si>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</si>
  <si>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</si>
  <si>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</si>
  <si>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</si>
  <si>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</si>
  <si>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</si>
  <si>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</si>
  <si>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</si>
  <si>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</si>
  <si>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</si>
  <si>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</si>
  <si>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</si>
  <si>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</si>
  <si>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</si>
  <si>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</si>
  <si>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</si>
  <si>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</si>
  <si>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</si>
  <si>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</si>
  <si>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</si>
  <si>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</si>
  <si>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</si>
  <si>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</si>
  <si>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</si>
  <si>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</si>
  <si>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</si>
  <si>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</si>
  <si>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</si>
  <si>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</si>
  <si>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</si>
  <si>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</si>
  <si>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</si>
  <si>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</si>
  <si>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</si>
  <si>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</si>
  <si>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</si>
  <si>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</si>
  <si>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</si>
  <si>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</si>
  <si>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</si>
  <si>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</si>
  <si>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</si>
  <si>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</si>
  <si>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 xml:space="preserve">Date </t>
  </si>
  <si>
    <t>Type</t>
  </si>
  <si>
    <t>Note</t>
  </si>
  <si>
    <t>Status</t>
  </si>
  <si>
    <t>broken</t>
  </si>
  <si>
    <t>restock</t>
  </si>
  <si>
    <t>50cm</t>
  </si>
  <si>
    <t>SAYEDASASA</t>
  </si>
  <si>
    <t>jygfj</t>
  </si>
  <si>
    <t>50cn</t>
  </si>
  <si>
    <t>60cm</t>
  </si>
  <si>
    <t>s1yed</t>
  </si>
  <si>
    <t>17-4-2026</t>
  </si>
  <si>
    <t>17-4-2027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</si>
</sst>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50" activePane="bottomLeft" state="frozen"/>
      <selection pane="bottomLeft" activeCell="C52" sqref="C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3139</v>
      </c>
      <c r="O1" s="55" t="s">
        <v>3140</v>
      </c>
      <c r="P1" s="55" t="s">
        <v>3141</v>
      </c>
      <c r="Q1" s="55" t="s">
        <v>3150</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3142</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3134</v>
      </c>
      <c r="C52" s="72" t="s">
        <v>2015</v>
      </c>
      <c r="D52" s="72" t="s">
        <v>3155</v>
      </c>
      <c r="E52" s="72">
        <f>SUMIF(History1!B:B, A52, History1!C:C)</f>
        <v>256</v>
      </c>
      <c r="F52" s="72" t="s">
        <v>3154</v>
      </c>
      <c r="G52" s="72" t="s">
        <v>3154</v>
      </c>
      <c r="H52" s="72" t="s">
        <v>3154</v>
      </c>
      <c r="K52" s="72" t="s">
        <v>3143</v>
      </c>
      <c r="L52" s="70" t="s">
        <v>1063</v>
      </c>
      <c r="Q52" s="57" t="str">
        <f t="shared" si="0"/>
        <v>🟢 GOOD</v>
      </c>
    </row>
    <row r="53" spans="1:17" ht="207.6" customHeight="1">
      <c r="A53" s="56" t="s">
        <v>63</v>
      </c>
      <c r="B53" s="73" t="s">
        <v>3135</v>
      </c>
      <c r="C53" s="72" t="s">
        <v>3144</v>
      </c>
      <c r="D53" s="72">
        <v>505505050</v>
      </c>
      <c r="E53" s="72">
        <f>SUMIF(History1!B:B, A53, History1!C:C)</f>
        <v>257</v>
      </c>
      <c r="F53" s="72">
        <v>60</v>
      </c>
      <c r="G53" s="72">
        <v>98789</v>
      </c>
      <c r="H53" s="72" t="s">
        <v>3128</v>
      </c>
      <c r="K53" s="72" t="s">
        <v>2178</v>
      </c>
      <c r="L53" s="70" t="s">
        <v>1064</v>
      </c>
      <c r="Q53" s="57" t="str">
        <f t="shared" si="0"/>
        <v>🟢 GOOD</v>
      </c>
    </row>
    <row r="54" spans="1:17" ht="207.6" customHeight="1">
      <c r="A54" s="56" t="s">
        <v>64</v>
      </c>
      <c r="B54" s="73" t="s">
        <v>3136</v>
      </c>
      <c r="C54" s="72" t="s">
        <v>3145</v>
      </c>
      <c r="D54" s="72" t="s">
        <v>3153</v>
      </c>
      <c r="E54" s="72">
        <f>SUMIF(History1!B:B, A54, History1!C:C)</f>
        <v>0</v>
      </c>
      <c r="K54" s="72" t="s">
        <v>2179</v>
      </c>
      <c r="L54" s="57" t="s">
        <v>1065</v>
      </c>
      <c r="Q54" s="57" t="str">
        <f t="shared" si="0"/>
        <v>🔴 LOW</v>
      </c>
    </row>
    <row r="55" spans="1:17" ht="207.6" customHeight="1">
      <c r="A55" s="56" t="s">
        <v>65</v>
      </c>
      <c r="B55" s="73" t="s">
        <v>3137</v>
      </c>
      <c r="C55" s="72" t="s">
        <v>3146</v>
      </c>
      <c r="D55" s="72" t="s">
        <v>3156</v>
      </c>
      <c r="E55" s="72">
        <f>SUMIF(History1!B:B, A55, History1!C:C)</f>
        <v>0</v>
      </c>
      <c r="K55" s="72" t="s">
        <v>2180</v>
      </c>
      <c r="L55" s="57" t="s">
        <v>1066</v>
      </c>
      <c r="Q55" s="57" t="str">
        <f t="shared" si="0"/>
        <v>🔴 LOW</v>
      </c>
    </row>
    <row r="56" spans="1:17" ht="207.6" customHeight="1">
      <c r="A56" s="56" t="s">
        <v>66</v>
      </c>
      <c r="B56" s="73" t="s">
        <v>3138</v>
      </c>
      <c r="C56" s="72" t="s">
        <v>3158</v>
      </c>
      <c r="D56" s="72" t="s">
        <v>3157</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abSelected="1" workbookViewId="0">
      <selection activeCell="A4" sqref="A4"/>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3147</v>
      </c>
      <c r="B1" s="78" t="s">
        <v>0</v>
      </c>
      <c r="C1" s="78" t="s">
        <v>2013</v>
      </c>
      <c r="D1" s="78" t="s">
        <v>3148</v>
      </c>
      <c r="E1" s="78" t="s">
        <v>3149</v>
      </c>
      <c r="F1" s="78" t="s">
        <v>2</v>
      </c>
    </row>
    <row r="2" spans="1:6" ht="55.8" customHeight="1">
      <c r="A2" s="76" t="s">
        <v>3159</v>
      </c>
      <c r="B2" s="76" t="s">
        <v>62</v>
      </c>
      <c r="C2" s="76">
        <v>256</v>
      </c>
      <c r="D2" s="76" t="s">
        <v>3152</v>
      </c>
      <c r="E2" s="76" t="s">
        <v>3151</v>
      </c>
      <c r="F2" s="76" t="s">
        <v>2015</v>
      </c>
    </row>
    <row r="3" spans="1:6" ht="55.8" customHeight="1">
      <c r="A3" s="76" t="s">
        <v>3160</v>
      </c>
      <c r="B3" s="76" t="s">
        <v>63</v>
      </c>
      <c r="C3" s="76">
        <v>257</v>
      </c>
      <c r="D3" s="76" t="s">
        <v>3152</v>
      </c>
      <c r="E3" s="76" t="s">
        <v>3151</v>
      </c>
      <c r="F3" s="76" t="s">
        <v>2015</v>
      </c>
    </row>
    <row r="4" spans="1:6" ht="55.8" customHeight="1">
      <c r="A4"/>
      <c r="B4"/>
      <c r="C4"/>
      <c r="D4"/>
      <c r="E4"/>
      <c r="F4"/>
    </row>
    <row r="5" spans="1:6" ht="55.8" customHeight="1">
      <c r="A5"/>
      <c r="B5"/>
      <c r="C5"/>
      <c r="D5"/>
      <c r="E5"/>
      <c r="F5"/>
    </row>
    <row r="6" spans="1:6" ht="55.8" customHeight="1">
      <c r="A6"/>
      <c r="B6"/>
      <c r="C6"/>
      <c r="D6"/>
      <c r="E6"/>
      <c r="F6"/>
    </row>
    <row r="7" spans="1:6" ht="55.8" customHeight="1">
      <c r="A7"/>
      <c r="B7"/>
      <c r="C7"/>
      <c r="D7"/>
      <c r="E7"/>
      <c r="F7"/>
    </row>
    <row r="8" spans="1:6" ht="55.8" customHeight="1">
      <c r="A8"/>
      <c r="B8"/>
      <c r="C8"/>
      <c r="D8"/>
      <c r="E8"/>
      <c r="F8"/>
    </row>
    <row r="9" spans="1:6" ht="55.8" customHeight="1">
      <c r="A9"/>
      <c r="B9"/>
      <c r="C9"/>
      <c r="D9"/>
      <c r="E9"/>
      <c r="F9"/>
    </row>
    <row r="10" spans="1:6" ht="55.8" customHeight="1">
      <c r="A10"/>
      <c r="B10"/>
      <c r="C10"/>
      <c r="D10"/>
      <c r="E10"/>
      <c r="F10"/>
    </row>
    <row r="11" spans="1:6" ht="55.8" customHeight="1">
      <c r="A11"/>
      <c r="B11"/>
      <c r="C11"/>
      <c r="D11"/>
      <c r="E11"/>
      <c r="F11"/>
    </row>
    <row r="12" spans="1:6" ht="55.8" customHeight="1">
      <c r="A12"/>
      <c r="B12"/>
      <c r="C12"/>
      <c r="D12"/>
      <c r="E12"/>
      <c r="F12"/>
    </row>
    <row r="13" spans="1:6"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3144</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FP0052</v>
      </c>
      <c r="B3" s="49" t="str">
        <v>Glass</v>
      </c>
      <c r="C3" s="49" t="str">
        <v>glass</v>
      </c>
      <c r="D3" s="49">
        <v>505505050</v>
      </c>
      <c r="E3" s="49">
        <v>257</v>
      </c>
      <c r="F3" s="49">
        <v>60</v>
      </c>
      <c r="G3" s="49">
        <v>98789</v>
      </c>
      <c r="H3" s="49" t="str">
        <v>a2</v>
      </c>
      <c r="I3" s="49">
        <v>0</v>
      </c>
      <c r="J3" s="49">
        <v>0</v>
      </c>
      <c r="K3" s="49" t="str">
        <v>fp0052.jpg</v>
      </c>
      <c r="L3" s="49" t="str">
        <v>https://FlowerSystem-lb.github.io/inventorysystem/html/FP0052.html</v>
      </c>
      <c r="M3" s="49">
        <v>0</v>
      </c>
      <c r="N3" s="49">
        <v>0</v>
      </c>
      <c r="O3" s="49">
        <v>0</v>
      </c>
      <c r="P3" s="49">
        <v>0</v>
      </c>
      <c r="Q3" s="49" t="str">
        <v>🟢 GOOD</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2026-04-17T14:49:15Z</dcterms:modified>
</cp:coreProperties>
</file>