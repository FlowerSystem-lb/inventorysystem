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1F9A4DD2-3C67-46C6-9D3E-9A38335B0ADF}"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<sst xmlns="http://schemas.openxmlformats.org/spreadsheetml/2006/main" count="2052" uniqueCount="2032">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</sst>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9">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b/>
      <sz val="16"/>
      <name val="Arial Black"/>
      <family val="2"/>
    </font>
    <font>
      <b/>
      <sz val="28"/>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6">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37" fillId="0" borderId="0" xfId="0" applyFont="1" applyFill="1" applyBorder="1" applyAlignment="1">
      <alignment horizontal="center" vertical="center" wrapText="1"/>
    </xf>
    <xf numFmtId="0" fontId="38" fillId="0" borderId="0" xfId="0" applyFont="1" applyFill="1" applyBorder="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D13" sqref="C13:D17"/>
    </sheetView>
  </sheetViews>
  <sheetFormatPr defaultColWidth="33" defaultRowHeight="109.8" customHeight="1"/>
  <cols>
    <col min="1" max="1" width="33" style="56"/>
    <col min="2" max="2" width="33" style="75"/>
    <col min="3"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row>
    <row r="2" spans="1:14" ht="207.6" customHeight="1">
      <c r="A2" s="56" t="s">
        <v>12</v>
      </c>
      <c r="B2" s="74"/>
      <c r="D2" s="74"/>
      <c r="L2" s="70" t="s">
        <v>1013</v>
      </c>
      <c r="N2" s="70"/>
    </row>
    <row r="3" spans="1:14" ht="207.6" customHeight="1">
      <c r="A3" s="56" t="s">
        <v>13</v>
      </c>
      <c r="B3" s="74"/>
      <c r="D3" s="74"/>
      <c r="L3" s="58" t="s">
        <v>1014</v>
      </c>
    </row>
    <row r="4" spans="1:14" ht="207.6" customHeight="1">
      <c r="A4" s="56" t="s">
        <v>14</v>
      </c>
      <c r="B4" s="74"/>
      <c r="D4" s="74"/>
      <c r="L4" s="58" t="s">
        <v>1015</v>
      </c>
    </row>
    <row r="5" spans="1:14" ht="207.6" customHeight="1">
      <c r="A5" s="56" t="s">
        <v>15</v>
      </c>
      <c r="B5" s="74"/>
      <c r="D5" s="74"/>
      <c r="L5" s="58" t="s">
        <v>1016</v>
      </c>
    </row>
    <row r="6" spans="1:14" ht="207.6" customHeight="1">
      <c r="A6" s="56" t="s">
        <v>16</v>
      </c>
      <c r="B6" s="74"/>
      <c r="D6" s="74"/>
      <c r="L6" s="57" t="s">
        <v>1017</v>
      </c>
    </row>
    <row r="7" spans="1:14" ht="207.6" customHeight="1">
      <c r="A7" s="56" t="s">
        <v>17</v>
      </c>
      <c r="B7" s="74"/>
      <c r="D7" s="74"/>
      <c r="L7" s="57" t="s">
        <v>1018</v>
      </c>
    </row>
    <row r="8" spans="1:14" ht="207.6" customHeight="1">
      <c r="A8" s="56" t="s">
        <v>18</v>
      </c>
      <c r="B8" s="74"/>
      <c r="D8" s="74"/>
      <c r="L8" s="57" t="s">
        <v>1019</v>
      </c>
    </row>
    <row r="9" spans="1:14" ht="207.6" customHeight="1">
      <c r="A9" s="56" t="s">
        <v>19</v>
      </c>
      <c r="B9" s="74"/>
      <c r="D9" s="74"/>
      <c r="L9" s="57" t="s">
        <v>1020</v>
      </c>
    </row>
    <row r="10" spans="1:14" ht="207.6" customHeight="1">
      <c r="A10" s="56" t="s">
        <v>20</v>
      </c>
      <c r="B10" s="74"/>
      <c r="D10" s="74"/>
      <c r="L10" s="70" t="s">
        <v>1021</v>
      </c>
    </row>
    <row r="11" spans="1:14" ht="207.6" customHeight="1">
      <c r="A11" s="56" t="s">
        <v>21</v>
      </c>
      <c r="B11" s="74"/>
      <c r="D11" s="74"/>
      <c r="L11" s="70" t="s">
        <v>1022</v>
      </c>
    </row>
    <row r="12" spans="1:14" ht="207.6" customHeight="1">
      <c r="A12" s="56" t="s">
        <v>22</v>
      </c>
      <c r="B12" s="74"/>
      <c r="D12" s="74"/>
      <c r="L12" s="57" t="s">
        <v>1023</v>
      </c>
    </row>
    <row r="13" spans="1:14" ht="207.6" customHeight="1">
      <c r="A13" s="56" t="s">
        <v>23</v>
      </c>
      <c r="B13" s="74"/>
      <c r="D13" s="74"/>
      <c r="L13" s="57" t="s">
        <v>1024</v>
      </c>
    </row>
    <row r="14" spans="1:14" ht="207.6" customHeight="1">
      <c r="A14" s="56" t="s">
        <v>24</v>
      </c>
      <c r="B14" s="74"/>
      <c r="D14" s="74"/>
      <c r="L14" s="57" t="s">
        <v>1025</v>
      </c>
    </row>
    <row r="15" spans="1:14" ht="207.6" customHeight="1">
      <c r="A15" s="56" t="s">
        <v>25</v>
      </c>
      <c r="B15" s="74"/>
      <c r="D15" s="74"/>
      <c r="L15" s="57" t="s">
        <v>1026</v>
      </c>
    </row>
    <row r="16" spans="1:14" ht="207.6" customHeight="1">
      <c r="A16" s="56" t="s">
        <v>26</v>
      </c>
      <c r="B16" s="74"/>
      <c r="D16" s="74"/>
      <c r="L16" s="57" t="s">
        <v>1027</v>
      </c>
    </row>
    <row r="17" spans="1:12" ht="207.6" customHeight="1">
      <c r="A17" s="56" t="s">
        <v>27</v>
      </c>
      <c r="B17" s="74"/>
      <c r="D17" s="74"/>
      <c r="L17" s="57" t="s">
        <v>1028</v>
      </c>
    </row>
    <row r="18" spans="1:12" ht="207.6" customHeight="1">
      <c r="A18" s="56" t="s">
        <v>28</v>
      </c>
      <c r="B18" s="74"/>
      <c r="D18" s="74"/>
      <c r="L18" s="57" t="s">
        <v>1029</v>
      </c>
    </row>
    <row r="19" spans="1:12" ht="207.6" customHeight="1">
      <c r="A19" s="56" t="s">
        <v>29</v>
      </c>
      <c r="B19" s="74"/>
      <c r="D19" s="74"/>
      <c r="L19" s="57" t="s">
        <v>1030</v>
      </c>
    </row>
    <row r="20" spans="1:12" ht="207.6" customHeight="1">
      <c r="A20" s="56" t="s">
        <v>30</v>
      </c>
      <c r="B20" s="74"/>
      <c r="D20" s="74"/>
      <c r="L20" s="57" t="s">
        <v>1031</v>
      </c>
    </row>
    <row r="21" spans="1:12" ht="207.6" customHeight="1">
      <c r="A21" s="56" t="s">
        <v>31</v>
      </c>
      <c r="B21" s="74"/>
      <c r="D21" s="74"/>
      <c r="L21" s="57" t="s">
        <v>1032</v>
      </c>
    </row>
    <row r="22" spans="1:12" ht="207.6" customHeight="1">
      <c r="A22" s="56" t="s">
        <v>32</v>
      </c>
      <c r="B22" s="74"/>
      <c r="D22" s="74"/>
      <c r="L22" s="57" t="s">
        <v>1033</v>
      </c>
    </row>
    <row r="23" spans="1:12" ht="207.6" customHeight="1">
      <c r="A23" s="56" t="s">
        <v>33</v>
      </c>
      <c r="B23" s="74"/>
      <c r="D23" s="74"/>
      <c r="L23" s="57" t="s">
        <v>1034</v>
      </c>
    </row>
    <row r="24" spans="1:12" ht="207.6" customHeight="1">
      <c r="A24" s="56" t="s">
        <v>34</v>
      </c>
      <c r="B24" s="74"/>
      <c r="D24" s="74"/>
      <c r="L24" s="57" t="s">
        <v>1035</v>
      </c>
    </row>
    <row r="25" spans="1:12" ht="207.6" customHeight="1">
      <c r="A25" s="56" t="s">
        <v>35</v>
      </c>
      <c r="B25" s="74"/>
      <c r="D25" s="74"/>
      <c r="L25" s="57" t="s">
        <v>1036</v>
      </c>
    </row>
    <row r="26" spans="1:12" ht="207.6" customHeight="1">
      <c r="A26" s="56" t="s">
        <v>36</v>
      </c>
      <c r="B26" s="74"/>
      <c r="D26" s="74"/>
      <c r="L26" s="57" t="s">
        <v>1037</v>
      </c>
    </row>
    <row r="27" spans="1:12" ht="207.6" customHeight="1">
      <c r="A27" s="56" t="s">
        <v>37</v>
      </c>
      <c r="B27" s="74"/>
      <c r="D27" s="74"/>
      <c r="L27" s="57" t="s">
        <v>1038</v>
      </c>
    </row>
    <row r="28" spans="1:12" ht="207.6" customHeight="1">
      <c r="A28" s="56" t="s">
        <v>38</v>
      </c>
      <c r="B28" s="74"/>
      <c r="D28" s="74"/>
      <c r="L28" s="57" t="s">
        <v>1039</v>
      </c>
    </row>
    <row r="29" spans="1:12" ht="207.6" customHeight="1">
      <c r="A29" s="56" t="s">
        <v>39</v>
      </c>
      <c r="B29" s="74"/>
      <c r="D29" s="74"/>
      <c r="L29" s="57" t="s">
        <v>1040</v>
      </c>
    </row>
    <row r="30" spans="1:12" ht="207.6" customHeight="1">
      <c r="A30" s="56" t="s">
        <v>40</v>
      </c>
      <c r="B30" s="74"/>
      <c r="D30" s="74"/>
      <c r="L30" s="57" t="s">
        <v>1041</v>
      </c>
    </row>
    <row r="31" spans="1:12" ht="207.6" customHeight="1">
      <c r="A31" s="56" t="s">
        <v>41</v>
      </c>
      <c r="B31" s="74"/>
      <c r="D31" s="74"/>
      <c r="L31" s="57" t="s">
        <v>1042</v>
      </c>
    </row>
    <row r="32" spans="1:12" ht="207.6" customHeight="1">
      <c r="A32" s="56" t="s">
        <v>42</v>
      </c>
      <c r="B32" s="74"/>
      <c r="D32" s="74"/>
      <c r="L32" s="70" t="s">
        <v>1043</v>
      </c>
    </row>
    <row r="33" spans="1:12" ht="207.6" customHeight="1">
      <c r="A33" s="56" t="s">
        <v>43</v>
      </c>
      <c r="B33" s="74"/>
      <c r="D33" s="74"/>
      <c r="L33" s="70" t="s">
        <v>1044</v>
      </c>
    </row>
    <row r="34" spans="1:12" ht="207.6" customHeight="1">
      <c r="A34" s="56" t="s">
        <v>44</v>
      </c>
      <c r="B34" s="74"/>
      <c r="D34" s="74"/>
      <c r="L34" s="57" t="s">
        <v>1045</v>
      </c>
    </row>
    <row r="35" spans="1:12" ht="207.6" customHeight="1">
      <c r="A35" s="56" t="s">
        <v>45</v>
      </c>
      <c r="B35" s="74"/>
      <c r="D35" s="74"/>
      <c r="L35" s="57" t="s">
        <v>1046</v>
      </c>
    </row>
    <row r="36" spans="1:12" ht="207.6" customHeight="1">
      <c r="A36" s="56" t="s">
        <v>46</v>
      </c>
      <c r="B36" s="74"/>
      <c r="D36" s="74"/>
      <c r="L36" s="57" t="s">
        <v>1047</v>
      </c>
    </row>
    <row r="37" spans="1:12" ht="207.6" customHeight="1">
      <c r="A37" s="56" t="s">
        <v>47</v>
      </c>
      <c r="B37" s="74"/>
      <c r="D37" s="74"/>
      <c r="L37" s="57" t="s">
        <v>1048</v>
      </c>
    </row>
    <row r="38" spans="1:12" ht="207.6" customHeight="1">
      <c r="A38" s="56" t="s">
        <v>48</v>
      </c>
      <c r="B38" s="74"/>
      <c r="D38" s="74"/>
      <c r="L38" s="57" t="s">
        <v>1049</v>
      </c>
    </row>
    <row r="39" spans="1:12" ht="207.6" customHeight="1">
      <c r="A39" s="56" t="s">
        <v>49</v>
      </c>
      <c r="B39" s="74"/>
      <c r="D39" s="74"/>
      <c r="L39" s="57" t="s">
        <v>1050</v>
      </c>
    </row>
    <row r="40" spans="1:12" ht="207.6" customHeight="1">
      <c r="A40" s="56" t="s">
        <v>50</v>
      </c>
      <c r="B40" s="74"/>
      <c r="D40" s="74"/>
      <c r="L40" s="57" t="s">
        <v>1051</v>
      </c>
    </row>
    <row r="41" spans="1:12" ht="207.6" customHeight="1">
      <c r="A41" s="56" t="s">
        <v>51</v>
      </c>
      <c r="B41" s="74"/>
      <c r="D41" s="74"/>
      <c r="L41" s="57" t="s">
        <v>1052</v>
      </c>
    </row>
    <row r="42" spans="1:12" ht="207.6" customHeight="1">
      <c r="A42" s="56" t="s">
        <v>52</v>
      </c>
      <c r="B42" s="74"/>
      <c r="D42" s="74"/>
      <c r="L42" s="57" t="s">
        <v>1053</v>
      </c>
    </row>
    <row r="43" spans="1:12" ht="207.6" customHeight="1">
      <c r="A43" s="56" t="s">
        <v>53</v>
      </c>
      <c r="B43" s="74"/>
      <c r="D43" s="74"/>
      <c r="L43" s="57" t="s">
        <v>1054</v>
      </c>
    </row>
    <row r="44" spans="1:12" ht="207.6" customHeight="1">
      <c r="A44" s="56" t="s">
        <v>54</v>
      </c>
      <c r="B44" s="74"/>
      <c r="D44" s="74"/>
      <c r="L44" s="57" t="s">
        <v>1055</v>
      </c>
    </row>
    <row r="45" spans="1:12" ht="207.6" customHeight="1">
      <c r="A45" s="56" t="s">
        <v>55</v>
      </c>
      <c r="B45" s="74"/>
      <c r="D45" s="74"/>
      <c r="L45" s="57" t="s">
        <v>1056</v>
      </c>
    </row>
    <row r="46" spans="1:12" ht="207.6" customHeight="1">
      <c r="A46" s="56" t="s">
        <v>56</v>
      </c>
      <c r="B46" s="74"/>
      <c r="D46" s="74"/>
      <c r="L46" s="57" t="s">
        <v>1057</v>
      </c>
    </row>
    <row r="47" spans="1:12" ht="207.6" customHeight="1">
      <c r="A47" s="56" t="s">
        <v>57</v>
      </c>
      <c r="B47" s="74"/>
      <c r="D47" s="74"/>
      <c r="L47" s="57" t="s">
        <v>1058</v>
      </c>
    </row>
    <row r="48" spans="1:12" ht="207.6" customHeight="1">
      <c r="A48" s="56" t="s">
        <v>58</v>
      </c>
      <c r="B48" s="74"/>
      <c r="D48" s="74"/>
      <c r="L48" s="57" t="s">
        <v>1059</v>
      </c>
    </row>
    <row r="49" spans="1:12" ht="207.6" customHeight="1">
      <c r="A49" s="56" t="s">
        <v>59</v>
      </c>
      <c r="B49" s="74"/>
      <c r="D49" s="74"/>
      <c r="L49" s="57" t="s">
        <v>1060</v>
      </c>
    </row>
    <row r="50" spans="1:12" ht="207.6" customHeight="1">
      <c r="A50" s="56" t="s">
        <v>60</v>
      </c>
      <c r="B50" s="74"/>
      <c r="D50" s="74"/>
      <c r="L50" s="57" t="s">
        <v>1061</v>
      </c>
    </row>
    <row r="51" spans="1:12" ht="207.6" customHeight="1">
      <c r="A51" s="56" t="s">
        <v>61</v>
      </c>
      <c r="B51" s="74"/>
      <c r="D51" s="74"/>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f>IFERROR(VLOOKUP(B14,Inventory!A:K,3,FALSE),"")</f>
        <v>0</v>
      </c>
      <c r="F14" s="63">
        <f>IFERROR(VLOOKUP(B14,Inventory!A:K,4,FALSE),"")</f>
        <v>0</v>
      </c>
      <c r="G14" s="63"/>
      <c r="H14" s="63">
        <f>IFERROR(VLOOKUP(B14,Inventory!A:K,2,FALSE),"")</f>
        <v>0</v>
      </c>
      <c r="I14" s="27"/>
    </row>
    <row r="15" spans="1:13" ht="55.8" customHeight="1">
      <c r="A15" s="1"/>
      <c r="B15" s="62" t="s">
        <v>12</v>
      </c>
      <c r="C15" s="65">
        <f>IFERROR(VLOOKUP(B15,Inventory!A:K,10,FALSE),"")</f>
        <v>0</v>
      </c>
      <c r="D15" s="64"/>
      <c r="E15" s="63">
        <f>IFERROR(VLOOKUP(B15,Inventory!A:K,3,FALSE),"")</f>
        <v>0</v>
      </c>
      <c r="F15" s="63">
        <f>IFERROR(VLOOKUP(B15,Inventory!A:K,4,FALSE),"")</f>
        <v>0</v>
      </c>
      <c r="G15" s="63"/>
      <c r="H15" s="63">
        <f>IFERROR(VLOOKUP(B15,Inventory!A:K,2,FALSE),"")</f>
        <v>0</v>
      </c>
      <c r="I15" s="27"/>
    </row>
    <row r="16" spans="1:13" ht="55.8" customHeight="1">
      <c r="A16" s="1"/>
      <c r="B16" s="62" t="s">
        <v>2031</v>
      </c>
      <c r="C16" s="65">
        <f>IFERROR(VLOOKUP(B16,Inventory!A:K,10,FALSE),"")</f>
        <v>0</v>
      </c>
      <c r="D16" s="64"/>
      <c r="E16" s="63">
        <f>IFERROR(VLOOKUP(B16,Inventory!A:K,3,FALSE),"")</f>
        <v>0</v>
      </c>
      <c r="F16" s="63">
        <f>IFERROR(VLOOKUP(B16,Inventory!A:K,4,FALSE),"")</f>
        <v>0</v>
      </c>
      <c r="G16" s="63"/>
      <c r="H16" s="63">
        <f>IFERROR(VLOOKUP(B16,Inventory!A:K,2,FALSE),"")</f>
        <v>0</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2026-04-11T10:17:30Z</dcterms:modified>
</cp:coreProperties>
</file>