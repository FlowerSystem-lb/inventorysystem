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updateLinks="always" codeName="ThisWorkbook"/>
  <mc:AlternateContent xmlns:mc="http://schemas.openxmlformats.org/markup-compatibility/2006">
    <mc:Choice Requires="x15">
      <x15ac:absPath xmlns:x15ac="http://schemas.microsoft.com/office/spreadsheetml/2010/11/ac" url="C:\InventorySystem\"/>
    </mc:Choice>
  </mc:AlternateContent>
  <xr:revisionPtr revIDLastSave="0" documentId="13_ncr:1_{E3B24969-37C9-4039-A1E8-33F8B4E97587}" xr6:coauthVersionLast="47" xr6:coauthVersionMax="47" xr10:uidLastSave="{00000000-0000-0000-0000-000000000000}"/>
  <bookViews>
    <workbookView xWindow="-108" yWindow="-108" windowWidth="23256" windowHeight="13176" activeTab="1" xr2:uid="{00000000-000D-0000-FFFF-FFFF00000000}"/>
  </bookViews>
  <sheets>
    <sheet name="Inventory" sheetId="1" r:id="rId1"/>
    <sheet name="History1" sheetId="4" r:id="rId2"/>
    <sheet name="Search" sheetId="3" r:id="rId3"/>
    <sheet name="Invoice" sheetId="2" r:id="rId4"/>
  </sheets>
  <functionGroups builtInGroupCount="19"/>
  <externalReferences>
    <externalReference r:id="rId5"/>
  </externalReferences>
  <definedNames>
    <definedName name="_xlnm.Print_Area" localSheetId="0">Inventory!$M:$M</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55" i="1" l="1"/>
  <c r="Q55" i="1" s="1"/>
  <c r="E56" i="1"/>
  <c r="Q56" i="1" s="1"/>
  <c r="E57" i="1"/>
  <c r="Q57" i="1" s="1"/>
  <c r="E58" i="1"/>
  <c r="Q58" i="1" s="1"/>
  <c r="E59" i="1"/>
  <c r="Q59" i="1" s="1"/>
  <c r="E60" i="1"/>
  <c r="Q60" i="1" s="1"/>
  <c r="E61" i="1"/>
  <c r="Q61" i="1" s="1"/>
  <c r="E62" i="1"/>
  <c r="Q62" i="1" s="1"/>
  <c r="E63" i="1"/>
  <c r="Q63" i="1" s="1"/>
  <c r="E64" i="1"/>
  <c r="Q64" i="1" s="1"/>
  <c r="E65" i="1"/>
  <c r="Q65" i="1" s="1"/>
  <c r="E66" i="1"/>
  <c r="Q66" i="1" s="1"/>
  <c r="E67" i="1"/>
  <c r="Q67" i="1" s="1"/>
  <c r="E68" i="1"/>
  <c r="Q68" i="1" s="1"/>
  <c r="E69" i="1"/>
  <c r="Q69" i="1" s="1"/>
  <c r="E70" i="1"/>
  <c r="Q70" i="1" s="1"/>
  <c r="E71" i="1"/>
  <c r="Q71" i="1" s="1"/>
  <c r="E72" i="1"/>
  <c r="Q72" i="1" s="1"/>
  <c r="E73" i="1"/>
  <c r="Q73" i="1" s="1"/>
  <c r="E74" i="1"/>
  <c r="Q74" i="1" s="1"/>
  <c r="E75" i="1"/>
  <c r="Q75" i="1" s="1"/>
  <c r="E76" i="1"/>
  <c r="Q76" i="1" s="1"/>
  <c r="E77" i="1"/>
  <c r="Q77" i="1" s="1"/>
  <c r="E78" i="1"/>
  <c r="Q78" i="1" s="1"/>
  <c r="E79" i="1"/>
  <c r="Q79" i="1" s="1"/>
  <c r="E80" i="1"/>
  <c r="Q80" i="1" s="1"/>
  <c r="E81" i="1"/>
  <c r="Q81" i="1" s="1"/>
  <c r="E82" i="1"/>
  <c r="Q82" i="1" s="1"/>
  <c r="E83" i="1"/>
  <c r="Q83" i="1" s="1"/>
  <c r="E84" i="1"/>
  <c r="Q84" i="1" s="1"/>
  <c r="E85" i="1"/>
  <c r="Q85" i="1" s="1"/>
  <c r="E86" i="1"/>
  <c r="Q86" i="1" s="1"/>
  <c r="E87" i="1"/>
  <c r="Q87" i="1" s="1"/>
  <c r="E88" i="1"/>
  <c r="Q88" i="1" s="1"/>
  <c r="E89" i="1"/>
  <c r="Q89" i="1" s="1"/>
  <c r="E90" i="1"/>
  <c r="Q90" i="1" s="1"/>
  <c r="E91" i="1"/>
  <c r="Q91" i="1" s="1"/>
  <c r="E92" i="1"/>
  <c r="Q92" i="1" s="1"/>
  <c r="E93" i="1"/>
  <c r="Q93" i="1" s="1"/>
  <c r="E94" i="1"/>
  <c r="Q94" i="1" s="1"/>
  <c r="E95" i="1"/>
  <c r="Q95" i="1" s="1"/>
  <c r="E96" i="1"/>
  <c r="Q96" i="1" s="1"/>
  <c r="E97" i="1"/>
  <c r="Q97" i="1" s="1"/>
  <c r="E98" i="1"/>
  <c r="Q98" i="1" s="1"/>
  <c r="E99" i="1"/>
  <c r="Q99" i="1" s="1"/>
  <c r="E100" i="1"/>
  <c r="Q100" i="1" s="1"/>
  <c r="E101" i="1"/>
  <c r="Q101" i="1" s="1"/>
  <c r="E102" i="1"/>
  <c r="Q102" i="1" s="1"/>
  <c r="E103" i="1"/>
  <c r="Q103" i="1" s="1"/>
  <c r="E104" i="1"/>
  <c r="Q104" i="1" s="1"/>
  <c r="E105" i="1"/>
  <c r="Q105" i="1" s="1"/>
  <c r="E106" i="1"/>
  <c r="Q106" i="1" s="1"/>
  <c r="E107" i="1"/>
  <c r="Q107" i="1" s="1"/>
  <c r="E108" i="1"/>
  <c r="Q108" i="1" s="1"/>
  <c r="E109" i="1"/>
  <c r="Q109" i="1" s="1"/>
  <c r="E110" i="1"/>
  <c r="Q110" i="1" s="1"/>
  <c r="E111" i="1"/>
  <c r="Q111" i="1" s="1"/>
  <c r="E112" i="1"/>
  <c r="Q112" i="1" s="1"/>
  <c r="E113" i="1"/>
  <c r="Q113" i="1" s="1"/>
  <c r="E114" i="1"/>
  <c r="Q114" i="1" s="1"/>
  <c r="E115" i="1"/>
  <c r="Q115" i="1" s="1"/>
  <c r="E116" i="1"/>
  <c r="Q116" i="1" s="1"/>
  <c r="E117" i="1"/>
  <c r="Q117" i="1" s="1"/>
  <c r="E118" i="1"/>
  <c r="Q118" i="1" s="1"/>
  <c r="E119" i="1"/>
  <c r="Q119" i="1" s="1"/>
  <c r="E120" i="1"/>
  <c r="Q120" i="1" s="1"/>
  <c r="E121" i="1"/>
  <c r="Q121" i="1" s="1"/>
  <c r="E122" i="1"/>
  <c r="Q122" i="1" s="1"/>
  <c r="E123" i="1"/>
  <c r="Q123" i="1" s="1"/>
  <c r="E124" i="1"/>
  <c r="Q124" i="1" s="1"/>
  <c r="E125" i="1"/>
  <c r="Q125" i="1" s="1"/>
  <c r="E126" i="1"/>
  <c r="Q126" i="1" s="1"/>
  <c r="E127" i="1"/>
  <c r="Q127" i="1" s="1"/>
  <c r="E128" i="1"/>
  <c r="Q128" i="1" s="1"/>
  <c r="E129" i="1"/>
  <c r="Q129" i="1" s="1"/>
  <c r="E130" i="1"/>
  <c r="Q130" i="1" s="1"/>
  <c r="E131" i="1"/>
  <c r="Q131" i="1" s="1"/>
  <c r="E132" i="1"/>
  <c r="Q132" i="1" s="1"/>
  <c r="E133" i="1"/>
  <c r="Q133" i="1" s="1"/>
  <c r="E134" i="1"/>
  <c r="Q134" i="1" s="1"/>
  <c r="E135" i="1"/>
  <c r="Q135" i="1" s="1"/>
  <c r="E136" i="1"/>
  <c r="Q136" i="1" s="1"/>
  <c r="E137" i="1"/>
  <c r="Q137" i="1" s="1"/>
  <c r="E138" i="1"/>
  <c r="Q138" i="1" s="1"/>
  <c r="E139" i="1"/>
  <c r="Q139" i="1" s="1"/>
  <c r="E140" i="1"/>
  <c r="Q140" i="1" s="1"/>
  <c r="E141" i="1"/>
  <c r="Q141" i="1" s="1"/>
  <c r="E142" i="1"/>
  <c r="Q142" i="1" s="1"/>
  <c r="E143" i="1"/>
  <c r="Q143" i="1" s="1"/>
  <c r="E144" i="1"/>
  <c r="Q144" i="1" s="1"/>
  <c r="E145" i="1"/>
  <c r="Q145" i="1" s="1"/>
  <c r="E146" i="1"/>
  <c r="Q146" i="1" s="1"/>
  <c r="E147" i="1"/>
  <c r="Q147" i="1" s="1"/>
  <c r="E148" i="1"/>
  <c r="Q148" i="1" s="1"/>
  <c r="E149" i="1"/>
  <c r="Q149" i="1" s="1"/>
  <c r="E150" i="1"/>
  <c r="Q150" i="1" s="1"/>
  <c r="E151" i="1"/>
  <c r="Q151" i="1" s="1"/>
  <c r="E152" i="1"/>
  <c r="Q152" i="1" s="1"/>
  <c r="E153" i="1"/>
  <c r="Q153" i="1" s="1"/>
  <c r="E154" i="1"/>
  <c r="Q154" i="1" s="1"/>
  <c r="E155" i="1"/>
  <c r="Q155" i="1" s="1"/>
  <c r="E156" i="1"/>
  <c r="Q156" i="1" s="1"/>
  <c r="E157" i="1"/>
  <c r="Q157" i="1" s="1"/>
  <c r="E158" i="1"/>
  <c r="Q158" i="1" s="1"/>
  <c r="E159" i="1"/>
  <c r="Q159" i="1" s="1"/>
  <c r="E160" i="1"/>
  <c r="Q160" i="1" s="1"/>
  <c r="E161" i="1"/>
  <c r="Q161" i="1" s="1"/>
  <c r="E162" i="1"/>
  <c r="Q162" i="1" s="1"/>
  <c r="E163" i="1"/>
  <c r="Q163" i="1" s="1"/>
  <c r="E164" i="1"/>
  <c r="Q164" i="1" s="1"/>
  <c r="E165" i="1"/>
  <c r="Q165" i="1" s="1"/>
  <c r="E166" i="1"/>
  <c r="Q166" i="1" s="1"/>
  <c r="E167" i="1"/>
  <c r="Q167" i="1" s="1"/>
  <c r="E168" i="1"/>
  <c r="Q168" i="1" s="1"/>
  <c r="E169" i="1"/>
  <c r="Q169" i="1" s="1"/>
  <c r="E170" i="1"/>
  <c r="Q170" i="1" s="1"/>
  <c r="E171" i="1"/>
  <c r="Q171" i="1" s="1"/>
  <c r="E172" i="1"/>
  <c r="Q172" i="1" s="1"/>
  <c r="E173" i="1"/>
  <c r="Q173" i="1" s="1"/>
  <c r="E174" i="1"/>
  <c r="Q174" i="1" s="1"/>
  <c r="E175" i="1"/>
  <c r="Q175" i="1" s="1"/>
  <c r="E176" i="1"/>
  <c r="Q176" i="1" s="1"/>
  <c r="E177" i="1"/>
  <c r="Q177" i="1" s="1"/>
  <c r="E178" i="1"/>
  <c r="Q178" i="1" s="1"/>
  <c r="E179" i="1"/>
  <c r="Q179" i="1" s="1"/>
  <c r="E180" i="1"/>
  <c r="Q180" i="1" s="1"/>
  <c r="E181" i="1"/>
  <c r="Q181" i="1" s="1"/>
  <c r="E182" i="1"/>
  <c r="Q182" i="1" s="1"/>
  <c r="E183" i="1"/>
  <c r="Q183" i="1" s="1"/>
  <c r="E184" i="1"/>
  <c r="Q184" i="1" s="1"/>
  <c r="E185" i="1"/>
  <c r="Q185" i="1" s="1"/>
  <c r="E186" i="1"/>
  <c r="Q186" i="1" s="1"/>
  <c r="E187" i="1"/>
  <c r="Q187" i="1" s="1"/>
  <c r="E188" i="1"/>
  <c r="Q188" i="1" s="1"/>
  <c r="E189" i="1"/>
  <c r="Q189" i="1" s="1"/>
  <c r="E190" i="1"/>
  <c r="Q190" i="1" s="1"/>
  <c r="E191" i="1"/>
  <c r="Q191" i="1" s="1"/>
  <c r="E192" i="1"/>
  <c r="Q192" i="1" s="1"/>
  <c r="E193" i="1"/>
  <c r="Q193" i="1" s="1"/>
  <c r="E194" i="1"/>
  <c r="Q194" i="1" s="1"/>
  <c r="E195" i="1"/>
  <c r="Q195" i="1" s="1"/>
  <c r="E196" i="1"/>
  <c r="Q196" i="1" s="1"/>
  <c r="E197" i="1"/>
  <c r="Q197" i="1" s="1"/>
  <c r="E198" i="1"/>
  <c r="Q198" i="1" s="1"/>
  <c r="E199" i="1"/>
  <c r="Q199" i="1" s="1"/>
  <c r="E200" i="1"/>
  <c r="Q200" i="1" s="1"/>
  <c r="E201" i="1"/>
  <c r="Q201" i="1" s="1"/>
  <c r="E202" i="1"/>
  <c r="Q202" i="1" s="1"/>
  <c r="E203" i="1"/>
  <c r="Q203" i="1" s="1"/>
  <c r="E204" i="1"/>
  <c r="Q204" i="1" s="1"/>
  <c r="E205" i="1"/>
  <c r="Q205" i="1" s="1"/>
  <c r="E206" i="1"/>
  <c r="Q206" i="1" s="1"/>
  <c r="E207" i="1"/>
  <c r="Q207" i="1" s="1"/>
  <c r="E208" i="1"/>
  <c r="Q208" i="1" s="1"/>
  <c r="E209" i="1"/>
  <c r="Q209" i="1" s="1"/>
  <c r="E210" i="1"/>
  <c r="Q210" i="1" s="1"/>
  <c r="E211" i="1"/>
  <c r="Q211" i="1" s="1"/>
  <c r="E212" i="1"/>
  <c r="Q212" i="1" s="1"/>
  <c r="E213" i="1"/>
  <c r="Q213" i="1" s="1"/>
  <c r="E214" i="1"/>
  <c r="Q214" i="1" s="1"/>
  <c r="E215" i="1"/>
  <c r="Q215" i="1" s="1"/>
  <c r="E216" i="1"/>
  <c r="Q216" i="1" s="1"/>
  <c r="E217" i="1"/>
  <c r="Q217" i="1" s="1"/>
  <c r="E218" i="1"/>
  <c r="Q218" i="1" s="1"/>
  <c r="E219" i="1"/>
  <c r="Q219" i="1" s="1"/>
  <c r="E220" i="1"/>
  <c r="Q220" i="1" s="1"/>
  <c r="E221" i="1"/>
  <c r="Q221" i="1" s="1"/>
  <c r="E222" i="1"/>
  <c r="Q222" i="1" s="1"/>
  <c r="E223" i="1"/>
  <c r="Q223" i="1" s="1"/>
  <c r="E224" i="1"/>
  <c r="Q224" i="1" s="1"/>
  <c r="E225" i="1"/>
  <c r="Q225" i="1" s="1"/>
  <c r="E226" i="1"/>
  <c r="Q226" i="1" s="1"/>
  <c r="E227" i="1"/>
  <c r="Q227" i="1" s="1"/>
  <c r="E228" i="1"/>
  <c r="Q228" i="1" s="1"/>
  <c r="E229" i="1"/>
  <c r="Q229" i="1" s="1"/>
  <c r="E230" i="1"/>
  <c r="Q230" i="1" s="1"/>
  <c r="E231" i="1"/>
  <c r="Q231" i="1" s="1"/>
  <c r="E232" i="1"/>
  <c r="Q232" i="1" s="1"/>
  <c r="E233" i="1"/>
  <c r="Q233" i="1" s="1"/>
  <c r="E234" i="1"/>
  <c r="Q234" i="1" s="1"/>
  <c r="E235" i="1"/>
  <c r="Q235" i="1" s="1"/>
  <c r="E236" i="1"/>
  <c r="Q236" i="1" s="1"/>
  <c r="E237" i="1"/>
  <c r="Q237" i="1" s="1"/>
  <c r="E238" i="1"/>
  <c r="Q238" i="1" s="1"/>
  <c r="E239" i="1"/>
  <c r="Q239" i="1" s="1"/>
  <c r="E240" i="1"/>
  <c r="Q240" i="1" s="1"/>
  <c r="E241" i="1"/>
  <c r="Q241" i="1" s="1"/>
  <c r="E242" i="1"/>
  <c r="Q242" i="1" s="1"/>
  <c r="E243" i="1"/>
  <c r="Q243" i="1" s="1"/>
  <c r="E244" i="1"/>
  <c r="Q244" i="1" s="1"/>
  <c r="E245" i="1"/>
  <c r="Q245" i="1" s="1"/>
  <c r="E246" i="1"/>
  <c r="Q246" i="1" s="1"/>
  <c r="E247" i="1"/>
  <c r="Q247" i="1" s="1"/>
  <c r="E248" i="1"/>
  <c r="Q248" i="1" s="1"/>
  <c r="E249" i="1"/>
  <c r="Q249" i="1" s="1"/>
  <c r="E250" i="1"/>
  <c r="Q250" i="1" s="1"/>
  <c r="E251" i="1"/>
  <c r="Q251" i="1" s="1"/>
  <c r="E252" i="1"/>
  <c r="Q252" i="1" s="1"/>
  <c r="E253" i="1"/>
  <c r="Q253" i="1" s="1"/>
  <c r="E254" i="1"/>
  <c r="Q254" i="1" s="1"/>
  <c r="E255" i="1"/>
  <c r="Q255" i="1" s="1"/>
  <c r="E256" i="1"/>
  <c r="Q256" i="1" s="1"/>
  <c r="E257" i="1"/>
  <c r="Q257" i="1" s="1"/>
  <c r="E258" i="1"/>
  <c r="Q258" i="1" s="1"/>
  <c r="E259" i="1"/>
  <c r="Q259" i="1" s="1"/>
  <c r="E260" i="1"/>
  <c r="Q260" i="1" s="1"/>
  <c r="E261" i="1"/>
  <c r="Q261" i="1" s="1"/>
  <c r="E262" i="1"/>
  <c r="Q262" i="1" s="1"/>
  <c r="E263" i="1"/>
  <c r="Q263" i="1" s="1"/>
  <c r="E264" i="1"/>
  <c r="Q264" i="1" s="1"/>
  <c r="E265" i="1"/>
  <c r="Q265" i="1" s="1"/>
  <c r="E266" i="1"/>
  <c r="Q266" i="1" s="1"/>
  <c r="E267" i="1"/>
  <c r="Q267" i="1" s="1"/>
  <c r="E268" i="1"/>
  <c r="Q268" i="1" s="1"/>
  <c r="E269" i="1"/>
  <c r="Q269" i="1" s="1"/>
  <c r="E270" i="1"/>
  <c r="Q270" i="1" s="1"/>
  <c r="E271" i="1"/>
  <c r="Q271" i="1" s="1"/>
  <c r="E272" i="1"/>
  <c r="Q272" i="1" s="1"/>
  <c r="E273" i="1"/>
  <c r="Q273" i="1" s="1"/>
  <c r="E274" i="1"/>
  <c r="Q274" i="1" s="1"/>
  <c r="E275" i="1"/>
  <c r="Q275" i="1" s="1"/>
  <c r="E276" i="1"/>
  <c r="Q276" i="1" s="1"/>
  <c r="E277" i="1"/>
  <c r="Q277" i="1" s="1"/>
  <c r="E278" i="1"/>
  <c r="Q278" i="1" s="1"/>
  <c r="E279" i="1"/>
  <c r="Q279" i="1" s="1"/>
  <c r="E280" i="1"/>
  <c r="Q280" i="1" s="1"/>
  <c r="E281" i="1"/>
  <c r="Q281" i="1" s="1"/>
  <c r="E282" i="1"/>
  <c r="Q282" i="1" s="1"/>
  <c r="E283" i="1"/>
  <c r="Q283" i="1" s="1"/>
  <c r="E284" i="1"/>
  <c r="Q284" i="1" s="1"/>
  <c r="E285" i="1"/>
  <c r="Q285" i="1" s="1"/>
  <c r="E286" i="1"/>
  <c r="Q286" i="1" s="1"/>
  <c r="E287" i="1"/>
  <c r="Q287" i="1" s="1"/>
  <c r="E288" i="1"/>
  <c r="Q288" i="1" s="1"/>
  <c r="E289" i="1"/>
  <c r="Q289" i="1" s="1"/>
  <c r="E290" i="1"/>
  <c r="Q290" i="1" s="1"/>
  <c r="E291" i="1"/>
  <c r="Q291" i="1" s="1"/>
  <c r="E292" i="1"/>
  <c r="Q292" i="1" s="1"/>
  <c r="E293" i="1"/>
  <c r="Q293" i="1" s="1"/>
  <c r="E294" i="1"/>
  <c r="Q294" i="1" s="1"/>
  <c r="E295" i="1"/>
  <c r="Q295" i="1" s="1"/>
  <c r="E296" i="1"/>
  <c r="Q296" i="1" s="1"/>
  <c r="E297" i="1"/>
  <c r="Q297" i="1" s="1"/>
  <c r="E298" i="1"/>
  <c r="Q298" i="1" s="1"/>
  <c r="E299" i="1"/>
  <c r="Q299" i="1" s="1"/>
  <c r="E300" i="1"/>
  <c r="Q300" i="1" s="1"/>
  <c r="E301" i="1"/>
  <c r="Q301" i="1" s="1"/>
  <c r="E302" i="1"/>
  <c r="Q302" i="1" s="1"/>
  <c r="E303" i="1"/>
  <c r="Q303" i="1" s="1"/>
  <c r="E304" i="1"/>
  <c r="Q304" i="1" s="1"/>
  <c r="E305" i="1"/>
  <c r="Q305" i="1" s="1"/>
  <c r="E306" i="1"/>
  <c r="Q306" i="1" s="1"/>
  <c r="E307" i="1"/>
  <c r="Q307" i="1" s="1"/>
  <c r="E308" i="1"/>
  <c r="Q308" i="1" s="1"/>
  <c r="E309" i="1"/>
  <c r="Q309" i="1" s="1"/>
  <c r="E310" i="1"/>
  <c r="Q310" i="1" s="1"/>
  <c r="E311" i="1"/>
  <c r="Q311" i="1" s="1"/>
  <c r="E312" i="1"/>
  <c r="Q312" i="1" s="1"/>
  <c r="E313" i="1"/>
  <c r="Q313" i="1" s="1"/>
  <c r="E314" i="1"/>
  <c r="Q314" i="1" s="1"/>
  <c r="E315" i="1"/>
  <c r="Q315" i="1" s="1"/>
  <c r="E316" i="1"/>
  <c r="Q316" i="1" s="1"/>
  <c r="E317" i="1"/>
  <c r="Q317" i="1" s="1"/>
  <c r="E318" i="1"/>
  <c r="Q318" i="1" s="1"/>
  <c r="E319" i="1"/>
  <c r="Q319" i="1" s="1"/>
  <c r="E320" i="1"/>
  <c r="Q320" i="1" s="1"/>
  <c r="E321" i="1"/>
  <c r="Q321" i="1" s="1"/>
  <c r="E322" i="1"/>
  <c r="Q322" i="1" s="1"/>
  <c r="E323" i="1"/>
  <c r="Q323" i="1" s="1"/>
  <c r="E324" i="1"/>
  <c r="Q324" i="1" s="1"/>
  <c r="E325" i="1"/>
  <c r="Q325" i="1" s="1"/>
  <c r="E326" i="1"/>
  <c r="Q326" i="1" s="1"/>
  <c r="E327" i="1"/>
  <c r="Q327" i="1" s="1"/>
  <c r="E328" i="1"/>
  <c r="Q328" i="1" s="1"/>
  <c r="E329" i="1"/>
  <c r="Q329" i="1" s="1"/>
  <c r="E330" i="1"/>
  <c r="Q330" i="1" s="1"/>
  <c r="E331" i="1"/>
  <c r="Q331" i="1" s="1"/>
  <c r="E332" i="1"/>
  <c r="Q332" i="1" s="1"/>
  <c r="E333" i="1"/>
  <c r="Q333" i="1" s="1"/>
  <c r="E334" i="1"/>
  <c r="Q334" i="1" s="1"/>
  <c r="E335" i="1"/>
  <c r="Q335" i="1" s="1"/>
  <c r="E336" i="1"/>
  <c r="Q336" i="1" s="1"/>
  <c r="E337" i="1"/>
  <c r="Q337" i="1" s="1"/>
  <c r="E338" i="1"/>
  <c r="Q338" i="1" s="1"/>
  <c r="E339" i="1"/>
  <c r="Q339" i="1" s="1"/>
  <c r="E340" i="1"/>
  <c r="Q340" i="1" s="1"/>
  <c r="E341" i="1"/>
  <c r="Q341" i="1" s="1"/>
  <c r="E342" i="1"/>
  <c r="Q342" i="1" s="1"/>
  <c r="E343" i="1"/>
  <c r="Q343" i="1" s="1"/>
  <c r="E344" i="1"/>
  <c r="Q344" i="1" s="1"/>
  <c r="E345" i="1"/>
  <c r="Q345" i="1" s="1"/>
  <c r="E346" i="1"/>
  <c r="Q346" i="1" s="1"/>
  <c r="E347" i="1"/>
  <c r="Q347" i="1" s="1"/>
  <c r="E348" i="1"/>
  <c r="Q348" i="1" s="1"/>
  <c r="E349" i="1"/>
  <c r="Q349" i="1" s="1"/>
  <c r="E350" i="1"/>
  <c r="Q350" i="1" s="1"/>
  <c r="E351" i="1"/>
  <c r="Q351" i="1" s="1"/>
  <c r="E352" i="1"/>
  <c r="Q352" i="1" s="1"/>
  <c r="E353" i="1"/>
  <c r="Q353" i="1" s="1"/>
  <c r="E354" i="1"/>
  <c r="Q354" i="1" s="1"/>
  <c r="E355" i="1"/>
  <c r="Q355" i="1" s="1"/>
  <c r="E356" i="1"/>
  <c r="Q356" i="1" s="1"/>
  <c r="E357" i="1"/>
  <c r="Q357" i="1" s="1"/>
  <c r="E358" i="1"/>
  <c r="Q358" i="1" s="1"/>
  <c r="E359" i="1"/>
  <c r="Q359" i="1" s="1"/>
  <c r="E360" i="1"/>
  <c r="Q360" i="1" s="1"/>
  <c r="E361" i="1"/>
  <c r="Q361" i="1" s="1"/>
  <c r="E362" i="1"/>
  <c r="Q362" i="1" s="1"/>
  <c r="E363" i="1"/>
  <c r="Q363" i="1" s="1"/>
  <c r="E364" i="1"/>
  <c r="Q364" i="1" s="1"/>
  <c r="E365" i="1"/>
  <c r="Q365" i="1" s="1"/>
  <c r="E366" i="1"/>
  <c r="Q366" i="1" s="1"/>
  <c r="E367" i="1"/>
  <c r="Q367" i="1" s="1"/>
  <c r="E368" i="1"/>
  <c r="Q368" i="1" s="1"/>
  <c r="E369" i="1"/>
  <c r="Q369" i="1" s="1"/>
  <c r="E370" i="1"/>
  <c r="Q370" i="1" s="1"/>
  <c r="E371" i="1"/>
  <c r="Q371" i="1" s="1"/>
  <c r="E372" i="1"/>
  <c r="Q372" i="1" s="1"/>
  <c r="E373" i="1"/>
  <c r="Q373" i="1" s="1"/>
  <c r="E374" i="1"/>
  <c r="Q374" i="1" s="1"/>
  <c r="E375" i="1"/>
  <c r="Q375" i="1" s="1"/>
  <c r="E376" i="1"/>
  <c r="Q376" i="1" s="1"/>
  <c r="E377" i="1"/>
  <c r="Q377" i="1" s="1"/>
  <c r="E378" i="1"/>
  <c r="Q378" i="1" s="1"/>
  <c r="E379" i="1"/>
  <c r="Q379" i="1" s="1"/>
  <c r="E380" i="1"/>
  <c r="Q380" i="1" s="1"/>
  <c r="E381" i="1"/>
  <c r="Q381" i="1" s="1"/>
  <c r="E382" i="1"/>
  <c r="Q382" i="1" s="1"/>
  <c r="E383" i="1"/>
  <c r="Q383" i="1" s="1"/>
  <c r="E384" i="1"/>
  <c r="Q384" i="1" s="1"/>
  <c r="E385" i="1"/>
  <c r="Q385" i="1" s="1"/>
  <c r="E386" i="1"/>
  <c r="Q386" i="1" s="1"/>
  <c r="E387" i="1"/>
  <c r="Q387" i="1" s="1"/>
  <c r="E388" i="1"/>
  <c r="Q388" i="1" s="1"/>
  <c r="E389" i="1"/>
  <c r="Q389" i="1" s="1"/>
  <c r="E390" i="1"/>
  <c r="Q390" i="1" s="1"/>
  <c r="E391" i="1"/>
  <c r="Q391" i="1" s="1"/>
  <c r="E392" i="1"/>
  <c r="Q392" i="1" s="1"/>
  <c r="E393" i="1"/>
  <c r="Q393" i="1" s="1"/>
  <c r="E394" i="1"/>
  <c r="Q394" i="1" s="1"/>
  <c r="E395" i="1"/>
  <c r="Q395" i="1" s="1"/>
  <c r="E396" i="1"/>
  <c r="Q396" i="1" s="1"/>
  <c r="E397" i="1"/>
  <c r="Q397" i="1" s="1"/>
  <c r="E398" i="1"/>
  <c r="Q398" i="1" s="1"/>
  <c r="E399" i="1"/>
  <c r="Q399" i="1" s="1"/>
  <c r="E400" i="1"/>
  <c r="Q400" i="1" s="1"/>
  <c r="E401" i="1"/>
  <c r="Q401" i="1" s="1"/>
  <c r="E402" i="1"/>
  <c r="Q402" i="1" s="1"/>
  <c r="E403" i="1"/>
  <c r="Q403" i="1" s="1"/>
  <c r="E404" i="1"/>
  <c r="Q404" i="1" s="1"/>
  <c r="E405" i="1"/>
  <c r="Q405" i="1" s="1"/>
  <c r="E406" i="1"/>
  <c r="Q406" i="1" s="1"/>
  <c r="E407" i="1"/>
  <c r="Q407" i="1" s="1"/>
  <c r="E408" i="1"/>
  <c r="Q408" i="1" s="1"/>
  <c r="E409" i="1"/>
  <c r="Q409" i="1" s="1"/>
  <c r="E410" i="1"/>
  <c r="Q410" i="1" s="1"/>
  <c r="E411" i="1"/>
  <c r="Q411" i="1" s="1"/>
  <c r="E412" i="1"/>
  <c r="Q412" i="1" s="1"/>
  <c r="E413" i="1"/>
  <c r="Q413" i="1" s="1"/>
  <c r="E414" i="1"/>
  <c r="Q414" i="1" s="1"/>
  <c r="E415" i="1"/>
  <c r="Q415" i="1" s="1"/>
  <c r="E416" i="1"/>
  <c r="Q416" i="1" s="1"/>
  <c r="E417" i="1"/>
  <c r="Q417" i="1" s="1"/>
  <c r="E418" i="1"/>
  <c r="Q418" i="1" s="1"/>
  <c r="E419" i="1"/>
  <c r="Q419" i="1" s="1"/>
  <c r="E420" i="1"/>
  <c r="Q420" i="1" s="1"/>
  <c r="E421" i="1"/>
  <c r="Q421" i="1" s="1"/>
  <c r="E422" i="1"/>
  <c r="Q422" i="1" s="1"/>
  <c r="E423" i="1"/>
  <c r="Q423" i="1" s="1"/>
  <c r="E424" i="1"/>
  <c r="Q424" i="1" s="1"/>
  <c r="E425" i="1"/>
  <c r="Q425" i="1" s="1"/>
  <c r="E426" i="1"/>
  <c r="Q426" i="1" s="1"/>
  <c r="E427" i="1"/>
  <c r="Q427" i="1" s="1"/>
  <c r="E428" i="1"/>
  <c r="Q428" i="1" s="1"/>
  <c r="E429" i="1"/>
  <c r="Q429" i="1" s="1"/>
  <c r="E430" i="1"/>
  <c r="Q430" i="1" s="1"/>
  <c r="E431" i="1"/>
  <c r="Q431" i="1" s="1"/>
  <c r="E432" i="1"/>
  <c r="Q432" i="1" s="1"/>
  <c r="E433" i="1"/>
  <c r="Q433" i="1" s="1"/>
  <c r="E434" i="1"/>
  <c r="Q434" i="1" s="1"/>
  <c r="E435" i="1"/>
  <c r="Q435" i="1" s="1"/>
  <c r="E436" i="1"/>
  <c r="Q436" i="1" s="1"/>
  <c r="E437" i="1"/>
  <c r="Q437" i="1" s="1"/>
  <c r="E438" i="1"/>
  <c r="Q438" i="1" s="1"/>
  <c r="E439" i="1"/>
  <c r="Q439" i="1" s="1"/>
  <c r="E440" i="1"/>
  <c r="Q440" i="1" s="1"/>
  <c r="E441" i="1"/>
  <c r="Q441" i="1" s="1"/>
  <c r="E442" i="1"/>
  <c r="Q442" i="1" s="1"/>
  <c r="E443" i="1"/>
  <c r="Q443" i="1" s="1"/>
  <c r="E444" i="1"/>
  <c r="Q444" i="1" s="1"/>
  <c r="E445" i="1"/>
  <c r="Q445" i="1" s="1"/>
  <c r="E446" i="1"/>
  <c r="Q446" i="1" s="1"/>
  <c r="E447" i="1"/>
  <c r="Q447" i="1" s="1"/>
  <c r="E448" i="1"/>
  <c r="Q448" i="1" s="1"/>
  <c r="E449" i="1"/>
  <c r="Q449" i="1" s="1"/>
  <c r="E450" i="1"/>
  <c r="Q450" i="1" s="1"/>
  <c r="E451" i="1"/>
  <c r="Q451" i="1" s="1"/>
  <c r="E452" i="1"/>
  <c r="Q452" i="1" s="1"/>
  <c r="E453" i="1"/>
  <c r="Q453" i="1" s="1"/>
  <c r="E454" i="1"/>
  <c r="Q454" i="1" s="1"/>
  <c r="E455" i="1"/>
  <c r="Q455" i="1" s="1"/>
  <c r="E456" i="1"/>
  <c r="Q456" i="1" s="1"/>
  <c r="E457" i="1"/>
  <c r="Q457" i="1" s="1"/>
  <c r="E458" i="1"/>
  <c r="Q458" i="1" s="1"/>
  <c r="E459" i="1"/>
  <c r="Q459" i="1" s="1"/>
  <c r="E460" i="1"/>
  <c r="Q460" i="1" s="1"/>
  <c r="E461" i="1"/>
  <c r="Q461" i="1" s="1"/>
  <c r="E462" i="1"/>
  <c r="Q462" i="1" s="1"/>
  <c r="E463" i="1"/>
  <c r="Q463" i="1" s="1"/>
  <c r="E464" i="1"/>
  <c r="Q464" i="1" s="1"/>
  <c r="E465" i="1"/>
  <c r="Q465" i="1" s="1"/>
  <c r="E466" i="1"/>
  <c r="Q466" i="1" s="1"/>
  <c r="E467" i="1"/>
  <c r="Q467" i="1" s="1"/>
  <c r="E468" i="1"/>
  <c r="Q468" i="1" s="1"/>
  <c r="E469" i="1"/>
  <c r="Q469" i="1" s="1"/>
  <c r="E470" i="1"/>
  <c r="Q470" i="1" s="1"/>
  <c r="E471" i="1"/>
  <c r="Q471" i="1" s="1"/>
  <c r="E472" i="1"/>
  <c r="Q472" i="1" s="1"/>
  <c r="E473" i="1"/>
  <c r="Q473" i="1" s="1"/>
  <c r="E474" i="1"/>
  <c r="Q474" i="1" s="1"/>
  <c r="E475" i="1"/>
  <c r="Q475" i="1" s="1"/>
  <c r="E476" i="1"/>
  <c r="Q476" i="1" s="1"/>
  <c r="E477" i="1"/>
  <c r="Q477" i="1" s="1"/>
  <c r="E478" i="1"/>
  <c r="Q478" i="1" s="1"/>
  <c r="E479" i="1"/>
  <c r="Q479" i="1" s="1"/>
  <c r="E480" i="1"/>
  <c r="Q480" i="1" s="1"/>
  <c r="E481" i="1"/>
  <c r="Q481" i="1" s="1"/>
  <c r="E482" i="1"/>
  <c r="Q482" i="1" s="1"/>
  <c r="E483" i="1"/>
  <c r="Q483" i="1" s="1"/>
  <c r="E484" i="1"/>
  <c r="Q484" i="1" s="1"/>
  <c r="E485" i="1"/>
  <c r="Q485" i="1" s="1"/>
  <c r="E486" i="1"/>
  <c r="Q486" i="1" s="1"/>
  <c r="E487" i="1"/>
  <c r="Q487" i="1" s="1"/>
  <c r="E488" i="1"/>
  <c r="Q488" i="1" s="1"/>
  <c r="E489" i="1"/>
  <c r="Q489" i="1" s="1"/>
  <c r="E490" i="1"/>
  <c r="Q490" i="1" s="1"/>
  <c r="E491" i="1"/>
  <c r="Q491" i="1" s="1"/>
  <c r="E492" i="1"/>
  <c r="Q492" i="1" s="1"/>
  <c r="E493" i="1"/>
  <c r="Q493" i="1" s="1"/>
  <c r="E494" i="1"/>
  <c r="Q494" i="1" s="1"/>
  <c r="E495" i="1"/>
  <c r="Q495" i="1" s="1"/>
  <c r="E496" i="1"/>
  <c r="Q496" i="1" s="1"/>
  <c r="E497" i="1"/>
  <c r="Q497" i="1" s="1"/>
  <c r="E498" i="1"/>
  <c r="Q498" i="1" s="1"/>
  <c r="E499" i="1"/>
  <c r="Q499" i="1" s="1"/>
  <c r="E500" i="1"/>
  <c r="Q500" i="1" s="1"/>
  <c r="E501" i="1"/>
  <c r="Q501" i="1" s="1"/>
  <c r="E502" i="1"/>
  <c r="Q502" i="1" s="1"/>
  <c r="E503" i="1"/>
  <c r="Q503" i="1" s="1"/>
  <c r="E504" i="1"/>
  <c r="Q504" i="1" s="1"/>
  <c r="E505" i="1"/>
  <c r="Q505" i="1" s="1"/>
  <c r="E506" i="1"/>
  <c r="Q506" i="1" s="1"/>
  <c r="E507" i="1"/>
  <c r="Q507" i="1" s="1"/>
  <c r="E508" i="1"/>
  <c r="Q508" i="1" s="1"/>
  <c r="E509" i="1"/>
  <c r="Q509" i="1" s="1"/>
  <c r="E510" i="1"/>
  <c r="Q510" i="1" s="1"/>
  <c r="E511" i="1"/>
  <c r="Q511" i="1" s="1"/>
  <c r="E512" i="1"/>
  <c r="Q512" i="1" s="1"/>
  <c r="E513" i="1"/>
  <c r="Q513" i="1" s="1"/>
  <c r="E514" i="1"/>
  <c r="Q514" i="1" s="1"/>
  <c r="E515" i="1"/>
  <c r="Q515" i="1" s="1"/>
  <c r="E516" i="1"/>
  <c r="Q516" i="1" s="1"/>
  <c r="E517" i="1"/>
  <c r="Q517" i="1" s="1"/>
  <c r="E518" i="1"/>
  <c r="Q518" i="1" s="1"/>
  <c r="E519" i="1"/>
  <c r="Q519" i="1" s="1"/>
  <c r="E520" i="1"/>
  <c r="Q520" i="1" s="1"/>
  <c r="E521" i="1"/>
  <c r="Q521" i="1" s="1"/>
  <c r="E522" i="1"/>
  <c r="Q522" i="1" s="1"/>
  <c r="E523" i="1"/>
  <c r="Q523" i="1" s="1"/>
  <c r="E524" i="1"/>
  <c r="Q524" i="1" s="1"/>
  <c r="E525" i="1"/>
  <c r="Q525" i="1" s="1"/>
  <c r="E526" i="1"/>
  <c r="Q526" i="1" s="1"/>
  <c r="E527" i="1"/>
  <c r="Q527" i="1" s="1"/>
  <c r="E528" i="1"/>
  <c r="Q528" i="1" s="1"/>
  <c r="E529" i="1"/>
  <c r="Q529" i="1" s="1"/>
  <c r="E530" i="1"/>
  <c r="Q530" i="1" s="1"/>
  <c r="E531" i="1"/>
  <c r="Q531" i="1" s="1"/>
  <c r="E532" i="1"/>
  <c r="Q532" i="1" s="1"/>
  <c r="E533" i="1"/>
  <c r="Q533" i="1" s="1"/>
  <c r="E534" i="1"/>
  <c r="Q534" i="1" s="1"/>
  <c r="E535" i="1"/>
  <c r="Q535" i="1" s="1"/>
  <c r="E536" i="1"/>
  <c r="Q536" i="1" s="1"/>
  <c r="E537" i="1"/>
  <c r="Q537" i="1" s="1"/>
  <c r="E538" i="1"/>
  <c r="Q538" i="1" s="1"/>
  <c r="E539" i="1"/>
  <c r="Q539" i="1" s="1"/>
  <c r="E540" i="1"/>
  <c r="Q540" i="1" s="1"/>
  <c r="E541" i="1"/>
  <c r="Q541" i="1" s="1"/>
  <c r="E542" i="1"/>
  <c r="Q542" i="1" s="1"/>
  <c r="E543" i="1"/>
  <c r="Q543" i="1" s="1"/>
  <c r="E544" i="1"/>
  <c r="Q544" i="1" s="1"/>
  <c r="E545" i="1"/>
  <c r="Q545" i="1" s="1"/>
  <c r="E546" i="1"/>
  <c r="Q546" i="1" s="1"/>
  <c r="E547" i="1"/>
  <c r="Q547" i="1" s="1"/>
  <c r="E548" i="1"/>
  <c r="Q548" i="1" s="1"/>
  <c r="E549" i="1"/>
  <c r="Q549" i="1" s="1"/>
  <c r="E550" i="1"/>
  <c r="Q550" i="1" s="1"/>
  <c r="E551" i="1"/>
  <c r="Q551" i="1" s="1"/>
  <c r="E552" i="1"/>
  <c r="Q552" i="1" s="1"/>
  <c r="E553" i="1"/>
  <c r="Q553" i="1" s="1"/>
  <c r="E554" i="1"/>
  <c r="Q554" i="1" s="1"/>
  <c r="E555" i="1"/>
  <c r="Q555" i="1" s="1"/>
  <c r="E556" i="1"/>
  <c r="Q556" i="1" s="1"/>
  <c r="E557" i="1"/>
  <c r="Q557" i="1" s="1"/>
  <c r="E558" i="1"/>
  <c r="Q558" i="1" s="1"/>
  <c r="E559" i="1"/>
  <c r="Q559" i="1" s="1"/>
  <c r="E560" i="1"/>
  <c r="Q560" i="1" s="1"/>
  <c r="E561" i="1"/>
  <c r="Q561" i="1" s="1"/>
  <c r="E562" i="1"/>
  <c r="Q562" i="1" s="1"/>
  <c r="E563" i="1"/>
  <c r="Q563" i="1" s="1"/>
  <c r="E564" i="1"/>
  <c r="Q564" i="1" s="1"/>
  <c r="E565" i="1"/>
  <c r="Q565" i="1" s="1"/>
  <c r="E566" i="1"/>
  <c r="Q566" i="1" s="1"/>
  <c r="E567" i="1"/>
  <c r="Q567" i="1" s="1"/>
  <c r="E568" i="1"/>
  <c r="Q568" i="1" s="1"/>
  <c r="E569" i="1"/>
  <c r="Q569" i="1" s="1"/>
  <c r="E570" i="1"/>
  <c r="Q570" i="1" s="1"/>
  <c r="E571" i="1"/>
  <c r="Q571" i="1" s="1"/>
  <c r="E572" i="1"/>
  <c r="Q572" i="1" s="1"/>
  <c r="E573" i="1"/>
  <c r="Q573" i="1" s="1"/>
  <c r="E574" i="1"/>
  <c r="Q574" i="1" s="1"/>
  <c r="E575" i="1"/>
  <c r="Q575" i="1" s="1"/>
  <c r="E576" i="1"/>
  <c r="Q576" i="1" s="1"/>
  <c r="E577" i="1"/>
  <c r="Q577" i="1" s="1"/>
  <c r="E578" i="1"/>
  <c r="Q578" i="1" s="1"/>
  <c r="E579" i="1"/>
  <c r="Q579" i="1" s="1"/>
  <c r="E580" i="1"/>
  <c r="Q580" i="1" s="1"/>
  <c r="E581" i="1"/>
  <c r="Q581" i="1" s="1"/>
  <c r="E582" i="1"/>
  <c r="Q582" i="1" s="1"/>
  <c r="E583" i="1"/>
  <c r="Q583" i="1" s="1"/>
  <c r="E584" i="1"/>
  <c r="Q584" i="1" s="1"/>
  <c r="E585" i="1"/>
  <c r="Q585" i="1" s="1"/>
  <c r="E586" i="1"/>
  <c r="Q586" i="1" s="1"/>
  <c r="E587" i="1"/>
  <c r="Q587" i="1" s="1"/>
  <c r="E588" i="1"/>
  <c r="Q588" i="1" s="1"/>
  <c r="E589" i="1"/>
  <c r="Q589" i="1" s="1"/>
  <c r="E590" i="1"/>
  <c r="Q590" i="1" s="1"/>
  <c r="E591" i="1"/>
  <c r="Q591" i="1" s="1"/>
  <c r="E592" i="1"/>
  <c r="Q592" i="1" s="1"/>
  <c r="E593" i="1"/>
  <c r="Q593" i="1" s="1"/>
  <c r="E594" i="1"/>
  <c r="Q594" i="1" s="1"/>
  <c r="E595" i="1"/>
  <c r="Q595" i="1" s="1"/>
  <c r="E596" i="1"/>
  <c r="Q596" i="1" s="1"/>
  <c r="E597" i="1"/>
  <c r="Q597" i="1" s="1"/>
  <c r="E598" i="1"/>
  <c r="Q598" i="1" s="1"/>
  <c r="E599" i="1"/>
  <c r="Q599" i="1" s="1"/>
  <c r="E600" i="1"/>
  <c r="Q600" i="1" s="1"/>
  <c r="E601" i="1"/>
  <c r="Q601" i="1" s="1"/>
  <c r="E602" i="1"/>
  <c r="Q602" i="1" s="1"/>
  <c r="E603" i="1"/>
  <c r="Q603" i="1" s="1"/>
  <c r="E604" i="1"/>
  <c r="Q604" i="1" s="1"/>
  <c r="E605" i="1"/>
  <c r="Q605" i="1" s="1"/>
  <c r="E606" i="1"/>
  <c r="Q606" i="1" s="1"/>
  <c r="E607" i="1"/>
  <c r="Q607" i="1" s="1"/>
  <c r="E608" i="1"/>
  <c r="Q608" i="1" s="1"/>
  <c r="E609" i="1"/>
  <c r="Q609" i="1" s="1"/>
  <c r="E610" i="1"/>
  <c r="Q610" i="1" s="1"/>
  <c r="E611" i="1"/>
  <c r="Q611" i="1" s="1"/>
  <c r="E612" i="1"/>
  <c r="Q612" i="1" s="1"/>
  <c r="E613" i="1"/>
  <c r="Q613" i="1" s="1"/>
  <c r="E614" i="1"/>
  <c r="Q614" i="1" s="1"/>
  <c r="E615" i="1"/>
  <c r="Q615" i="1" s="1"/>
  <c r="E616" i="1"/>
  <c r="Q616" i="1" s="1"/>
  <c r="E617" i="1"/>
  <c r="Q617" i="1" s="1"/>
  <c r="E618" i="1"/>
  <c r="Q618" i="1" s="1"/>
  <c r="E619" i="1"/>
  <c r="Q619" i="1" s="1"/>
  <c r="E620" i="1"/>
  <c r="Q620" i="1" s="1"/>
  <c r="E621" i="1"/>
  <c r="Q621" i="1" s="1"/>
  <c r="E622" i="1"/>
  <c r="Q622" i="1" s="1"/>
  <c r="E623" i="1"/>
  <c r="Q623" i="1" s="1"/>
  <c r="E624" i="1"/>
  <c r="Q624" i="1" s="1"/>
  <c r="E625" i="1"/>
  <c r="Q625" i="1" s="1"/>
  <c r="E626" i="1"/>
  <c r="Q626" i="1" s="1"/>
  <c r="E627" i="1"/>
  <c r="Q627" i="1" s="1"/>
  <c r="E628" i="1"/>
  <c r="Q628" i="1" s="1"/>
  <c r="E629" i="1"/>
  <c r="Q629" i="1" s="1"/>
  <c r="E630" i="1"/>
  <c r="Q630" i="1" s="1"/>
  <c r="E631" i="1"/>
  <c r="Q631" i="1" s="1"/>
  <c r="E632" i="1"/>
  <c r="Q632" i="1" s="1"/>
  <c r="E633" i="1"/>
  <c r="Q633" i="1" s="1"/>
  <c r="E634" i="1"/>
  <c r="Q634" i="1" s="1"/>
  <c r="E635" i="1"/>
  <c r="Q635" i="1" s="1"/>
  <c r="E636" i="1"/>
  <c r="Q636" i="1" s="1"/>
  <c r="E637" i="1"/>
  <c r="Q637" i="1" s="1"/>
  <c r="E638" i="1"/>
  <c r="Q638" i="1" s="1"/>
  <c r="E639" i="1"/>
  <c r="Q639" i="1" s="1"/>
  <c r="E640" i="1"/>
  <c r="Q640" i="1" s="1"/>
  <c r="E641" i="1"/>
  <c r="Q641" i="1" s="1"/>
  <c r="E642" i="1"/>
  <c r="Q642" i="1" s="1"/>
  <c r="E643" i="1"/>
  <c r="Q643" i="1" s="1"/>
  <c r="E644" i="1"/>
  <c r="Q644" i="1" s="1"/>
  <c r="E645" i="1"/>
  <c r="Q645" i="1" s="1"/>
  <c r="E646" i="1"/>
  <c r="Q646" i="1" s="1"/>
  <c r="E647" i="1"/>
  <c r="Q647" i="1" s="1"/>
  <c r="E648" i="1"/>
  <c r="Q648" i="1" s="1"/>
  <c r="E649" i="1"/>
  <c r="Q649" i="1" s="1"/>
  <c r="E650" i="1"/>
  <c r="Q650" i="1" s="1"/>
  <c r="E651" i="1"/>
  <c r="Q651" i="1" s="1"/>
  <c r="E652" i="1"/>
  <c r="Q652" i="1" s="1"/>
  <c r="E653" i="1"/>
  <c r="Q653" i="1" s="1"/>
  <c r="E654" i="1"/>
  <c r="Q654" i="1" s="1"/>
  <c r="E655" i="1"/>
  <c r="Q655" i="1" s="1"/>
  <c r="E656" i="1"/>
  <c r="Q656" i="1" s="1"/>
  <c r="E657" i="1"/>
  <c r="Q657" i="1" s="1"/>
  <c r="E658" i="1"/>
  <c r="Q658" i="1" s="1"/>
  <c r="E659" i="1"/>
  <c r="Q659" i="1" s="1"/>
  <c r="E660" i="1"/>
  <c r="Q660" i="1" s="1"/>
  <c r="E661" i="1"/>
  <c r="Q661" i="1" s="1"/>
  <c r="E662" i="1"/>
  <c r="Q662" i="1" s="1"/>
  <c r="E663" i="1"/>
  <c r="Q663" i="1" s="1"/>
  <c r="E664" i="1"/>
  <c r="Q664" i="1" s="1"/>
  <c r="E665" i="1"/>
  <c r="Q665" i="1" s="1"/>
  <c r="E666" i="1"/>
  <c r="Q666" i="1" s="1"/>
  <c r="E667" i="1"/>
  <c r="Q667" i="1" s="1"/>
  <c r="E668" i="1"/>
  <c r="Q668" i="1" s="1"/>
  <c r="E669" i="1"/>
  <c r="Q669" i="1" s="1"/>
  <c r="E670" i="1"/>
  <c r="Q670" i="1" s="1"/>
  <c r="E671" i="1"/>
  <c r="Q671" i="1" s="1"/>
  <c r="E672" i="1"/>
  <c r="Q672" i="1" s="1"/>
  <c r="E673" i="1"/>
  <c r="Q673" i="1" s="1"/>
  <c r="E674" i="1"/>
  <c r="Q674" i="1" s="1"/>
  <c r="E675" i="1"/>
  <c r="Q675" i="1" s="1"/>
  <c r="E676" i="1"/>
  <c r="Q676" i="1" s="1"/>
  <c r="E677" i="1"/>
  <c r="Q677" i="1" s="1"/>
  <c r="E678" i="1"/>
  <c r="Q678" i="1" s="1"/>
  <c r="E679" i="1"/>
  <c r="Q679" i="1" s="1"/>
  <c r="E680" i="1"/>
  <c r="Q680" i="1" s="1"/>
  <c r="E681" i="1"/>
  <c r="Q681" i="1" s="1"/>
  <c r="E682" i="1"/>
  <c r="Q682" i="1" s="1"/>
  <c r="E683" i="1"/>
  <c r="Q683" i="1" s="1"/>
  <c r="E684" i="1"/>
  <c r="Q684" i="1" s="1"/>
  <c r="E685" i="1"/>
  <c r="Q685" i="1" s="1"/>
  <c r="E686" i="1"/>
  <c r="Q686" i="1" s="1"/>
  <c r="E687" i="1"/>
  <c r="Q687" i="1" s="1"/>
  <c r="E688" i="1"/>
  <c r="Q688" i="1" s="1"/>
  <c r="E689" i="1"/>
  <c r="Q689" i="1" s="1"/>
  <c r="E690" i="1"/>
  <c r="Q690" i="1" s="1"/>
  <c r="E691" i="1"/>
  <c r="Q691" i="1" s="1"/>
  <c r="E692" i="1"/>
  <c r="Q692" i="1" s="1"/>
  <c r="E693" i="1"/>
  <c r="Q693" i="1" s="1"/>
  <c r="E694" i="1"/>
  <c r="Q694" i="1" s="1"/>
  <c r="E695" i="1"/>
  <c r="Q695" i="1" s="1"/>
  <c r="E696" i="1"/>
  <c r="Q696" i="1" s="1"/>
  <c r="E697" i="1"/>
  <c r="Q697" i="1" s="1"/>
  <c r="E698" i="1"/>
  <c r="Q698" i="1" s="1"/>
  <c r="E699" i="1"/>
  <c r="Q699" i="1" s="1"/>
  <c r="E700" i="1"/>
  <c r="Q700" i="1" s="1"/>
  <c r="E701" i="1"/>
  <c r="Q701" i="1" s="1"/>
  <c r="E702" i="1"/>
  <c r="Q702" i="1" s="1"/>
  <c r="E703" i="1"/>
  <c r="Q703" i="1" s="1"/>
  <c r="E704" i="1"/>
  <c r="Q704" i="1" s="1"/>
  <c r="E705" i="1"/>
  <c r="Q705" i="1" s="1"/>
  <c r="E706" i="1"/>
  <c r="Q706" i="1" s="1"/>
  <c r="E707" i="1"/>
  <c r="Q707" i="1" s="1"/>
  <c r="E708" i="1"/>
  <c r="Q708" i="1" s="1"/>
  <c r="E709" i="1"/>
  <c r="Q709" i="1" s="1"/>
  <c r="E710" i="1"/>
  <c r="Q710" i="1" s="1"/>
  <c r="E711" i="1"/>
  <c r="Q711" i="1" s="1"/>
  <c r="E712" i="1"/>
  <c r="Q712" i="1" s="1"/>
  <c r="E713" i="1"/>
  <c r="Q713" i="1" s="1"/>
  <c r="E714" i="1"/>
  <c r="Q714" i="1" s="1"/>
  <c r="E715" i="1"/>
  <c r="Q715" i="1" s="1"/>
  <c r="E716" i="1"/>
  <c r="Q716" i="1" s="1"/>
  <c r="E717" i="1"/>
  <c r="Q717" i="1" s="1"/>
  <c r="E718" i="1"/>
  <c r="Q718" i="1" s="1"/>
  <c r="E719" i="1"/>
  <c r="Q719" i="1" s="1"/>
  <c r="E720" i="1"/>
  <c r="Q720" i="1" s="1"/>
  <c r="E721" i="1"/>
  <c r="Q721" i="1" s="1"/>
  <c r="E722" i="1"/>
  <c r="Q722" i="1" s="1"/>
  <c r="E723" i="1"/>
  <c r="Q723" i="1" s="1"/>
  <c r="E724" i="1"/>
  <c r="Q724" i="1" s="1"/>
  <c r="E725" i="1"/>
  <c r="Q725" i="1" s="1"/>
  <c r="E726" i="1"/>
  <c r="Q726" i="1" s="1"/>
  <c r="E727" i="1"/>
  <c r="Q727" i="1" s="1"/>
  <c r="E728" i="1"/>
  <c r="Q728" i="1" s="1"/>
  <c r="E729" i="1"/>
  <c r="Q729" i="1" s="1"/>
  <c r="E730" i="1"/>
  <c r="Q730" i="1" s="1"/>
  <c r="E731" i="1"/>
  <c r="Q731" i="1" s="1"/>
  <c r="E732" i="1"/>
  <c r="Q732" i="1" s="1"/>
  <c r="E733" i="1"/>
  <c r="Q733" i="1" s="1"/>
  <c r="E734" i="1"/>
  <c r="Q734" i="1" s="1"/>
  <c r="E735" i="1"/>
  <c r="Q735" i="1" s="1"/>
  <c r="E736" i="1"/>
  <c r="Q736" i="1" s="1"/>
  <c r="E737" i="1"/>
  <c r="Q737" i="1" s="1"/>
  <c r="E738" i="1"/>
  <c r="Q738" i="1" s="1"/>
  <c r="E739" i="1"/>
  <c r="Q739" i="1" s="1"/>
  <c r="E740" i="1"/>
  <c r="Q740" i="1" s="1"/>
  <c r="E741" i="1"/>
  <c r="Q741" i="1" s="1"/>
  <c r="E742" i="1"/>
  <c r="Q742" i="1" s="1"/>
  <c r="E743" i="1"/>
  <c r="Q743" i="1" s="1"/>
  <c r="E744" i="1"/>
  <c r="Q744" i="1" s="1"/>
  <c r="E745" i="1"/>
  <c r="Q745" i="1" s="1"/>
  <c r="E746" i="1"/>
  <c r="Q746" i="1" s="1"/>
  <c r="E747" i="1"/>
  <c r="Q747" i="1" s="1"/>
  <c r="E748" i="1"/>
  <c r="Q748" i="1" s="1"/>
  <c r="E749" i="1"/>
  <c r="Q749" i="1" s="1"/>
  <c r="E750" i="1"/>
  <c r="Q750" i="1" s="1"/>
  <c r="E751" i="1"/>
  <c r="Q751" i="1" s="1"/>
  <c r="E752" i="1"/>
  <c r="Q752" i="1" s="1"/>
  <c r="E753" i="1"/>
  <c r="Q753" i="1" s="1"/>
  <c r="E754" i="1"/>
  <c r="Q754" i="1" s="1"/>
  <c r="E755" i="1"/>
  <c r="Q755" i="1" s="1"/>
  <c r="E756" i="1"/>
  <c r="Q756" i="1" s="1"/>
  <c r="E757" i="1"/>
  <c r="Q757" i="1" s="1"/>
  <c r="E758" i="1"/>
  <c r="Q758" i="1" s="1"/>
  <c r="E759" i="1"/>
  <c r="Q759" i="1" s="1"/>
  <c r="E760" i="1"/>
  <c r="Q760" i="1" s="1"/>
  <c r="E761" i="1"/>
  <c r="Q761" i="1" s="1"/>
  <c r="E762" i="1"/>
  <c r="Q762" i="1" s="1"/>
  <c r="E763" i="1"/>
  <c r="Q763" i="1" s="1"/>
  <c r="E764" i="1"/>
  <c r="Q764" i="1" s="1"/>
  <c r="E765" i="1"/>
  <c r="Q765" i="1" s="1"/>
  <c r="E766" i="1"/>
  <c r="Q766" i="1" s="1"/>
  <c r="E767" i="1"/>
  <c r="Q767" i="1" s="1"/>
  <c r="E768" i="1"/>
  <c r="Q768" i="1" s="1"/>
  <c r="E769" i="1"/>
  <c r="Q769" i="1" s="1"/>
  <c r="E770" i="1"/>
  <c r="Q770" i="1" s="1"/>
  <c r="E771" i="1"/>
  <c r="Q771" i="1" s="1"/>
  <c r="E772" i="1"/>
  <c r="Q772" i="1" s="1"/>
  <c r="E773" i="1"/>
  <c r="Q773" i="1" s="1"/>
  <c r="E774" i="1"/>
  <c r="Q774" i="1" s="1"/>
  <c r="E775" i="1"/>
  <c r="Q775" i="1" s="1"/>
  <c r="E776" i="1"/>
  <c r="Q776" i="1" s="1"/>
  <c r="E777" i="1"/>
  <c r="Q777" i="1" s="1"/>
  <c r="E778" i="1"/>
  <c r="Q778" i="1" s="1"/>
  <c r="E779" i="1"/>
  <c r="Q779" i="1" s="1"/>
  <c r="E780" i="1"/>
  <c r="Q780" i="1" s="1"/>
  <c r="E781" i="1"/>
  <c r="Q781" i="1" s="1"/>
  <c r="E782" i="1"/>
  <c r="Q782" i="1" s="1"/>
  <c r="E783" i="1"/>
  <c r="Q783" i="1" s="1"/>
  <c r="E784" i="1"/>
  <c r="Q784" i="1" s="1"/>
  <c r="E785" i="1"/>
  <c r="Q785" i="1" s="1"/>
  <c r="E786" i="1"/>
  <c r="Q786" i="1" s="1"/>
  <c r="E787" i="1"/>
  <c r="Q787" i="1" s="1"/>
  <c r="E788" i="1"/>
  <c r="Q788" i="1" s="1"/>
  <c r="E789" i="1"/>
  <c r="Q789" i="1" s="1"/>
  <c r="E790" i="1"/>
  <c r="Q790" i="1" s="1"/>
  <c r="E791" i="1"/>
  <c r="Q791" i="1" s="1"/>
  <c r="E792" i="1"/>
  <c r="Q792" i="1" s="1"/>
  <c r="E793" i="1"/>
  <c r="Q793" i="1" s="1"/>
  <c r="E794" i="1"/>
  <c r="Q794" i="1" s="1"/>
  <c r="E795" i="1"/>
  <c r="Q795" i="1" s="1"/>
  <c r="E796" i="1"/>
  <c r="Q796" i="1" s="1"/>
  <c r="E797" i="1"/>
  <c r="Q797" i="1" s="1"/>
  <c r="E798" i="1"/>
  <c r="Q798" i="1" s="1"/>
  <c r="E799" i="1"/>
  <c r="Q799" i="1" s="1"/>
  <c r="E800" i="1"/>
  <c r="Q800" i="1" s="1"/>
  <c r="E801" i="1"/>
  <c r="Q801" i="1" s="1"/>
  <c r="E802" i="1"/>
  <c r="Q802" i="1" s="1"/>
  <c r="E803" i="1"/>
  <c r="Q803" i="1" s="1"/>
  <c r="E804" i="1"/>
  <c r="Q804" i="1" s="1"/>
  <c r="E805" i="1"/>
  <c r="Q805" i="1" s="1"/>
  <c r="E806" i="1"/>
  <c r="Q806" i="1" s="1"/>
  <c r="E807" i="1"/>
  <c r="Q807" i="1" s="1"/>
  <c r="E808" i="1"/>
  <c r="Q808" i="1" s="1"/>
  <c r="E809" i="1"/>
  <c r="Q809" i="1" s="1"/>
  <c r="E810" i="1"/>
  <c r="Q810" i="1" s="1"/>
  <c r="E811" i="1"/>
  <c r="Q811" i="1" s="1"/>
  <c r="E812" i="1"/>
  <c r="Q812" i="1" s="1"/>
  <c r="E813" i="1"/>
  <c r="Q813" i="1" s="1"/>
  <c r="E814" i="1"/>
  <c r="Q814" i="1" s="1"/>
  <c r="E815" i="1"/>
  <c r="Q815" i="1" s="1"/>
  <c r="E816" i="1"/>
  <c r="Q816" i="1" s="1"/>
  <c r="E817" i="1"/>
  <c r="Q817" i="1" s="1"/>
  <c r="E818" i="1"/>
  <c r="Q818" i="1" s="1"/>
  <c r="E819" i="1"/>
  <c r="Q819" i="1" s="1"/>
  <c r="E820" i="1"/>
  <c r="Q820" i="1" s="1"/>
  <c r="E821" i="1"/>
  <c r="Q821" i="1" s="1"/>
  <c r="E822" i="1"/>
  <c r="Q822" i="1" s="1"/>
  <c r="E823" i="1"/>
  <c r="Q823" i="1" s="1"/>
  <c r="E824" i="1"/>
  <c r="Q824" i="1" s="1"/>
  <c r="E825" i="1"/>
  <c r="Q825" i="1" s="1"/>
  <c r="E826" i="1"/>
  <c r="Q826" i="1" s="1"/>
  <c r="E827" i="1"/>
  <c r="Q827" i="1" s="1"/>
  <c r="E828" i="1"/>
  <c r="Q828" i="1" s="1"/>
  <c r="E829" i="1"/>
  <c r="Q829" i="1" s="1"/>
  <c r="E830" i="1"/>
  <c r="Q830" i="1" s="1"/>
  <c r="E831" i="1"/>
  <c r="Q831" i="1" s="1"/>
  <c r="E832" i="1"/>
  <c r="Q832" i="1" s="1"/>
  <c r="E833" i="1"/>
  <c r="Q833" i="1" s="1"/>
  <c r="E834" i="1"/>
  <c r="Q834" i="1" s="1"/>
  <c r="E835" i="1"/>
  <c r="Q835" i="1" s="1"/>
  <c r="E836" i="1"/>
  <c r="Q836" i="1" s="1"/>
  <c r="E837" i="1"/>
  <c r="Q837" i="1" s="1"/>
  <c r="E838" i="1"/>
  <c r="Q838" i="1" s="1"/>
  <c r="E839" i="1"/>
  <c r="Q839" i="1" s="1"/>
  <c r="E840" i="1"/>
  <c r="Q840" i="1" s="1"/>
  <c r="E841" i="1"/>
  <c r="Q841" i="1" s="1"/>
  <c r="E842" i="1"/>
  <c r="Q842" i="1" s="1"/>
  <c r="E843" i="1"/>
  <c r="Q843" i="1" s="1"/>
  <c r="E844" i="1"/>
  <c r="Q844" i="1" s="1"/>
  <c r="E845" i="1"/>
  <c r="Q845" i="1" s="1"/>
  <c r="E846" i="1"/>
  <c r="Q846" i="1" s="1"/>
  <c r="E847" i="1"/>
  <c r="Q847" i="1" s="1"/>
  <c r="E848" i="1"/>
  <c r="Q848" i="1" s="1"/>
  <c r="E849" i="1"/>
  <c r="Q849" i="1" s="1"/>
  <c r="E850" i="1"/>
  <c r="Q850" i="1" s="1"/>
  <c r="E851" i="1"/>
  <c r="Q851" i="1" s="1"/>
  <c r="E852" i="1"/>
  <c r="Q852" i="1" s="1"/>
  <c r="E853" i="1"/>
  <c r="Q853" i="1" s="1"/>
  <c r="E854" i="1"/>
  <c r="Q854" i="1" s="1"/>
  <c r="E855" i="1"/>
  <c r="Q855" i="1" s="1"/>
  <c r="E856" i="1"/>
  <c r="Q856" i="1" s="1"/>
  <c r="E857" i="1"/>
  <c r="Q857" i="1" s="1"/>
  <c r="E858" i="1"/>
  <c r="Q858" i="1" s="1"/>
  <c r="E859" i="1"/>
  <c r="Q859" i="1" s="1"/>
  <c r="E860" i="1"/>
  <c r="Q860" i="1" s="1"/>
  <c r="E861" i="1"/>
  <c r="Q861" i="1" s="1"/>
  <c r="E862" i="1"/>
  <c r="Q862" i="1" s="1"/>
  <c r="E863" i="1"/>
  <c r="Q863" i="1" s="1"/>
  <c r="E864" i="1"/>
  <c r="Q864" i="1" s="1"/>
  <c r="E865" i="1"/>
  <c r="Q865" i="1" s="1"/>
  <c r="E866" i="1"/>
  <c r="Q866" i="1" s="1"/>
  <c r="E867" i="1"/>
  <c r="Q867" i="1" s="1"/>
  <c r="E868" i="1"/>
  <c r="Q868" i="1" s="1"/>
  <c r="E869" i="1"/>
  <c r="Q869" i="1" s="1"/>
  <c r="E870" i="1"/>
  <c r="Q870" i="1" s="1"/>
  <c r="E871" i="1"/>
  <c r="Q871" i="1" s="1"/>
  <c r="E872" i="1"/>
  <c r="Q872" i="1" s="1"/>
  <c r="E873" i="1"/>
  <c r="Q873" i="1" s="1"/>
  <c r="E874" i="1"/>
  <c r="Q874" i="1" s="1"/>
  <c r="E875" i="1"/>
  <c r="Q875" i="1" s="1"/>
  <c r="E876" i="1"/>
  <c r="Q876" i="1" s="1"/>
  <c r="E877" i="1"/>
  <c r="Q877" i="1" s="1"/>
  <c r="E878" i="1"/>
  <c r="Q878" i="1" s="1"/>
  <c r="E879" i="1"/>
  <c r="Q879" i="1" s="1"/>
  <c r="E880" i="1"/>
  <c r="Q880" i="1" s="1"/>
  <c r="E881" i="1"/>
  <c r="Q881" i="1" s="1"/>
  <c r="E882" i="1"/>
  <c r="Q882" i="1" s="1"/>
  <c r="E883" i="1"/>
  <c r="Q883" i="1" s="1"/>
  <c r="E884" i="1"/>
  <c r="Q884" i="1" s="1"/>
  <c r="E885" i="1"/>
  <c r="Q885" i="1" s="1"/>
  <c r="E886" i="1"/>
  <c r="Q886" i="1" s="1"/>
  <c r="E887" i="1"/>
  <c r="Q887" i="1" s="1"/>
  <c r="E888" i="1"/>
  <c r="Q888" i="1" s="1"/>
  <c r="E889" i="1"/>
  <c r="Q889" i="1" s="1"/>
  <c r="E890" i="1"/>
  <c r="Q890" i="1" s="1"/>
  <c r="E891" i="1"/>
  <c r="Q891" i="1" s="1"/>
  <c r="E892" i="1"/>
  <c r="Q892" i="1" s="1"/>
  <c r="E893" i="1"/>
  <c r="Q893" i="1" s="1"/>
  <c r="E894" i="1"/>
  <c r="Q894" i="1" s="1"/>
  <c r="E895" i="1"/>
  <c r="Q895" i="1" s="1"/>
  <c r="E896" i="1"/>
  <c r="Q896" i="1" s="1"/>
  <c r="E897" i="1"/>
  <c r="Q897" i="1" s="1"/>
  <c r="E898" i="1"/>
  <c r="Q898" i="1" s="1"/>
  <c r="E899" i="1"/>
  <c r="Q899" i="1" s="1"/>
  <c r="E900" i="1"/>
  <c r="Q900" i="1" s="1"/>
  <c r="E901" i="1"/>
  <c r="Q901" i="1" s="1"/>
  <c r="E902" i="1"/>
  <c r="Q902" i="1" s="1"/>
  <c r="E903" i="1"/>
  <c r="Q903" i="1" s="1"/>
  <c r="E904" i="1"/>
  <c r="Q904" i="1" s="1"/>
  <c r="E905" i="1"/>
  <c r="Q905" i="1" s="1"/>
  <c r="E906" i="1"/>
  <c r="Q906" i="1" s="1"/>
  <c r="E907" i="1"/>
  <c r="Q907" i="1" s="1"/>
  <c r="E908" i="1"/>
  <c r="Q908" i="1" s="1"/>
  <c r="E909" i="1"/>
  <c r="Q909" i="1" s="1"/>
  <c r="E910" i="1"/>
  <c r="Q910" i="1" s="1"/>
  <c r="E911" i="1"/>
  <c r="Q911" i="1" s="1"/>
  <c r="E912" i="1"/>
  <c r="Q912" i="1" s="1"/>
  <c r="E913" i="1"/>
  <c r="Q913" i="1" s="1"/>
  <c r="E914" i="1"/>
  <c r="Q914" i="1" s="1"/>
  <c r="E915" i="1"/>
  <c r="Q915" i="1" s="1"/>
  <c r="E916" i="1"/>
  <c r="Q916" i="1" s="1"/>
  <c r="E917" i="1"/>
  <c r="Q917" i="1" s="1"/>
  <c r="E918" i="1"/>
  <c r="Q918" i="1" s="1"/>
  <c r="E919" i="1"/>
  <c r="Q919" i="1" s="1"/>
  <c r="E920" i="1"/>
  <c r="Q920" i="1" s="1"/>
  <c r="E921" i="1"/>
  <c r="Q921" i="1" s="1"/>
  <c r="E922" i="1"/>
  <c r="Q922" i="1" s="1"/>
  <c r="E923" i="1"/>
  <c r="Q923" i="1" s="1"/>
  <c r="E924" i="1"/>
  <c r="Q924" i="1" s="1"/>
  <c r="E925" i="1"/>
  <c r="Q925" i="1" s="1"/>
  <c r="E926" i="1"/>
  <c r="Q926" i="1" s="1"/>
  <c r="E927" i="1"/>
  <c r="Q927" i="1" s="1"/>
  <c r="E928" i="1"/>
  <c r="Q928" i="1" s="1"/>
  <c r="E929" i="1"/>
  <c r="Q929" i="1" s="1"/>
  <c r="E930" i="1"/>
  <c r="Q930" i="1" s="1"/>
  <c r="E931" i="1"/>
  <c r="Q931" i="1" s="1"/>
  <c r="E932" i="1"/>
  <c r="Q932" i="1" s="1"/>
  <c r="E933" i="1"/>
  <c r="Q933" i="1" s="1"/>
  <c r="E934" i="1"/>
  <c r="Q934" i="1" s="1"/>
  <c r="E935" i="1"/>
  <c r="Q935" i="1" s="1"/>
  <c r="E936" i="1"/>
  <c r="Q936" i="1" s="1"/>
  <c r="E937" i="1"/>
  <c r="Q937" i="1" s="1"/>
  <c r="E938" i="1"/>
  <c r="Q938" i="1" s="1"/>
  <c r="E939" i="1"/>
  <c r="Q939" i="1" s="1"/>
  <c r="E940" i="1"/>
  <c r="Q940" i="1" s="1"/>
  <c r="E941" i="1"/>
  <c r="Q941" i="1" s="1"/>
  <c r="E942" i="1"/>
  <c r="Q942" i="1" s="1"/>
  <c r="E943" i="1"/>
  <c r="Q943" i="1" s="1"/>
  <c r="E944" i="1"/>
  <c r="Q944" i="1" s="1"/>
  <c r="E945" i="1"/>
  <c r="Q945" i="1" s="1"/>
  <c r="E946" i="1"/>
  <c r="Q946" i="1" s="1"/>
  <c r="E947" i="1"/>
  <c r="Q947" i="1" s="1"/>
  <c r="E948" i="1"/>
  <c r="Q948" i="1" s="1"/>
  <c r="E949" i="1"/>
  <c r="Q949" i="1" s="1"/>
  <c r="E950" i="1"/>
  <c r="Q950" i="1" s="1"/>
  <c r="E951" i="1"/>
  <c r="Q951" i="1" s="1"/>
  <c r="E952" i="1"/>
  <c r="Q952" i="1" s="1"/>
  <c r="E953" i="1"/>
  <c r="Q953" i="1" s="1"/>
  <c r="E954" i="1"/>
  <c r="Q954" i="1" s="1"/>
  <c r="E955" i="1"/>
  <c r="Q955" i="1" s="1"/>
  <c r="E956" i="1"/>
  <c r="Q956" i="1" s="1"/>
  <c r="E957" i="1"/>
  <c r="Q957" i="1" s="1"/>
  <c r="E958" i="1"/>
  <c r="Q958" i="1" s="1"/>
  <c r="E959" i="1"/>
  <c r="Q959" i="1" s="1"/>
  <c r="E960" i="1"/>
  <c r="Q960" i="1" s="1"/>
  <c r="E961" i="1"/>
  <c r="Q961" i="1" s="1"/>
  <c r="E962" i="1"/>
  <c r="Q962" i="1" s="1"/>
  <c r="E963" i="1"/>
  <c r="Q963" i="1" s="1"/>
  <c r="E964" i="1"/>
  <c r="Q964" i="1" s="1"/>
  <c r="E965" i="1"/>
  <c r="Q965" i="1" s="1"/>
  <c r="E966" i="1"/>
  <c r="Q966" i="1" s="1"/>
  <c r="E967" i="1"/>
  <c r="Q967" i="1" s="1"/>
  <c r="E968" i="1"/>
  <c r="Q968" i="1" s="1"/>
  <c r="E969" i="1"/>
  <c r="Q969" i="1" s="1"/>
  <c r="E970" i="1"/>
  <c r="Q970" i="1" s="1"/>
  <c r="E971" i="1"/>
  <c r="Q971" i="1" s="1"/>
  <c r="E972" i="1"/>
  <c r="Q972" i="1" s="1"/>
  <c r="E973" i="1"/>
  <c r="Q973" i="1" s="1"/>
  <c r="E974" i="1"/>
  <c r="Q974" i="1" s="1"/>
  <c r="E975" i="1"/>
  <c r="Q975" i="1" s="1"/>
  <c r="E976" i="1"/>
  <c r="Q976" i="1" s="1"/>
  <c r="E977" i="1"/>
  <c r="Q977" i="1" s="1"/>
  <c r="E978" i="1"/>
  <c r="Q978" i="1" s="1"/>
  <c r="E979" i="1"/>
  <c r="Q979" i="1" s="1"/>
  <c r="E980" i="1"/>
  <c r="Q980" i="1" s="1"/>
  <c r="E981" i="1"/>
  <c r="Q981" i="1" s="1"/>
  <c r="E982" i="1"/>
  <c r="Q982" i="1" s="1"/>
  <c r="E983" i="1"/>
  <c r="Q983" i="1" s="1"/>
  <c r="E984" i="1"/>
  <c r="Q984" i="1" s="1"/>
  <c r="E985" i="1"/>
  <c r="Q985" i="1" s="1"/>
  <c r="E986" i="1"/>
  <c r="Q986" i="1" s="1"/>
  <c r="E987" i="1"/>
  <c r="Q987" i="1" s="1"/>
  <c r="E988" i="1"/>
  <c r="Q988" i="1" s="1"/>
  <c r="E989" i="1"/>
  <c r="Q989" i="1" s="1"/>
  <c r="E990" i="1"/>
  <c r="Q990" i="1" s="1"/>
  <c r="E991" i="1"/>
  <c r="Q991" i="1" s="1"/>
  <c r="E992" i="1"/>
  <c r="Q992" i="1" s="1"/>
  <c r="E993" i="1"/>
  <c r="Q993" i="1" s="1"/>
  <c r="E994" i="1"/>
  <c r="Q994" i="1" s="1"/>
  <c r="E995" i="1"/>
  <c r="Q995" i="1" s="1"/>
  <c r="E996" i="1"/>
  <c r="Q996" i="1" s="1"/>
  <c r="E997" i="1"/>
  <c r="Q997" i="1" s="1"/>
  <c r="E998" i="1"/>
  <c r="Q998" i="1" s="1"/>
  <c r="E999" i="1"/>
  <c r="Q999" i="1" s="1"/>
  <c r="E1000" i="1"/>
  <c r="Q1000" i="1" s="1"/>
  <c r="E1001" i="1"/>
  <c r="Q1001" i="1" s="1"/>
  <c r="E54" i="1"/>
  <c r="Q54" i="1" s="1"/>
  <c r="E53" i="1"/>
  <c r="Q53" i="1" s="1"/>
  <c r="E52" i="1"/>
  <c r="Q52" i="1" s="1"/>
  <c r="C27" i="2"/>
  <c r="E27" i="2"/>
  <c r="G27" i="2" s="1"/>
  <c r="F27" i="2"/>
  <c r="H27" i="2"/>
  <c r="F14" i="2"/>
  <c r="F15" i="2"/>
  <c r="F16" i="2"/>
  <c r="F17" i="2"/>
  <c r="F18" i="2"/>
  <c r="F19" i="2"/>
  <c r="F20" i="2"/>
  <c r="F21" i="2"/>
  <c r="F22" i="2"/>
  <c r="F23" i="2"/>
  <c r="F24" i="2"/>
  <c r="F25" i="2"/>
  <c r="F26" i="2"/>
  <c r="E14" i="2"/>
  <c r="E15" i="2"/>
  <c r="E16" i="2"/>
  <c r="E17" i="2"/>
  <c r="G17" i="2" s="1"/>
  <c r="E18" i="2"/>
  <c r="G18" i="2" s="1"/>
  <c r="E19" i="2"/>
  <c r="G19" i="2" s="1"/>
  <c r="E20" i="2"/>
  <c r="G20" i="2" s="1"/>
  <c r="E21" i="2"/>
  <c r="G21" i="2" s="1"/>
  <c r="E22" i="2"/>
  <c r="G22" i="2" s="1"/>
  <c r="E23" i="2"/>
  <c r="G23" i="2" s="1"/>
  <c r="E24" i="2"/>
  <c r="G24" i="2" s="1"/>
  <c r="E25" i="2"/>
  <c r="G25" i="2" s="1"/>
  <c r="E26" i="2"/>
  <c r="G26" i="2" s="1"/>
  <c r="C14" i="2"/>
  <c r="C15" i="2"/>
  <c r="C16" i="2"/>
  <c r="C17" i="2"/>
  <c r="C18" i="2"/>
  <c r="C19" i="2"/>
  <c r="C20" i="2"/>
  <c r="C21" i="2"/>
  <c r="C22" i="2"/>
  <c r="C23" i="2"/>
  <c r="C24" i="2"/>
  <c r="C25" i="2"/>
  <c r="C26" i="2"/>
  <c r="A3" i="3" a="1"/>
  <c r="A3" i="3" s="1"/>
  <c r="H14" i="2"/>
  <c r="H15" i="2"/>
  <c r="H16" i="2"/>
  <c r="H17" i="2"/>
  <c r="H18" i="2"/>
  <c r="H19" i="2"/>
  <c r="H20" i="2"/>
  <c r="H21" i="2"/>
  <c r="H22" i="2"/>
  <c r="H23" i="2"/>
  <c r="H24" i="2"/>
  <c r="H25" i="2"/>
  <c r="H26" i="2"/>
  <c r="E4" i="1" l="1"/>
  <c r="Q4" i="1" s="1"/>
  <c r="P12" i="1"/>
  <c r="P20" i="1"/>
  <c r="P42" i="1"/>
  <c r="P47" i="1"/>
  <c r="P49" i="1"/>
  <c r="O5" i="1"/>
  <c r="O7" i="1"/>
  <c r="O16" i="1"/>
  <c r="O19" i="1"/>
  <c r="O34" i="1"/>
  <c r="O48" i="1"/>
  <c r="N12" i="1"/>
  <c r="N18" i="1"/>
  <c r="N29" i="1"/>
  <c r="N30" i="1"/>
  <c r="N31" i="1"/>
  <c r="N38" i="1"/>
  <c r="N41" i="1"/>
  <c r="N43" i="1"/>
  <c r="O13" i="1"/>
  <c r="O14" i="1"/>
  <c r="O37" i="1"/>
  <c r="N15" i="1"/>
  <c r="N26" i="1"/>
  <c r="P33" i="1"/>
  <c r="P45" i="1"/>
  <c r="O18" i="1"/>
  <c r="P9" i="1"/>
  <c r="P19" i="1"/>
  <c r="O41" i="1"/>
  <c r="O50" i="1"/>
  <c r="P41" i="1"/>
  <c r="O51" i="1"/>
  <c r="P17" i="1"/>
  <c r="N11" i="1"/>
  <c r="P4" i="1"/>
  <c r="N49" i="1"/>
  <c r="N37" i="1"/>
  <c r="N6" i="1"/>
  <c r="O40" i="1"/>
  <c r="O27" i="1"/>
  <c r="O15" i="1"/>
  <c r="O38" i="1"/>
  <c r="N16" i="1"/>
  <c r="O30" i="1"/>
  <c r="O6" i="1"/>
  <c r="N50" i="1"/>
  <c r="O17" i="1"/>
  <c r="P28" i="1"/>
  <c r="N10" i="1"/>
  <c r="P8" i="1"/>
  <c r="O2" i="1"/>
  <c r="N2" i="1"/>
  <c r="P6" i="1"/>
  <c r="N36" i="1"/>
  <c r="P36" i="1"/>
  <c r="P34" i="1"/>
  <c r="N24" i="1"/>
  <c r="P29" i="1"/>
  <c r="E5" i="1"/>
  <c r="Q5" i="1" s="1"/>
  <c r="N42" i="1"/>
  <c r="E42" i="1"/>
  <c r="Q42" i="1" s="1"/>
  <c r="E11" i="1"/>
  <c r="Q11" i="1" s="1"/>
  <c r="E6" i="1"/>
  <c r="Q6" i="1" s="1"/>
  <c r="E19" i="1"/>
  <c r="Q19" i="1" s="1"/>
  <c r="E51" i="1"/>
  <c r="Q51" i="1" s="1"/>
  <c r="P51" i="1"/>
  <c r="P3" i="1"/>
  <c r="N45" i="1"/>
  <c r="E45" i="1"/>
  <c r="Q45" i="1" s="1"/>
  <c r="O23" i="1"/>
  <c r="E23" i="1"/>
  <c r="Q23" i="1" s="1"/>
  <c r="P26" i="1"/>
  <c r="O35" i="1"/>
  <c r="O11" i="1"/>
  <c r="P37" i="1"/>
  <c r="P15" i="1"/>
  <c r="N34" i="1"/>
  <c r="O36" i="1"/>
  <c r="N22" i="1"/>
  <c r="N21" i="1"/>
  <c r="O47" i="1"/>
  <c r="P50" i="1"/>
  <c r="E50" i="1"/>
  <c r="Q50" i="1" s="1"/>
  <c r="P13" i="1"/>
  <c r="N33" i="1"/>
  <c r="P27" i="1"/>
  <c r="N46" i="1"/>
  <c r="O24" i="1"/>
  <c r="P48" i="1"/>
  <c r="E26" i="1"/>
  <c r="Q26" i="1" s="1"/>
  <c r="E2" i="1" l="1"/>
  <c r="Q2" i="1" s="1"/>
  <c r="E25" i="1"/>
  <c r="Q25" i="1" s="1"/>
  <c r="E36" i="1"/>
  <c r="Q36" i="1" s="1"/>
  <c r="E38" i="1"/>
  <c r="Q38" i="1" s="1"/>
  <c r="E29" i="1"/>
  <c r="Q29" i="1" s="1"/>
  <c r="E30" i="1"/>
  <c r="Q30" i="1" s="1"/>
  <c r="O9" i="1"/>
  <c r="E34" i="1"/>
  <c r="Q34" i="1" s="1"/>
  <c r="E10" i="1"/>
  <c r="Q10" i="1" s="1"/>
  <c r="E37" i="1"/>
  <c r="Q37" i="1" s="1"/>
  <c r="E14" i="1"/>
  <c r="Q14" i="1" s="1"/>
  <c r="E18" i="1"/>
  <c r="Q18" i="1" s="1"/>
  <c r="E21" i="1"/>
  <c r="Q21" i="1" s="1"/>
  <c r="E12" i="1"/>
  <c r="Q12" i="1" s="1"/>
  <c r="E41" i="1"/>
  <c r="Q41" i="1" s="1"/>
  <c r="N35" i="1"/>
  <c r="O46" i="1"/>
  <c r="O12" i="1"/>
  <c r="P10" i="1"/>
  <c r="N14" i="1"/>
  <c r="O44" i="1"/>
  <c r="P22" i="1"/>
  <c r="O29" i="1"/>
  <c r="N51" i="1"/>
  <c r="N32" i="1"/>
  <c r="O33" i="1"/>
  <c r="O21" i="1"/>
  <c r="O10" i="1"/>
  <c r="O31" i="1"/>
  <c r="E32" i="1"/>
  <c r="Q32" i="1" s="1"/>
  <c r="P11" i="1"/>
  <c r="N28" i="1"/>
  <c r="P44" i="1"/>
  <c r="N23" i="1"/>
  <c r="O32" i="1"/>
  <c r="O20" i="1"/>
  <c r="P30" i="1"/>
  <c r="N5" i="1"/>
  <c r="P43" i="1"/>
  <c r="O39" i="1"/>
  <c r="E28" i="1"/>
  <c r="Q28" i="1" s="1"/>
  <c r="O26" i="1"/>
  <c r="N40" i="1"/>
  <c r="O8" i="1"/>
  <c r="P31" i="1"/>
  <c r="N39" i="1"/>
  <c r="N20" i="1"/>
  <c r="P39" i="1"/>
  <c r="P40" i="1"/>
  <c r="O42" i="1"/>
  <c r="P7" i="1"/>
  <c r="N19" i="1"/>
  <c r="O28" i="1"/>
  <c r="P5" i="1"/>
  <c r="O3" i="1"/>
  <c r="E13" i="1"/>
  <c r="Q13" i="1" s="1"/>
  <c r="P23" i="1"/>
  <c r="E8" i="1"/>
  <c r="Q8" i="1" s="1"/>
  <c r="O4" i="1"/>
  <c r="P32" i="1"/>
  <c r="P38" i="1"/>
  <c r="N8" i="1"/>
  <c r="P24" i="1"/>
  <c r="E43" i="1"/>
  <c r="Q43" i="1" s="1"/>
  <c r="P18" i="1"/>
  <c r="E39" i="1"/>
  <c r="Q39" i="1" s="1"/>
  <c r="E15" i="1"/>
  <c r="Q15" i="1" s="1"/>
  <c r="P25" i="1"/>
  <c r="E40" i="1"/>
  <c r="Q40" i="1" s="1"/>
  <c r="E24" i="1"/>
  <c r="Q24" i="1" s="1"/>
  <c r="N4" i="1"/>
  <c r="P21" i="1"/>
  <c r="O45" i="1"/>
  <c r="O25" i="1"/>
  <c r="P2" i="1"/>
  <c r="E33" i="1" l="1"/>
  <c r="Q33" i="1" s="1"/>
  <c r="E27" i="1"/>
  <c r="Q27" i="1" s="1"/>
  <c r="N25" i="1"/>
  <c r="N7" i="1"/>
  <c r="N13" i="1"/>
  <c r="E20" i="1"/>
  <c r="Q20" i="1" s="1"/>
  <c r="O43" i="1"/>
  <c r="E7" i="1"/>
  <c r="Q7" i="1" s="1"/>
  <c r="O49" i="1"/>
  <c r="P46" i="1"/>
  <c r="E49" i="1"/>
  <c r="Q49" i="1" s="1"/>
  <c r="E17" i="1"/>
  <c r="Q17" i="1" s="1"/>
  <c r="E46" i="1"/>
  <c r="Q46" i="1" s="1"/>
  <c r="E47" i="1"/>
  <c r="Q47" i="1" s="1"/>
  <c r="N48" i="1"/>
  <c r="N17" i="1"/>
  <c r="E22" i="1"/>
  <c r="Q22" i="1" s="1"/>
  <c r="N47" i="1"/>
  <c r="E48" i="1"/>
  <c r="Q48" i="1" s="1"/>
  <c r="N27" i="1"/>
  <c r="O22" i="1"/>
  <c r="E3" i="1"/>
  <c r="Q3" i="1" s="1"/>
  <c r="E35" i="1"/>
  <c r="Q35" i="1" s="1"/>
  <c r="N9" i="1"/>
  <c r="E44" i="1"/>
  <c r="Q44" i="1" s="1"/>
  <c r="N44" i="1"/>
  <c r="E9" i="1"/>
  <c r="Q9" i="1" s="1"/>
  <c r="E31" i="1"/>
  <c r="Q31" i="1" s="1"/>
  <c r="P16" i="1"/>
  <c r="N3" i="1"/>
  <c r="E16" i="1"/>
  <c r="Q16" i="1" s="1"/>
  <c r="P35" i="1"/>
  <c r="P14"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<sst xmlns="http://schemas.openxmlformats.org/spreadsheetml/2006/main" count="3329" uniqueCount="3148">
  <si>
    <t>Code</t>
  </si>
  <si>
    <t>Name</t>
  </si>
  <si>
    <t>category</t>
  </si>
  <si>
    <t>Size</t>
  </si>
  <si>
    <t>Quantity</t>
  </si>
  <si>
    <t>Color</t>
  </si>
  <si>
    <t>Price</t>
  </si>
  <si>
    <t>Zone</t>
  </si>
  <si>
    <t>Shelf</t>
  </si>
  <si>
    <t>Description</t>
  </si>
  <si>
    <t>ImagePath</t>
  </si>
  <si>
    <t>HTML_Link</t>
  </si>
  <si>
    <t>FP0001</t>
  </si>
  <si>
    <t>FP0002</t>
  </si>
  <si>
    <t>FP0003</t>
  </si>
  <si>
    <t>FP0004</t>
  </si>
  <si>
    <t>FP0005</t>
  </si>
  <si>
    <t>FP0006</t>
  </si>
  <si>
    <t>FP0007</t>
  </si>
  <si>
    <t>FP0008</t>
  </si>
  <si>
    <t>FP0009</t>
  </si>
  <si>
    <t>FP0010</t>
  </si>
  <si>
    <t>FP0011</t>
  </si>
  <si>
    <t>FP0012</t>
  </si>
  <si>
    <t>FP0013</t>
  </si>
  <si>
    <t>FP0014</t>
  </si>
  <si>
    <t>FP0015</t>
  </si>
  <si>
    <t>FP0016</t>
  </si>
  <si>
    <t>FP0017</t>
  </si>
  <si>
    <t>FP0018</t>
  </si>
  <si>
    <t>FP0019</t>
  </si>
  <si>
    <t>FP0020</t>
  </si>
  <si>
    <t>FP0021</t>
  </si>
  <si>
    <t>FP0022</t>
  </si>
  <si>
    <t>FP0023</t>
  </si>
  <si>
    <t>FP0024</t>
  </si>
  <si>
    <t>FP0025</t>
  </si>
  <si>
    <t>FP0026</t>
  </si>
  <si>
    <t>FP0027</t>
  </si>
  <si>
    <t>FP0028</t>
  </si>
  <si>
    <t>FP0029</t>
  </si>
  <si>
    <t>FP0030</t>
  </si>
  <si>
    <t>FP0031</t>
  </si>
  <si>
    <t>FP0032</t>
  </si>
  <si>
    <t>FP0033</t>
  </si>
  <si>
    <t>FP0034</t>
  </si>
  <si>
    <t>FP0035</t>
  </si>
  <si>
    <t>FP0036</t>
  </si>
  <si>
    <t>FP0037</t>
  </si>
  <si>
    <t>FP0038</t>
  </si>
  <si>
    <t>FP0039</t>
  </si>
  <si>
    <t>FP0040</t>
  </si>
  <si>
    <t>FP0041</t>
  </si>
  <si>
    <t>FP0042</t>
  </si>
  <si>
    <t>FP0043</t>
  </si>
  <si>
    <t>FP0044</t>
  </si>
  <si>
    <t>FP0045</t>
  </si>
  <si>
    <t>FP0046</t>
  </si>
  <si>
    <t>FP0047</t>
  </si>
  <si>
    <t>FP0048</t>
  </si>
  <si>
    <t>FP0049</t>
  </si>
  <si>
    <t>FP0050</t>
  </si>
  <si>
    <t>FP0051</t>
  </si>
  <si>
    <t>FP0052</t>
  </si>
  <si>
    <t>FP0053</t>
  </si>
  <si>
    <t>FP0054</t>
  </si>
  <si>
    <t>FP0055</t>
  </si>
  <si>
    <t>FP0056</t>
  </si>
  <si>
    <t>FP0057</t>
  </si>
  <si>
    <t>FP0058</t>
  </si>
  <si>
    <t>FP0059</t>
  </si>
  <si>
    <t>FP0060</t>
  </si>
  <si>
    <t>FP0061</t>
  </si>
  <si>
    <t>FP0062</t>
  </si>
  <si>
    <t>FP0063</t>
  </si>
  <si>
    <t>FP0064</t>
  </si>
  <si>
    <t>FP0065</t>
  </si>
  <si>
    <t>FP0066</t>
  </si>
  <si>
    <t>FP0067</t>
  </si>
  <si>
    <t>FP0068</t>
  </si>
  <si>
    <t>FP0069</t>
  </si>
  <si>
    <t>FP0070</t>
  </si>
  <si>
    <t>FP0071</t>
  </si>
  <si>
    <t>FP0072</t>
  </si>
  <si>
    <t>FP0073</t>
  </si>
  <si>
    <t>FP0074</t>
  </si>
  <si>
    <t>FP0075</t>
  </si>
  <si>
    <t>FP0076</t>
  </si>
  <si>
    <t>FP0077</t>
  </si>
  <si>
    <t>FP0078</t>
  </si>
  <si>
    <t>FP0079</t>
  </si>
  <si>
    <t>FP0080</t>
  </si>
  <si>
    <t>FP0081</t>
  </si>
  <si>
    <t>FP0082</t>
  </si>
  <si>
    <t>FP0083</t>
  </si>
  <si>
    <t>FP0084</t>
  </si>
  <si>
    <t>FP0085</t>
  </si>
  <si>
    <t>FP0086</t>
  </si>
  <si>
    <t>FP0087</t>
  </si>
  <si>
    <t>FP0088</t>
  </si>
  <si>
    <t>FP0089</t>
  </si>
  <si>
    <t>FP0090</t>
  </si>
  <si>
    <t>FP0091</t>
  </si>
  <si>
    <t>FP0092</t>
  </si>
  <si>
    <t>FP0093</t>
  </si>
  <si>
    <t>FP0094</t>
  </si>
  <si>
    <t>FP0095</t>
  </si>
  <si>
    <t>FP0096</t>
  </si>
  <si>
    <t>FP0097</t>
  </si>
  <si>
    <t>FP0098</t>
  </si>
  <si>
    <t>FP0099</t>
  </si>
  <si>
    <t>FP0100</t>
  </si>
  <si>
    <t>FP0101</t>
  </si>
  <si>
    <t>FP0102</t>
  </si>
  <si>
    <t>FP0103</t>
  </si>
  <si>
    <t>FP0104</t>
  </si>
  <si>
    <t>FP0105</t>
  </si>
  <si>
    <t>FP0106</t>
  </si>
  <si>
    <t>FP0107</t>
  </si>
  <si>
    <t>FP0108</t>
  </si>
  <si>
    <t>FP0109</t>
  </si>
  <si>
    <t>FP0110</t>
  </si>
  <si>
    <t>FP0111</t>
  </si>
  <si>
    <t>FP0112</t>
  </si>
  <si>
    <t>FP0113</t>
  </si>
  <si>
    <t>FP0114</t>
  </si>
  <si>
    <t>FP0115</t>
  </si>
  <si>
    <t>FP0116</t>
  </si>
  <si>
    <t>FP0117</t>
  </si>
  <si>
    <t>FP0118</t>
  </si>
  <si>
    <t>FP0119</t>
  </si>
  <si>
    <t>FP0120</t>
  </si>
  <si>
    <t>FP0121</t>
  </si>
  <si>
    <t>FP0122</t>
  </si>
  <si>
    <t>FP0123</t>
  </si>
  <si>
    <t>FP0124</t>
  </si>
  <si>
    <t>FP0125</t>
  </si>
  <si>
    <t>FP0126</t>
  </si>
  <si>
    <t>FP0127</t>
  </si>
  <si>
    <t>FP0128</t>
  </si>
  <si>
    <t>FP0129</t>
  </si>
  <si>
    <t>FP0130</t>
  </si>
  <si>
    <t>FP0131</t>
  </si>
  <si>
    <t>FP0132</t>
  </si>
  <si>
    <t>FP0133</t>
  </si>
  <si>
    <t>FP0134</t>
  </si>
  <si>
    <t>FP0135</t>
  </si>
  <si>
    <t>FP0136</t>
  </si>
  <si>
    <t>FP0137</t>
  </si>
  <si>
    <t>FP0138</t>
  </si>
  <si>
    <t>FP0139</t>
  </si>
  <si>
    <t>FP0140</t>
  </si>
  <si>
    <t>FP0141</t>
  </si>
  <si>
    <t>FP0142</t>
  </si>
  <si>
    <t>FP0143</t>
  </si>
  <si>
    <t>FP0144</t>
  </si>
  <si>
    <t>FP0145</t>
  </si>
  <si>
    <t>FP0146</t>
  </si>
  <si>
    <t>FP0147</t>
  </si>
  <si>
    <t>FP0148</t>
  </si>
  <si>
    <t>FP0149</t>
  </si>
  <si>
    <t>FP0150</t>
  </si>
  <si>
    <t>FP0151</t>
  </si>
  <si>
    <t>FP0152</t>
  </si>
  <si>
    <t>FP0153</t>
  </si>
  <si>
    <t>FP0154</t>
  </si>
  <si>
    <t>FP0155</t>
  </si>
  <si>
    <t>FP0156</t>
  </si>
  <si>
    <t>FP0157</t>
  </si>
  <si>
    <t>FP0158</t>
  </si>
  <si>
    <t>FP0159</t>
  </si>
  <si>
    <t>FP0160</t>
  </si>
  <si>
    <t>FP0161</t>
  </si>
  <si>
    <t>FP0162</t>
  </si>
  <si>
    <t>FP0163</t>
  </si>
  <si>
    <t>FP0164</t>
  </si>
  <si>
    <t>FP0165</t>
  </si>
  <si>
    <t>FP0166</t>
  </si>
  <si>
    <t>FP0167</t>
  </si>
  <si>
    <t>FP0168</t>
  </si>
  <si>
    <t>FP0169</t>
  </si>
  <si>
    <t>FP0170</t>
  </si>
  <si>
    <t>FP0171</t>
  </si>
  <si>
    <t>FP0172</t>
  </si>
  <si>
    <t>FP0173</t>
  </si>
  <si>
    <t>FP0174</t>
  </si>
  <si>
    <t>FP0175</t>
  </si>
  <si>
    <t>FP0176</t>
  </si>
  <si>
    <t>FP0177</t>
  </si>
  <si>
    <t>FP0178</t>
  </si>
  <si>
    <t>FP0179</t>
  </si>
  <si>
    <t>FP0180</t>
  </si>
  <si>
    <t>FP0181</t>
  </si>
  <si>
    <t>FP0182</t>
  </si>
  <si>
    <t>FP0183</t>
  </si>
  <si>
    <t>FP0184</t>
  </si>
  <si>
    <t>FP0185</t>
  </si>
  <si>
    <t>FP0186</t>
  </si>
  <si>
    <t>FP0187</t>
  </si>
  <si>
    <t>FP0188</t>
  </si>
  <si>
    <t>FP0189</t>
  </si>
  <si>
    <t>FP0190</t>
  </si>
  <si>
    <t>FP0191</t>
  </si>
  <si>
    <t>FP0192</t>
  </si>
  <si>
    <t>FP0193</t>
  </si>
  <si>
    <t>FP0194</t>
  </si>
  <si>
    <t>FP0195</t>
  </si>
  <si>
    <t>FP0196</t>
  </si>
  <si>
    <t>FP0197</t>
  </si>
  <si>
    <t>FP0198</t>
  </si>
  <si>
    <t>FP0199</t>
  </si>
  <si>
    <t>FP0200</t>
  </si>
  <si>
    <t>FP0201</t>
  </si>
  <si>
    <t>FP0202</t>
  </si>
  <si>
    <t>FP0203</t>
  </si>
  <si>
    <t>FP0204</t>
  </si>
  <si>
    <t>FP0205</t>
  </si>
  <si>
    <t>FP0206</t>
  </si>
  <si>
    <t>FP0207</t>
  </si>
  <si>
    <t>FP0208</t>
  </si>
  <si>
    <t>FP0209</t>
  </si>
  <si>
    <t>FP0210</t>
  </si>
  <si>
    <t>FP0211</t>
  </si>
  <si>
    <t>FP0212</t>
  </si>
  <si>
    <t>FP0213</t>
  </si>
  <si>
    <t>FP0214</t>
  </si>
  <si>
    <t>FP0215</t>
  </si>
  <si>
    <t>FP0216</t>
  </si>
  <si>
    <t>FP0217</t>
  </si>
  <si>
    <t>FP0218</t>
  </si>
  <si>
    <t>FP0219</t>
  </si>
  <si>
    <t>FP0220</t>
  </si>
  <si>
    <t>FP0221</t>
  </si>
  <si>
    <t>FP0222</t>
  </si>
  <si>
    <t>FP0223</t>
  </si>
  <si>
    <t>FP0224</t>
  </si>
  <si>
    <t>FP0225</t>
  </si>
  <si>
    <t>FP0226</t>
  </si>
  <si>
    <t>FP0227</t>
  </si>
  <si>
    <t>FP0228</t>
  </si>
  <si>
    <t>FP0229</t>
  </si>
  <si>
    <t>FP0230</t>
  </si>
  <si>
    <t>FP0231</t>
  </si>
  <si>
    <t>FP0232</t>
  </si>
  <si>
    <t>FP0233</t>
  </si>
  <si>
    <t>FP0234</t>
  </si>
  <si>
    <t>FP0235</t>
  </si>
  <si>
    <t>FP0236</t>
  </si>
  <si>
    <t>FP0237</t>
  </si>
  <si>
    <t>FP0238</t>
  </si>
  <si>
    <t>FP0239</t>
  </si>
  <si>
    <t>FP0240</t>
  </si>
  <si>
    <t>FP0241</t>
  </si>
  <si>
    <t>FP0242</t>
  </si>
  <si>
    <t>FP0243</t>
  </si>
  <si>
    <t>FP0244</t>
  </si>
  <si>
    <t>FP0245</t>
  </si>
  <si>
    <t>FP0246</t>
  </si>
  <si>
    <t>FP0247</t>
  </si>
  <si>
    <t>FP0248</t>
  </si>
  <si>
    <t>FP0249</t>
  </si>
  <si>
    <t>FP0250</t>
  </si>
  <si>
    <t>FP0251</t>
  </si>
  <si>
    <t>FP0252</t>
  </si>
  <si>
    <t>FP0253</t>
  </si>
  <si>
    <t>FP0254</t>
  </si>
  <si>
    <t>FP0255</t>
  </si>
  <si>
    <t>FP0256</t>
  </si>
  <si>
    <t>FP0257</t>
  </si>
  <si>
    <t>FP0258</t>
  </si>
  <si>
    <t>FP0259</t>
  </si>
  <si>
    <t>FP0260</t>
  </si>
  <si>
    <t>FP0261</t>
  </si>
  <si>
    <t>FP0262</t>
  </si>
  <si>
    <t>FP0263</t>
  </si>
  <si>
    <t>FP0264</t>
  </si>
  <si>
    <t>FP0265</t>
  </si>
  <si>
    <t>FP0266</t>
  </si>
  <si>
    <t>FP0267</t>
  </si>
  <si>
    <t>FP0268</t>
  </si>
  <si>
    <t>FP0269</t>
  </si>
  <si>
    <t>FP0270</t>
  </si>
  <si>
    <t>FP0271</t>
  </si>
  <si>
    <t>FP0272</t>
  </si>
  <si>
    <t>FP0273</t>
  </si>
  <si>
    <t>FP0274</t>
  </si>
  <si>
    <t>FP0275</t>
  </si>
  <si>
    <t>FP0276</t>
  </si>
  <si>
    <t>FP0277</t>
  </si>
  <si>
    <t>FP0278</t>
  </si>
  <si>
    <t>FP0279</t>
  </si>
  <si>
    <t>FP0280</t>
  </si>
  <si>
    <t>FP0281</t>
  </si>
  <si>
    <t>FP0282</t>
  </si>
  <si>
    <t>FP0283</t>
  </si>
  <si>
    <t>FP0284</t>
  </si>
  <si>
    <t>FP0285</t>
  </si>
  <si>
    <t>FP0286</t>
  </si>
  <si>
    <t>FP0287</t>
  </si>
  <si>
    <t>FP0288</t>
  </si>
  <si>
    <t>FP0289</t>
  </si>
  <si>
    <t>FP0290</t>
  </si>
  <si>
    <t>FP0291</t>
  </si>
  <si>
    <t>FP0292</t>
  </si>
  <si>
    <t>FP0293</t>
  </si>
  <si>
    <t>FP0294</t>
  </si>
  <si>
    <t>FP0295</t>
  </si>
  <si>
    <t>FP0296</t>
  </si>
  <si>
    <t>FP0297</t>
  </si>
  <si>
    <t>FP0298</t>
  </si>
  <si>
    <t>FP0299</t>
  </si>
  <si>
    <t>FP0300</t>
  </si>
  <si>
    <t>FP0301</t>
  </si>
  <si>
    <t>FP0302</t>
  </si>
  <si>
    <t>FP0303</t>
  </si>
  <si>
    <t>FP0304</t>
  </si>
  <si>
    <t>FP0305</t>
  </si>
  <si>
    <t>FP0306</t>
  </si>
  <si>
    <t>FP0307</t>
  </si>
  <si>
    <t>FP0308</t>
  </si>
  <si>
    <t>FP0309</t>
  </si>
  <si>
    <t>FP0310</t>
  </si>
  <si>
    <t>FP0311</t>
  </si>
  <si>
    <t>FP0312</t>
  </si>
  <si>
    <t>FP0313</t>
  </si>
  <si>
    <t>FP0314</t>
  </si>
  <si>
    <t>FP0315</t>
  </si>
  <si>
    <t>FP0316</t>
  </si>
  <si>
    <t>FP0317</t>
  </si>
  <si>
    <t>FP0318</t>
  </si>
  <si>
    <t>FP0319</t>
  </si>
  <si>
    <t>FP0320</t>
  </si>
  <si>
    <t>FP0321</t>
  </si>
  <si>
    <t>FP0322</t>
  </si>
  <si>
    <t>FP0323</t>
  </si>
  <si>
    <t>FP0324</t>
  </si>
  <si>
    <t>FP0325</t>
  </si>
  <si>
    <t>FP0326</t>
  </si>
  <si>
    <t>FP0327</t>
  </si>
  <si>
    <t>FP0328</t>
  </si>
  <si>
    <t>FP0329</t>
  </si>
  <si>
    <t>FP0330</t>
  </si>
  <si>
    <t>FP0331</t>
  </si>
  <si>
    <t>FP0332</t>
  </si>
  <si>
    <t>FP0333</t>
  </si>
  <si>
    <t>FP0334</t>
  </si>
  <si>
    <t>FP0335</t>
  </si>
  <si>
    <t>FP0336</t>
  </si>
  <si>
    <t>FP0337</t>
  </si>
  <si>
    <t>FP0338</t>
  </si>
  <si>
    <t>FP0339</t>
  </si>
  <si>
    <t>FP0340</t>
  </si>
  <si>
    <t>FP0341</t>
  </si>
  <si>
    <t>FP0342</t>
  </si>
  <si>
    <t>FP0343</t>
  </si>
  <si>
    <t>FP0344</t>
  </si>
  <si>
    <t>FP0345</t>
  </si>
  <si>
    <t>FP0346</t>
  </si>
  <si>
    <t>FP0347</t>
  </si>
  <si>
    <t>FP0348</t>
  </si>
  <si>
    <t>FP0349</t>
  </si>
  <si>
    <t>FP0350</t>
  </si>
  <si>
    <t>FP0351</t>
  </si>
  <si>
    <t>FP0352</t>
  </si>
  <si>
    <t>FP0353</t>
  </si>
  <si>
    <t>FP0354</t>
  </si>
  <si>
    <t>FP0355</t>
  </si>
  <si>
    <t>FP0356</t>
  </si>
  <si>
    <t>FP0357</t>
  </si>
  <si>
    <t>FP0358</t>
  </si>
  <si>
    <t>FP0359</t>
  </si>
  <si>
    <t>FP0360</t>
  </si>
  <si>
    <t>FP0361</t>
  </si>
  <si>
    <t>FP0362</t>
  </si>
  <si>
    <t>FP0363</t>
  </si>
  <si>
    <t>FP0364</t>
  </si>
  <si>
    <t>FP0365</t>
  </si>
  <si>
    <t>FP0366</t>
  </si>
  <si>
    <t>FP0367</t>
  </si>
  <si>
    <t>FP0368</t>
  </si>
  <si>
    <t>FP0369</t>
  </si>
  <si>
    <t>FP0370</t>
  </si>
  <si>
    <t>FP0371</t>
  </si>
  <si>
    <t>FP0372</t>
  </si>
  <si>
    <t>FP0373</t>
  </si>
  <si>
    <t>FP0374</t>
  </si>
  <si>
    <t>FP0375</t>
  </si>
  <si>
    <t>FP0376</t>
  </si>
  <si>
    <t>FP0377</t>
  </si>
  <si>
    <t>FP0378</t>
  </si>
  <si>
    <t>FP0379</t>
  </si>
  <si>
    <t>FP0380</t>
  </si>
  <si>
    <t>FP0381</t>
  </si>
  <si>
    <t>FP0382</t>
  </si>
  <si>
    <t>FP0383</t>
  </si>
  <si>
    <t>FP0384</t>
  </si>
  <si>
    <t>FP0385</t>
  </si>
  <si>
    <t>FP0386</t>
  </si>
  <si>
    <t>FP0387</t>
  </si>
  <si>
    <t>FP0388</t>
  </si>
  <si>
    <t>FP0389</t>
  </si>
  <si>
    <t>FP0390</t>
  </si>
  <si>
    <t>FP0391</t>
  </si>
  <si>
    <t>FP0392</t>
  </si>
  <si>
    <t>FP0393</t>
  </si>
  <si>
    <t>FP0394</t>
  </si>
  <si>
    <t>FP0395</t>
  </si>
  <si>
    <t>FP0396</t>
  </si>
  <si>
    <t>FP0397</t>
  </si>
  <si>
    <t>FP0398</t>
  </si>
  <si>
    <t>FP0399</t>
  </si>
  <si>
    <t>FP0400</t>
  </si>
  <si>
    <t>FP0401</t>
  </si>
  <si>
    <t>FP0402</t>
  </si>
  <si>
    <t>FP0403</t>
  </si>
  <si>
    <t>FP0404</t>
  </si>
  <si>
    <t>FP0405</t>
  </si>
  <si>
    <t>FP0406</t>
  </si>
  <si>
    <t>FP0407</t>
  </si>
  <si>
    <t>FP0408</t>
  </si>
  <si>
    <t>FP0409</t>
  </si>
  <si>
    <t>FP0410</t>
  </si>
  <si>
    <t>FP0411</t>
  </si>
  <si>
    <t>FP0412</t>
  </si>
  <si>
    <t>FP0413</t>
  </si>
  <si>
    <t>FP0414</t>
  </si>
  <si>
    <t>FP0415</t>
  </si>
  <si>
    <t>FP0416</t>
  </si>
  <si>
    <t>FP0417</t>
  </si>
  <si>
    <t>FP0418</t>
  </si>
  <si>
    <t>FP0419</t>
  </si>
  <si>
    <t>FP0420</t>
  </si>
  <si>
    <t>FP0421</t>
  </si>
  <si>
    <t>FP0422</t>
  </si>
  <si>
    <t>FP0423</t>
  </si>
  <si>
    <t>FP0424</t>
  </si>
  <si>
    <t>FP0425</t>
  </si>
  <si>
    <t>FP0426</t>
  </si>
  <si>
    <t>FP0427</t>
  </si>
  <si>
    <t>FP0428</t>
  </si>
  <si>
    <t>FP0429</t>
  </si>
  <si>
    <t>FP0430</t>
  </si>
  <si>
    <t>FP0431</t>
  </si>
  <si>
    <t>FP0432</t>
  </si>
  <si>
    <t>FP0433</t>
  </si>
  <si>
    <t>FP0434</t>
  </si>
  <si>
    <t>FP0435</t>
  </si>
  <si>
    <t>FP0436</t>
  </si>
  <si>
    <t>FP0437</t>
  </si>
  <si>
    <t>FP0438</t>
  </si>
  <si>
    <t>FP0439</t>
  </si>
  <si>
    <t>FP0440</t>
  </si>
  <si>
    <t>FP0441</t>
  </si>
  <si>
    <t>FP0442</t>
  </si>
  <si>
    <t>FP0443</t>
  </si>
  <si>
    <t>FP0444</t>
  </si>
  <si>
    <t>FP0445</t>
  </si>
  <si>
    <t>FP0446</t>
  </si>
  <si>
    <t>FP0447</t>
  </si>
  <si>
    <t>FP0448</t>
  </si>
  <si>
    <t>FP0449</t>
  </si>
  <si>
    <t>FP0450</t>
  </si>
  <si>
    <t>FP0451</t>
  </si>
  <si>
    <t>FP0452</t>
  </si>
  <si>
    <t>FP0453</t>
  </si>
  <si>
    <t>FP0454</t>
  </si>
  <si>
    <t>FP0455</t>
  </si>
  <si>
    <t>FP0456</t>
  </si>
  <si>
    <t>FP0457</t>
  </si>
  <si>
    <t>FP0458</t>
  </si>
  <si>
    <t>FP0459</t>
  </si>
  <si>
    <t>FP0460</t>
  </si>
  <si>
    <t>FP0461</t>
  </si>
  <si>
    <t>FP0462</t>
  </si>
  <si>
    <t>FP0463</t>
  </si>
  <si>
    <t>FP0464</t>
  </si>
  <si>
    <t>FP0465</t>
  </si>
  <si>
    <t>FP0466</t>
  </si>
  <si>
    <t>FP0467</t>
  </si>
  <si>
    <t>FP0468</t>
  </si>
  <si>
    <t>FP0469</t>
  </si>
  <si>
    <t>FP0470</t>
  </si>
  <si>
    <t>FP0471</t>
  </si>
  <si>
    <t>FP0472</t>
  </si>
  <si>
    <t>FP0473</t>
  </si>
  <si>
    <t>FP0474</t>
  </si>
  <si>
    <t>FP0475</t>
  </si>
  <si>
    <t>FP0476</t>
  </si>
  <si>
    <t>FP0477</t>
  </si>
  <si>
    <t>FP0478</t>
  </si>
  <si>
    <t>FP0479</t>
  </si>
  <si>
    <t>FP0480</t>
  </si>
  <si>
    <t>FP0481</t>
  </si>
  <si>
    <t>FP0482</t>
  </si>
  <si>
    <t>FP0483</t>
  </si>
  <si>
    <t>FP0484</t>
  </si>
  <si>
    <t>FP0485</t>
  </si>
  <si>
    <t>FP0486</t>
  </si>
  <si>
    <t>FP0487</t>
  </si>
  <si>
    <t>FP0488</t>
  </si>
  <si>
    <t>FP0489</t>
  </si>
  <si>
    <t>FP0490</t>
  </si>
  <si>
    <t>FP0491</t>
  </si>
  <si>
    <t>FP0492</t>
  </si>
  <si>
    <t>FP0493</t>
  </si>
  <si>
    <t>FP0494</t>
  </si>
  <si>
    <t>FP0495</t>
  </si>
  <si>
    <t>FP0496</t>
  </si>
  <si>
    <t>FP0497</t>
  </si>
  <si>
    <t>FP0498</t>
  </si>
  <si>
    <t>FP0499</t>
  </si>
  <si>
    <t>FP0500</t>
  </si>
  <si>
    <t>FP0501</t>
  </si>
  <si>
    <t>FP0502</t>
  </si>
  <si>
    <t>FP0503</t>
  </si>
  <si>
    <t>FP0504</t>
  </si>
  <si>
    <t>FP0505</t>
  </si>
  <si>
    <t>FP0506</t>
  </si>
  <si>
    <t>FP0507</t>
  </si>
  <si>
    <t>FP0508</t>
  </si>
  <si>
    <t>FP0509</t>
  </si>
  <si>
    <t>FP0510</t>
  </si>
  <si>
    <t>FP0511</t>
  </si>
  <si>
    <t>FP0512</t>
  </si>
  <si>
    <t>FP0513</t>
  </si>
  <si>
    <t>FP0514</t>
  </si>
  <si>
    <t>FP0515</t>
  </si>
  <si>
    <t>FP0516</t>
  </si>
  <si>
    <t>FP0517</t>
  </si>
  <si>
    <t>FP0518</t>
  </si>
  <si>
    <t>FP0519</t>
  </si>
  <si>
    <t>FP0520</t>
  </si>
  <si>
    <t>FP0521</t>
  </si>
  <si>
    <t>FP0522</t>
  </si>
  <si>
    <t>FP0523</t>
  </si>
  <si>
    <t>FP0524</t>
  </si>
  <si>
    <t>FP0525</t>
  </si>
  <si>
    <t>FP0526</t>
  </si>
  <si>
    <t>FP0527</t>
  </si>
  <si>
    <t>FP0528</t>
  </si>
  <si>
    <t>FP0529</t>
  </si>
  <si>
    <t>FP0530</t>
  </si>
  <si>
    <t>FP0531</t>
  </si>
  <si>
    <t>FP0532</t>
  </si>
  <si>
    <t>FP0533</t>
  </si>
  <si>
    <t>FP0534</t>
  </si>
  <si>
    <t>FP0535</t>
  </si>
  <si>
    <t>FP0536</t>
  </si>
  <si>
    <t>FP0537</t>
  </si>
  <si>
    <t>FP0538</t>
  </si>
  <si>
    <t>FP0539</t>
  </si>
  <si>
    <t>FP0540</t>
  </si>
  <si>
    <t>FP0541</t>
  </si>
  <si>
    <t>FP0542</t>
  </si>
  <si>
    <t>FP0543</t>
  </si>
  <si>
    <t>FP0544</t>
  </si>
  <si>
    <t>FP0545</t>
  </si>
  <si>
    <t>FP0546</t>
  </si>
  <si>
    <t>FP0547</t>
  </si>
  <si>
    <t>FP0548</t>
  </si>
  <si>
    <t>FP0549</t>
  </si>
  <si>
    <t>FP0550</t>
  </si>
  <si>
    <t>FP0551</t>
  </si>
  <si>
    <t>FP0552</t>
  </si>
  <si>
    <t>FP0553</t>
  </si>
  <si>
    <t>FP0554</t>
  </si>
  <si>
    <t>FP0555</t>
  </si>
  <si>
    <t>FP0556</t>
  </si>
  <si>
    <t>FP0557</t>
  </si>
  <si>
    <t>FP0558</t>
  </si>
  <si>
    <t>FP0559</t>
  </si>
  <si>
    <t>FP0560</t>
  </si>
  <si>
    <t>FP0561</t>
  </si>
  <si>
    <t>FP0562</t>
  </si>
  <si>
    <t>FP0563</t>
  </si>
  <si>
    <t>FP0564</t>
  </si>
  <si>
    <t>FP0565</t>
  </si>
  <si>
    <t>FP0566</t>
  </si>
  <si>
    <t>FP0567</t>
  </si>
  <si>
    <t>FP0568</t>
  </si>
  <si>
    <t>FP0569</t>
  </si>
  <si>
    <t>FP0570</t>
  </si>
  <si>
    <t>FP0571</t>
  </si>
  <si>
    <t>FP0572</t>
  </si>
  <si>
    <t>FP0573</t>
  </si>
  <si>
    <t>FP0574</t>
  </si>
  <si>
    <t>FP0575</t>
  </si>
  <si>
    <t>FP0576</t>
  </si>
  <si>
    <t>FP0577</t>
  </si>
  <si>
    <t>FP0578</t>
  </si>
  <si>
    <t>FP0579</t>
  </si>
  <si>
    <t>FP0580</t>
  </si>
  <si>
    <t>FP0581</t>
  </si>
  <si>
    <t>FP0582</t>
  </si>
  <si>
    <t>FP0583</t>
  </si>
  <si>
    <t>FP0584</t>
  </si>
  <si>
    <t>FP0585</t>
  </si>
  <si>
    <t>FP0586</t>
  </si>
  <si>
    <t>FP0587</t>
  </si>
  <si>
    <t>FP0588</t>
  </si>
  <si>
    <t>FP0589</t>
  </si>
  <si>
    <t>FP0590</t>
  </si>
  <si>
    <t>FP0591</t>
  </si>
  <si>
    <t>FP0592</t>
  </si>
  <si>
    <t>FP0593</t>
  </si>
  <si>
    <t>FP0594</t>
  </si>
  <si>
    <t>FP0595</t>
  </si>
  <si>
    <t>FP0596</t>
  </si>
  <si>
    <t>FP0597</t>
  </si>
  <si>
    <t>FP0598</t>
  </si>
  <si>
    <t>FP0599</t>
  </si>
  <si>
    <t>FP0600</t>
  </si>
  <si>
    <t>FP0601</t>
  </si>
  <si>
    <t>FP0602</t>
  </si>
  <si>
    <t>FP0603</t>
  </si>
  <si>
    <t>FP0604</t>
  </si>
  <si>
    <t>FP0605</t>
  </si>
  <si>
    <t>FP0606</t>
  </si>
  <si>
    <t>FP0607</t>
  </si>
  <si>
    <t>FP0608</t>
  </si>
  <si>
    <t>FP0609</t>
  </si>
  <si>
    <t>FP0610</t>
  </si>
  <si>
    <t>FP0611</t>
  </si>
  <si>
    <t>FP0612</t>
  </si>
  <si>
    <t>FP0613</t>
  </si>
  <si>
    <t>FP0614</t>
  </si>
  <si>
    <t>FP0615</t>
  </si>
  <si>
    <t>FP0616</t>
  </si>
  <si>
    <t>FP0617</t>
  </si>
  <si>
    <t>FP0618</t>
  </si>
  <si>
    <t>FP0619</t>
  </si>
  <si>
    <t>FP0620</t>
  </si>
  <si>
    <t>FP0621</t>
  </si>
  <si>
    <t>FP0622</t>
  </si>
  <si>
    <t>FP0623</t>
  </si>
  <si>
    <t>FP0624</t>
  </si>
  <si>
    <t>FP0625</t>
  </si>
  <si>
    <t>FP0626</t>
  </si>
  <si>
    <t>FP0627</t>
  </si>
  <si>
    <t>FP0628</t>
  </si>
  <si>
    <t>FP0629</t>
  </si>
  <si>
    <t>FP0630</t>
  </si>
  <si>
    <t>FP0631</t>
  </si>
  <si>
    <t>FP0632</t>
  </si>
  <si>
    <t>FP0633</t>
  </si>
  <si>
    <t>FP0634</t>
  </si>
  <si>
    <t>FP0635</t>
  </si>
  <si>
    <t>FP0636</t>
  </si>
  <si>
    <t>FP0637</t>
  </si>
  <si>
    <t>FP0638</t>
  </si>
  <si>
    <t>FP0639</t>
  </si>
  <si>
    <t>FP0640</t>
  </si>
  <si>
    <t>FP0641</t>
  </si>
  <si>
    <t>FP0642</t>
  </si>
  <si>
    <t>FP0643</t>
  </si>
  <si>
    <t>FP0644</t>
  </si>
  <si>
    <t>FP0645</t>
  </si>
  <si>
    <t>FP0646</t>
  </si>
  <si>
    <t>FP0647</t>
  </si>
  <si>
    <t>FP0648</t>
  </si>
  <si>
    <t>FP0649</t>
  </si>
  <si>
    <t>FP0650</t>
  </si>
  <si>
    <t>FP0651</t>
  </si>
  <si>
    <t>FP0652</t>
  </si>
  <si>
    <t>FP0653</t>
  </si>
  <si>
    <t>FP0654</t>
  </si>
  <si>
    <t>FP0655</t>
  </si>
  <si>
    <t>FP0656</t>
  </si>
  <si>
    <t>FP0657</t>
  </si>
  <si>
    <t>FP0658</t>
  </si>
  <si>
    <t>FP0659</t>
  </si>
  <si>
    <t>FP0660</t>
  </si>
  <si>
    <t>FP0661</t>
  </si>
  <si>
    <t>FP0662</t>
  </si>
  <si>
    <t>FP0663</t>
  </si>
  <si>
    <t>FP0664</t>
  </si>
  <si>
    <t>FP0665</t>
  </si>
  <si>
    <t>FP0666</t>
  </si>
  <si>
    <t>FP0667</t>
  </si>
  <si>
    <t>FP0668</t>
  </si>
  <si>
    <t>FP0669</t>
  </si>
  <si>
    <t>FP0670</t>
  </si>
  <si>
    <t>FP0671</t>
  </si>
  <si>
    <t>FP0672</t>
  </si>
  <si>
    <t>FP0673</t>
  </si>
  <si>
    <t>FP0674</t>
  </si>
  <si>
    <t>FP0675</t>
  </si>
  <si>
    <t>FP0676</t>
  </si>
  <si>
    <t>FP0677</t>
  </si>
  <si>
    <t>FP0678</t>
  </si>
  <si>
    <t>FP0679</t>
  </si>
  <si>
    <t>FP0680</t>
  </si>
  <si>
    <t>FP0681</t>
  </si>
  <si>
    <t>FP0682</t>
  </si>
  <si>
    <t>FP0683</t>
  </si>
  <si>
    <t>FP0684</t>
  </si>
  <si>
    <t>FP0685</t>
  </si>
  <si>
    <t>FP0686</t>
  </si>
  <si>
    <t>FP0687</t>
  </si>
  <si>
    <t>FP0688</t>
  </si>
  <si>
    <t>FP0689</t>
  </si>
  <si>
    <t>FP0690</t>
  </si>
  <si>
    <t>FP0691</t>
  </si>
  <si>
    <t>FP0692</t>
  </si>
  <si>
    <t>FP0693</t>
  </si>
  <si>
    <t>FP0694</t>
  </si>
  <si>
    <t>FP0695</t>
  </si>
  <si>
    <t>FP0696</t>
  </si>
  <si>
    <t>FP0697</t>
  </si>
  <si>
    <t>FP0698</t>
  </si>
  <si>
    <t>FP0699</t>
  </si>
  <si>
    <t>FP0700</t>
  </si>
  <si>
    <t>FP0701</t>
  </si>
  <si>
    <t>FP0702</t>
  </si>
  <si>
    <t>FP0703</t>
  </si>
  <si>
    <t>FP0704</t>
  </si>
  <si>
    <t>FP0705</t>
  </si>
  <si>
    <t>FP0706</t>
  </si>
  <si>
    <t>FP0707</t>
  </si>
  <si>
    <t>FP0708</t>
  </si>
  <si>
    <t>FP0709</t>
  </si>
  <si>
    <t>FP0710</t>
  </si>
  <si>
    <t>FP0711</t>
  </si>
  <si>
    <t>FP0712</t>
  </si>
  <si>
    <t>FP0713</t>
  </si>
  <si>
    <t>FP0714</t>
  </si>
  <si>
    <t>FP0715</t>
  </si>
  <si>
    <t>FP0716</t>
  </si>
  <si>
    <t>FP0717</t>
  </si>
  <si>
    <t>FP0718</t>
  </si>
  <si>
    <t>FP0719</t>
  </si>
  <si>
    <t>FP0720</t>
  </si>
  <si>
    <t>FP0721</t>
  </si>
  <si>
    <t>FP0722</t>
  </si>
  <si>
    <t>FP0723</t>
  </si>
  <si>
    <t>FP0724</t>
  </si>
  <si>
    <t>FP0725</t>
  </si>
  <si>
    <t>FP0726</t>
  </si>
  <si>
    <t>FP0727</t>
  </si>
  <si>
    <t>FP0728</t>
  </si>
  <si>
    <t>FP0729</t>
  </si>
  <si>
    <t>FP0730</t>
  </si>
  <si>
    <t>FP0731</t>
  </si>
  <si>
    <t>FP0732</t>
  </si>
  <si>
    <t>FP0733</t>
  </si>
  <si>
    <t>FP0734</t>
  </si>
  <si>
    <t>FP0735</t>
  </si>
  <si>
    <t>FP0736</t>
  </si>
  <si>
    <t>FP0737</t>
  </si>
  <si>
    <t>FP0738</t>
  </si>
  <si>
    <t>FP0739</t>
  </si>
  <si>
    <t>FP0740</t>
  </si>
  <si>
    <t>FP0741</t>
  </si>
  <si>
    <t>FP0742</t>
  </si>
  <si>
    <t>FP0743</t>
  </si>
  <si>
    <t>FP0744</t>
  </si>
  <si>
    <t>FP0745</t>
  </si>
  <si>
    <t>FP0746</t>
  </si>
  <si>
    <t>FP0747</t>
  </si>
  <si>
    <t>FP0748</t>
  </si>
  <si>
    <t>FP0749</t>
  </si>
  <si>
    <t>FP0750</t>
  </si>
  <si>
    <t>FP0751</t>
  </si>
  <si>
    <t>FP0752</t>
  </si>
  <si>
    <t>FP0753</t>
  </si>
  <si>
    <t>FP0754</t>
  </si>
  <si>
    <t>FP0755</t>
  </si>
  <si>
    <t>FP0756</t>
  </si>
  <si>
    <t>FP0757</t>
  </si>
  <si>
    <t>FP0758</t>
  </si>
  <si>
    <t>FP0759</t>
  </si>
  <si>
    <t>FP0760</t>
  </si>
  <si>
    <t>FP0761</t>
  </si>
  <si>
    <t>FP0762</t>
  </si>
  <si>
    <t>FP0763</t>
  </si>
  <si>
    <t>FP0764</t>
  </si>
  <si>
    <t>FP0765</t>
  </si>
  <si>
    <t>FP0766</t>
  </si>
  <si>
    <t>FP0767</t>
  </si>
  <si>
    <t>FP0768</t>
  </si>
  <si>
    <t>FP0769</t>
  </si>
  <si>
    <t>FP0770</t>
  </si>
  <si>
    <t>FP0771</t>
  </si>
  <si>
    <t>FP0772</t>
  </si>
  <si>
    <t>FP0773</t>
  </si>
  <si>
    <t>FP0774</t>
  </si>
  <si>
    <t>FP0775</t>
  </si>
  <si>
    <t>FP0776</t>
  </si>
  <si>
    <t>FP0777</t>
  </si>
  <si>
    <t>FP0778</t>
  </si>
  <si>
    <t>FP0779</t>
  </si>
  <si>
    <t>FP0780</t>
  </si>
  <si>
    <t>FP0781</t>
  </si>
  <si>
    <t>FP0782</t>
  </si>
  <si>
    <t>FP0783</t>
  </si>
  <si>
    <t>FP0784</t>
  </si>
  <si>
    <t>FP0785</t>
  </si>
  <si>
    <t>FP0786</t>
  </si>
  <si>
    <t>FP0787</t>
  </si>
  <si>
    <t>FP0788</t>
  </si>
  <si>
    <t>FP0789</t>
  </si>
  <si>
    <t>FP0790</t>
  </si>
  <si>
    <t>FP0791</t>
  </si>
  <si>
    <t>FP0792</t>
  </si>
  <si>
    <t>FP0793</t>
  </si>
  <si>
    <t>FP0794</t>
  </si>
  <si>
    <t>FP0795</t>
  </si>
  <si>
    <t>FP0796</t>
  </si>
  <si>
    <t>FP0797</t>
  </si>
  <si>
    <t>FP0798</t>
  </si>
  <si>
    <t>FP0799</t>
  </si>
  <si>
    <t>FP0800</t>
  </si>
  <si>
    <t>FP0801</t>
  </si>
  <si>
    <t>FP0802</t>
  </si>
  <si>
    <t>FP0803</t>
  </si>
  <si>
    <t>FP0804</t>
  </si>
  <si>
    <t>FP0805</t>
  </si>
  <si>
    <t>FP0806</t>
  </si>
  <si>
    <t>FP0807</t>
  </si>
  <si>
    <t>FP0808</t>
  </si>
  <si>
    <t>FP0809</t>
  </si>
  <si>
    <t>FP0810</t>
  </si>
  <si>
    <t>FP0811</t>
  </si>
  <si>
    <t>FP0812</t>
  </si>
  <si>
    <t>FP0813</t>
  </si>
  <si>
    <t>FP0814</t>
  </si>
  <si>
    <t>FP0815</t>
  </si>
  <si>
    <t>FP0816</t>
  </si>
  <si>
    <t>FP0817</t>
  </si>
  <si>
    <t>FP0818</t>
  </si>
  <si>
    <t>FP0819</t>
  </si>
  <si>
    <t>FP0820</t>
  </si>
  <si>
    <t>FP0821</t>
  </si>
  <si>
    <t>FP0822</t>
  </si>
  <si>
    <t>FP0823</t>
  </si>
  <si>
    <t>FP0824</t>
  </si>
  <si>
    <t>FP0825</t>
  </si>
  <si>
    <t>FP0826</t>
  </si>
  <si>
    <t>FP0827</t>
  </si>
  <si>
    <t>FP0828</t>
  </si>
  <si>
    <t>FP0829</t>
  </si>
  <si>
    <t>FP0830</t>
  </si>
  <si>
    <t>FP0831</t>
  </si>
  <si>
    <t>FP0832</t>
  </si>
  <si>
    <t>FP0833</t>
  </si>
  <si>
    <t>FP0834</t>
  </si>
  <si>
    <t>FP0835</t>
  </si>
  <si>
    <t>FP0836</t>
  </si>
  <si>
    <t>FP0837</t>
  </si>
  <si>
    <t>FP0838</t>
  </si>
  <si>
    <t>FP0839</t>
  </si>
  <si>
    <t>FP0840</t>
  </si>
  <si>
    <t>FP0841</t>
  </si>
  <si>
    <t>FP0842</t>
  </si>
  <si>
    <t>FP0843</t>
  </si>
  <si>
    <t>FP0844</t>
  </si>
  <si>
    <t>FP0845</t>
  </si>
  <si>
    <t>FP0846</t>
  </si>
  <si>
    <t>FP0847</t>
  </si>
  <si>
    <t>FP0848</t>
  </si>
  <si>
    <t>FP0849</t>
  </si>
  <si>
    <t>FP0850</t>
  </si>
  <si>
    <t>FP0851</t>
  </si>
  <si>
    <t>FP0852</t>
  </si>
  <si>
    <t>FP0853</t>
  </si>
  <si>
    <t>FP0854</t>
  </si>
  <si>
    <t>FP0855</t>
  </si>
  <si>
    <t>FP0856</t>
  </si>
  <si>
    <t>FP0857</t>
  </si>
  <si>
    <t>FP0858</t>
  </si>
  <si>
    <t>FP0859</t>
  </si>
  <si>
    <t>FP0860</t>
  </si>
  <si>
    <t>FP0861</t>
  </si>
  <si>
    <t>FP0862</t>
  </si>
  <si>
    <t>FP0863</t>
  </si>
  <si>
    <t>FP0864</t>
  </si>
  <si>
    <t>FP0865</t>
  </si>
  <si>
    <t>FP0866</t>
  </si>
  <si>
    <t>FP0867</t>
  </si>
  <si>
    <t>FP0868</t>
  </si>
  <si>
    <t>FP0869</t>
  </si>
  <si>
    <t>FP0870</t>
  </si>
  <si>
    <t>FP0871</t>
  </si>
  <si>
    <t>FP0872</t>
  </si>
  <si>
    <t>FP0873</t>
  </si>
  <si>
    <t>FP0874</t>
  </si>
  <si>
    <t>FP0875</t>
  </si>
  <si>
    <t>FP0876</t>
  </si>
  <si>
    <t>FP0877</t>
  </si>
  <si>
    <t>FP0878</t>
  </si>
  <si>
    <t>FP0879</t>
  </si>
  <si>
    <t>FP0880</t>
  </si>
  <si>
    <t>FP0881</t>
  </si>
  <si>
    <t>FP0882</t>
  </si>
  <si>
    <t>FP0883</t>
  </si>
  <si>
    <t>FP0884</t>
  </si>
  <si>
    <t>FP0885</t>
  </si>
  <si>
    <t>FP0886</t>
  </si>
  <si>
    <t>FP0887</t>
  </si>
  <si>
    <t>FP0888</t>
  </si>
  <si>
    <t>FP0889</t>
  </si>
  <si>
    <t>FP0890</t>
  </si>
  <si>
    <t>FP0891</t>
  </si>
  <si>
    <t>FP0892</t>
  </si>
  <si>
    <t>FP0893</t>
  </si>
  <si>
    <t>FP0894</t>
  </si>
  <si>
    <t>FP0895</t>
  </si>
  <si>
    <t>FP0896</t>
  </si>
  <si>
    <t>FP0897</t>
  </si>
  <si>
    <t>FP0898</t>
  </si>
  <si>
    <t>FP0899</t>
  </si>
  <si>
    <t>FP0900</t>
  </si>
  <si>
    <t>FP0901</t>
  </si>
  <si>
    <t>FP0902</t>
  </si>
  <si>
    <t>FP0903</t>
  </si>
  <si>
    <t>FP0904</t>
  </si>
  <si>
    <t>FP0905</t>
  </si>
  <si>
    <t>FP0906</t>
  </si>
  <si>
    <t>FP0907</t>
  </si>
  <si>
    <t>FP0908</t>
  </si>
  <si>
    <t>FP0909</t>
  </si>
  <si>
    <t>FP0910</t>
  </si>
  <si>
    <t>FP0911</t>
  </si>
  <si>
    <t>FP0912</t>
  </si>
  <si>
    <t>FP0913</t>
  </si>
  <si>
    <t>FP0914</t>
  </si>
  <si>
    <t>FP0915</t>
  </si>
  <si>
    <t>FP0916</t>
  </si>
  <si>
    <t>FP0917</t>
  </si>
  <si>
    <t>FP0918</t>
  </si>
  <si>
    <t>FP0919</t>
  </si>
  <si>
    <t>FP0920</t>
  </si>
  <si>
    <t>FP0921</t>
  </si>
  <si>
    <t>FP0922</t>
  </si>
  <si>
    <t>FP0923</t>
  </si>
  <si>
    <t>FP0924</t>
  </si>
  <si>
    <t>FP0925</t>
  </si>
  <si>
    <t>FP0926</t>
  </si>
  <si>
    <t>FP0927</t>
  </si>
  <si>
    <t>FP0928</t>
  </si>
  <si>
    <t>FP0929</t>
  </si>
  <si>
    <t>FP0930</t>
  </si>
  <si>
    <t>FP0931</t>
  </si>
  <si>
    <t>FP0932</t>
  </si>
  <si>
    <t>FP0933</t>
  </si>
  <si>
    <t>FP0934</t>
  </si>
  <si>
    <t>FP0935</t>
  </si>
  <si>
    <t>FP0936</t>
  </si>
  <si>
    <t>FP0937</t>
  </si>
  <si>
    <t>FP0938</t>
  </si>
  <si>
    <t>FP0939</t>
  </si>
  <si>
    <t>FP0940</t>
  </si>
  <si>
    <t>FP0941</t>
  </si>
  <si>
    <t>FP0942</t>
  </si>
  <si>
    <t>FP0943</t>
  </si>
  <si>
    <t>FP0944</t>
  </si>
  <si>
    <t>FP0945</t>
  </si>
  <si>
    <t>FP0946</t>
  </si>
  <si>
    <t>FP0947</t>
  </si>
  <si>
    <t>FP0948</t>
  </si>
  <si>
    <t>FP0949</t>
  </si>
  <si>
    <t>FP0950</t>
  </si>
  <si>
    <t>FP0951</t>
  </si>
  <si>
    <t>FP0952</t>
  </si>
  <si>
    <t>FP0953</t>
  </si>
  <si>
    <t>FP0954</t>
  </si>
  <si>
    <t>FP0955</t>
  </si>
  <si>
    <t>FP0956</t>
  </si>
  <si>
    <t>FP0957</t>
  </si>
  <si>
    <t>FP0958</t>
  </si>
  <si>
    <t>FP0959</t>
  </si>
  <si>
    <t>FP0960</t>
  </si>
  <si>
    <t>FP0961</t>
  </si>
  <si>
    <t>FP0962</t>
  </si>
  <si>
    <t>FP0963</t>
  </si>
  <si>
    <t>FP0964</t>
  </si>
  <si>
    <t>FP0965</t>
  </si>
  <si>
    <t>FP0966</t>
  </si>
  <si>
    <t>FP0967</t>
  </si>
  <si>
    <t>FP0968</t>
  </si>
  <si>
    <t>FP0969</t>
  </si>
  <si>
    <t>FP0970</t>
  </si>
  <si>
    <t>FP0971</t>
  </si>
  <si>
    <t>FP0972</t>
  </si>
  <si>
    <t>FP0973</t>
  </si>
  <si>
    <t>FP0974</t>
  </si>
  <si>
    <t>FP0975</t>
  </si>
  <si>
    <t>FP0976</t>
  </si>
  <si>
    <t>FP0977</t>
  </si>
  <si>
    <t>FP0978</t>
  </si>
  <si>
    <t>FP0979</t>
  </si>
  <si>
    <t>FP0980</t>
  </si>
  <si>
    <t>FP0981</t>
  </si>
  <si>
    <t>FP0982</t>
  </si>
  <si>
    <t>FP0983</t>
  </si>
  <si>
    <t>FP0984</t>
  </si>
  <si>
    <t>FP0985</t>
  </si>
  <si>
    <t>FP0986</t>
  </si>
  <si>
    <t>FP0987</t>
  </si>
  <si>
    <t>FP0988</t>
  </si>
  <si>
    <t>FP0989</t>
  </si>
  <si>
    <t>FP0990</t>
  </si>
  <si>
    <t>FP0991</t>
  </si>
  <si>
    <t>FP0992</t>
  </si>
  <si>
    <t>FP0993</t>
  </si>
  <si>
    <t>FP0994</t>
  </si>
  <si>
    <t>FP0995</t>
  </si>
  <si>
    <t>FP0996</t>
  </si>
  <si>
    <t>FP0997</t>
  </si>
  <si>
    <t>FP0998</t>
  </si>
  <si>
    <t>FP0999</t>
  </si>
  <si>
    <t>FP1000</t>
  </si>
  <si>
    <t>QR</t>
  </si>
  <si>
    <t>https://FlowerSystem-lb.github.io/inventorysystem/html/FP0001.html</t>
  </si>
  <si>
    <t>https://FlowerSystem-lb.github.io/inventorysystem/html/FP0002.html</t>
  </si>
  <si>
    <t>https://FlowerSystem-lb.github.io/inventorysystem/html/FP0003.html</t>
  </si>
  <si>
    <t>https://FlowerSystem-lb.github.io/inventorysystem/html/FP0004.html</t>
  </si>
  <si>
    <t>https://FlowerSystem-lb.github.io/inventorysystem/html/FP0005.html</t>
  </si>
  <si>
    <t>https://FlowerSystem-lb.github.io/inventorysystem/html/FP0006.html</t>
  </si>
  <si>
    <t>https://FlowerSystem-lb.github.io/inventorysystem/html/FP0007.html</t>
  </si>
  <si>
    <t>https://FlowerSystem-lb.github.io/inventorysystem/html/FP0008.html</t>
  </si>
  <si>
    <t>https://FlowerSystem-lb.github.io/inventorysystem/html/FP0009.html</t>
  </si>
  <si>
    <t>https://FlowerSystem-lb.github.io/inventorysystem/html/FP0010.html</t>
  </si>
  <si>
    <t>https://FlowerSystem-lb.github.io/inventorysystem/html/FP0011.html</t>
  </si>
  <si>
    <t>https://FlowerSystem-lb.github.io/inventorysystem/html/FP0012.html</t>
  </si>
  <si>
    <t>https://FlowerSystem-lb.github.io/inventorysystem/html/FP0013.html</t>
  </si>
  <si>
    <t>https://FlowerSystem-lb.github.io/inventorysystem/html/FP0014.html</t>
  </si>
  <si>
    <t>https://FlowerSystem-lb.github.io/inventorysystem/html/FP0015.html</t>
  </si>
  <si>
    <t>https://FlowerSystem-lb.github.io/inventorysystem/html/FP0016.html</t>
  </si>
  <si>
    <t>https://FlowerSystem-lb.github.io/inventorysystem/html/FP0017.html</t>
  </si>
  <si>
    <t>https://FlowerSystem-lb.github.io/inventorysystem/html/FP0018.html</t>
  </si>
  <si>
    <t>https://FlowerSystem-lb.github.io/inventorysystem/html/FP0019.html</t>
  </si>
  <si>
    <t>https://FlowerSystem-lb.github.io/inventorysystem/html/FP0020.html</t>
  </si>
  <si>
    <t>https://FlowerSystem-lb.github.io/inventorysystem/html/FP0021.html</t>
  </si>
  <si>
    <t>https://FlowerSystem-lb.github.io/inventorysystem/html/FP0022.html</t>
  </si>
  <si>
    <t>https://FlowerSystem-lb.github.io/inventorysystem/html/FP0023.html</t>
  </si>
  <si>
    <t>https://FlowerSystem-lb.github.io/inventorysystem/html/FP0024.html</t>
  </si>
  <si>
    <t>https://FlowerSystem-lb.github.io/inventorysystem/html/FP0025.html</t>
  </si>
  <si>
    <t>https://FlowerSystem-lb.github.io/inventorysystem/html/FP0026.html</t>
  </si>
  <si>
    <t>https://FlowerSystem-lb.github.io/inventorysystem/html/FP0027.html</t>
  </si>
  <si>
    <t>https://FlowerSystem-lb.github.io/inventorysystem/html/FP0028.html</t>
  </si>
  <si>
    <t>https://FlowerSystem-lb.github.io/inventorysystem/html/FP0029.html</t>
  </si>
  <si>
    <t>https://FlowerSystem-lb.github.io/inventorysystem/html/FP0030.html</t>
  </si>
  <si>
    <t>https://FlowerSystem-lb.github.io/inventorysystem/html/FP0031.html</t>
  </si>
  <si>
    <t>https://FlowerSystem-lb.github.io/inventorysystem/html/FP0032.html</t>
  </si>
  <si>
    <t>https://FlowerSystem-lb.github.io/inventorysystem/html/FP0033.html</t>
  </si>
  <si>
    <t>https://FlowerSystem-lb.github.io/inventorysystem/html/FP0034.html</t>
  </si>
  <si>
    <t>https://FlowerSystem-lb.github.io/inventorysystem/html/FP0035.html</t>
  </si>
  <si>
    <t>https://FlowerSystem-lb.github.io/inventorysystem/html/FP0036.html</t>
  </si>
  <si>
    <t>https://FlowerSystem-lb.github.io/inventorysystem/html/FP0037.html</t>
  </si>
  <si>
    <t>https://FlowerSystem-lb.github.io/inventorysystem/html/FP0038.html</t>
  </si>
  <si>
    <t>https://FlowerSystem-lb.github.io/inventorysystem/html/FP0039.html</t>
  </si>
  <si>
    <t>https://FlowerSystem-lb.github.io/inventorysystem/html/FP0040.html</t>
  </si>
  <si>
    <t>https://FlowerSystem-lb.github.io/inventorysystem/html/FP0041.html</t>
  </si>
  <si>
    <t>https://FlowerSystem-lb.github.io/inventorysystem/html/FP0042.html</t>
  </si>
  <si>
    <t>https://FlowerSystem-lb.github.io/inventorysystem/html/FP0043.html</t>
  </si>
  <si>
    <t>https://FlowerSystem-lb.github.io/inventorysystem/html/FP0044.html</t>
  </si>
  <si>
    <t>https://FlowerSystem-lb.github.io/inventorysystem/html/FP0045.html</t>
  </si>
  <si>
    <t>https://FlowerSystem-lb.github.io/inventorysystem/html/FP0046.html</t>
  </si>
  <si>
    <t>https://FlowerSystem-lb.github.io/inventorysystem/html/FP0047.html</t>
  </si>
  <si>
    <t>https://FlowerSystem-lb.github.io/inventorysystem/html/FP0048.html</t>
  </si>
  <si>
    <t>https://FlowerSystem-lb.github.io/inventorysystem/html/FP0049.html</t>
  </si>
  <si>
    <t>https://FlowerSystem-lb.github.io/inventorysystem/html/FP0050.html</t>
  </si>
  <si>
    <t>https://FlowerSystem-lb.github.io/inventorysystem/html/FP0051.html</t>
  </si>
  <si>
    <t>https://FlowerSystem-lb.github.io/inventorysystem/html/FP0052.html</t>
  </si>
  <si>
    <t>https://FlowerSystem-lb.github.io/inventorysystem/html/FP0053.html</t>
  </si>
  <si>
    <t>https://FlowerSystem-lb.github.io/inventorysystem/html/FP0054.html</t>
  </si>
  <si>
    <t>https://FlowerSystem-lb.github.io/inventorysystem/html/FP0055.html</t>
  </si>
  <si>
    <t>https://FlowerSystem-lb.github.io/inventorysystem/html/FP0056.html</t>
  </si>
  <si>
    <t>https://FlowerSystem-lb.github.io/inventorysystem/html/FP0057.html</t>
  </si>
  <si>
    <t>https://FlowerSystem-lb.github.io/inventorysystem/html/FP0058.html</t>
  </si>
  <si>
    <t>https://FlowerSystem-lb.github.io/inventorysystem/html/FP0059.html</t>
  </si>
  <si>
    <t>https://FlowerSystem-lb.github.io/inventorysystem/html/FP0060.html</t>
  </si>
  <si>
    <t>https://FlowerSystem-lb.github.io/inventorysystem/html/FP0061.html</t>
  </si>
  <si>
    <t>https://FlowerSystem-lb.github.io/inventorysystem/html/FP0062.html</t>
  </si>
  <si>
    <t>https://FlowerSystem-lb.github.io/inventorysystem/html/FP0063.html</t>
  </si>
  <si>
    <t>https://FlowerSystem-lb.github.io/inventorysystem/html/FP0064.html</t>
  </si>
  <si>
    <t>https://FlowerSystem-lb.github.io/inventorysystem/html/FP0065.html</t>
  </si>
  <si>
    <t>https://FlowerSystem-lb.github.io/inventorysystem/html/FP0066.html</t>
  </si>
  <si>
    <t>https://FlowerSystem-lb.github.io/inventorysystem/html/FP0067.html</t>
  </si>
  <si>
    <t>https://FlowerSystem-lb.github.io/inventorysystem/html/FP0068.html</t>
  </si>
  <si>
    <t>https://FlowerSystem-lb.github.io/inventorysystem/html/FP0069.html</t>
  </si>
  <si>
    <t>https://FlowerSystem-lb.github.io/inventorysystem/html/FP0070.html</t>
  </si>
  <si>
    <t>https://FlowerSystem-lb.github.io/inventorysystem/html/FP0071.html</t>
  </si>
  <si>
    <t>https://FlowerSystem-lb.github.io/inventorysystem/html/FP0072.html</t>
  </si>
  <si>
    <t>https://FlowerSystem-lb.github.io/inventorysystem/html/FP0073.html</t>
  </si>
  <si>
    <t>https://FlowerSystem-lb.github.io/inventorysystem/html/FP0074.html</t>
  </si>
  <si>
    <t>https://FlowerSystem-lb.github.io/inventorysystem/html/FP0075.html</t>
  </si>
  <si>
    <t>https://FlowerSystem-lb.github.io/inventorysystem/html/FP0076.html</t>
  </si>
  <si>
    <t>https://FlowerSystem-lb.github.io/inventorysystem/html/FP0077.html</t>
  </si>
  <si>
    <t>https://FlowerSystem-lb.github.io/inventorysystem/html/FP0078.html</t>
  </si>
  <si>
    <t>https://FlowerSystem-lb.github.io/inventorysystem/html/FP0079.html</t>
  </si>
  <si>
    <t>https://FlowerSystem-lb.github.io/inventorysystem/html/FP0080.html</t>
  </si>
  <si>
    <t>https://FlowerSystem-lb.github.io/inventorysystem/html/FP0081.html</t>
  </si>
  <si>
    <t>https://FlowerSystem-lb.github.io/inventorysystem/html/FP0082.html</t>
  </si>
  <si>
    <t>https://FlowerSystem-lb.github.io/inventorysystem/html/FP0083.html</t>
  </si>
  <si>
    <t>https://FlowerSystem-lb.github.io/inventorysystem/html/FP0084.html</t>
  </si>
  <si>
    <t>https://FlowerSystem-lb.github.io/inventorysystem/html/FP0085.html</t>
  </si>
  <si>
    <t>https://FlowerSystem-lb.github.io/inventorysystem/html/FP0086.html</t>
  </si>
  <si>
    <t>https://FlowerSystem-lb.github.io/inventorysystem/html/FP0087.html</t>
  </si>
  <si>
    <t>https://FlowerSystem-lb.github.io/inventorysystem/html/FP0088.html</t>
  </si>
  <si>
    <t>https://FlowerSystem-lb.github.io/inventorysystem/html/FP0089.html</t>
  </si>
  <si>
    <t>https://FlowerSystem-lb.github.io/inventorysystem/html/FP0090.html</t>
  </si>
  <si>
    <t>https://FlowerSystem-lb.github.io/inventorysystem/html/FP0091.html</t>
  </si>
  <si>
    <t>https://FlowerSystem-lb.github.io/inventorysystem/html/FP0092.html</t>
  </si>
  <si>
    <t>https://FlowerSystem-lb.github.io/inventorysystem/html/FP0093.html</t>
  </si>
  <si>
    <t>https://FlowerSystem-lb.github.io/inventorysystem/html/FP0094.html</t>
  </si>
  <si>
    <t>https://FlowerSystem-lb.github.io/inventorysystem/html/FP0095.html</t>
  </si>
  <si>
    <t>https://FlowerSystem-lb.github.io/inventorysystem/html/FP0096.html</t>
  </si>
  <si>
    <t>https://FlowerSystem-lb.github.io/inventorysystem/html/FP0097.html</t>
  </si>
  <si>
    <t>https://FlowerSystem-lb.github.io/inventorysystem/html/FP0098.html</t>
  </si>
  <si>
    <t>https://FlowerSystem-lb.github.io/inventorysystem/html/FP0099.html</t>
  </si>
  <si>
    <t>https://FlowerSystem-lb.github.io/inventorysystem/html/FP0100.html</t>
  </si>
  <si>
    <t>https://FlowerSystem-lb.github.io/inventorysystem/html/FP0101.html</t>
  </si>
  <si>
    <t>https://FlowerSystem-lb.github.io/inventorysystem/html/FP0102.html</t>
  </si>
  <si>
    <t>https://FlowerSystem-lb.github.io/inventorysystem/html/FP0103.html</t>
  </si>
  <si>
    <t>https://FlowerSystem-lb.github.io/inventorysystem/html/FP0104.html</t>
  </si>
  <si>
    <t>https://FlowerSystem-lb.github.io/inventorysystem/html/FP0105.html</t>
  </si>
  <si>
    <t>https://FlowerSystem-lb.github.io/inventorysystem/html/FP0106.html</t>
  </si>
  <si>
    <t>https://FlowerSystem-lb.github.io/inventorysystem/html/FP0107.html</t>
  </si>
  <si>
    <t>https://FlowerSystem-lb.github.io/inventorysystem/html/FP0108.html</t>
  </si>
  <si>
    <t>https://FlowerSystem-lb.github.io/inventorysystem/html/FP0109.html</t>
  </si>
  <si>
    <t>https://FlowerSystem-lb.github.io/inventorysystem/html/FP0110.html</t>
  </si>
  <si>
    <t>https://FlowerSystem-lb.github.io/inventorysystem/html/FP0111.html</t>
  </si>
  <si>
    <t>https://FlowerSystem-lb.github.io/inventorysystem/html/FP0112.html</t>
  </si>
  <si>
    <t>https://FlowerSystem-lb.github.io/inventorysystem/html/FP0113.html</t>
  </si>
  <si>
    <t>https://FlowerSystem-lb.github.io/inventorysystem/html/FP0114.html</t>
  </si>
  <si>
    <t>https://FlowerSystem-lb.github.io/inventorysystem/html/FP0115.html</t>
  </si>
  <si>
    <t>https://FlowerSystem-lb.github.io/inventorysystem/html/FP0116.html</t>
  </si>
  <si>
    <t>https://FlowerSystem-lb.github.io/inventorysystem/html/FP0117.html</t>
  </si>
  <si>
    <t>https://FlowerSystem-lb.github.io/inventorysystem/html/FP0118.html</t>
  </si>
  <si>
    <t>https://FlowerSystem-lb.github.io/inventorysystem/html/FP0119.html</t>
  </si>
  <si>
    <t>https://FlowerSystem-lb.github.io/inventorysystem/html/FP0120.html</t>
  </si>
  <si>
    <t>https://FlowerSystem-lb.github.io/inventorysystem/html/FP0121.html</t>
  </si>
  <si>
    <t>https://FlowerSystem-lb.github.io/inventorysystem/html/FP0122.html</t>
  </si>
  <si>
    <t>https://FlowerSystem-lb.github.io/inventorysystem/html/FP0123.html</t>
  </si>
  <si>
    <t>https://FlowerSystem-lb.github.io/inventorysystem/html/FP0124.html</t>
  </si>
  <si>
    <t>https://FlowerSystem-lb.github.io/inventorysystem/html/FP0125.html</t>
  </si>
  <si>
    <t>https://FlowerSystem-lb.github.io/inventorysystem/html/FP0126.html</t>
  </si>
  <si>
    <t>https://FlowerSystem-lb.github.io/inventorysystem/html/FP0127.html</t>
  </si>
  <si>
    <t>https://FlowerSystem-lb.github.io/inventorysystem/html/FP0128.html</t>
  </si>
  <si>
    <t>https://FlowerSystem-lb.github.io/inventorysystem/html/FP0129.html</t>
  </si>
  <si>
    <t>https://FlowerSystem-lb.github.io/inventorysystem/html/FP0130.html</t>
  </si>
  <si>
    <t>https://FlowerSystem-lb.github.io/inventorysystem/html/FP0131.html</t>
  </si>
  <si>
    <t>https://FlowerSystem-lb.github.io/inventorysystem/html/FP0132.html</t>
  </si>
  <si>
    <t>https://FlowerSystem-lb.github.io/inventorysystem/html/FP0133.html</t>
  </si>
  <si>
    <t>https://FlowerSystem-lb.github.io/inventorysystem/html/FP0134.html</t>
  </si>
  <si>
    <t>https://FlowerSystem-lb.github.io/inventorysystem/html/FP0135.html</t>
  </si>
  <si>
    <t>https://FlowerSystem-lb.github.io/inventorysystem/html/FP0136.html</t>
  </si>
  <si>
    <t>https://FlowerSystem-lb.github.io/inventorysystem/html/FP0137.html</t>
  </si>
  <si>
    <t>https://FlowerSystem-lb.github.io/inventorysystem/html/FP0138.html</t>
  </si>
  <si>
    <t>https://FlowerSystem-lb.github.io/inventorysystem/html/FP0139.html</t>
  </si>
  <si>
    <t>https://FlowerSystem-lb.github.io/inventorysystem/html/FP0140.html</t>
  </si>
  <si>
    <t>https://FlowerSystem-lb.github.io/inventorysystem/html/FP0141.html</t>
  </si>
  <si>
    <t>https://FlowerSystem-lb.github.io/inventorysystem/html/FP0142.html</t>
  </si>
  <si>
    <t>https://FlowerSystem-lb.github.io/inventorysystem/html/FP0143.html</t>
  </si>
  <si>
    <t>https://FlowerSystem-lb.github.io/inventorysystem/html/FP0144.html</t>
  </si>
  <si>
    <t>https://FlowerSystem-lb.github.io/inventorysystem/html/FP0145.html</t>
  </si>
  <si>
    <t>https://FlowerSystem-lb.github.io/inventorysystem/html/FP0146.html</t>
  </si>
  <si>
    <t>https://FlowerSystem-lb.github.io/inventorysystem/html/FP0147.html</t>
  </si>
  <si>
    <t>https://FlowerSystem-lb.github.io/inventorysystem/html/FP0148.html</t>
  </si>
  <si>
    <t>https://FlowerSystem-lb.github.io/inventorysystem/html/FP0149.html</t>
  </si>
  <si>
    <t>https://FlowerSystem-lb.github.io/inventorysystem/html/FP0150.html</t>
  </si>
  <si>
    <t>https://FlowerSystem-lb.github.io/inventorysystem/html/FP0151.html</t>
  </si>
  <si>
    <t>https://FlowerSystem-lb.github.io/inventorysystem/html/FP0152.html</t>
  </si>
  <si>
    <t>https://FlowerSystem-lb.github.io/inventorysystem/html/FP0153.html</t>
  </si>
  <si>
    <t>https://FlowerSystem-lb.github.io/inventorysystem/html/FP0154.html</t>
  </si>
  <si>
    <t>https://FlowerSystem-lb.github.io/inventorysystem/html/FP0155.html</t>
  </si>
  <si>
    <t>https://FlowerSystem-lb.github.io/inventorysystem/html/FP0156.html</t>
  </si>
  <si>
    <t>https://FlowerSystem-lb.github.io/inventorysystem/html/FP0157.html</t>
  </si>
  <si>
    <t>https://FlowerSystem-lb.github.io/inventorysystem/html/FP0158.html</t>
  </si>
  <si>
    <t>https://FlowerSystem-lb.github.io/inventorysystem/html/FP0159.html</t>
  </si>
  <si>
    <t>https://FlowerSystem-lb.github.io/inventorysystem/html/FP0160.html</t>
  </si>
  <si>
    <t>https://FlowerSystem-lb.github.io/inventorysystem/html/FP0161.html</t>
  </si>
  <si>
    <t>https://FlowerSystem-lb.github.io/inventorysystem/html/FP0162.html</t>
  </si>
  <si>
    <t>https://FlowerSystem-lb.github.io/inventorysystem/html/FP0163.html</t>
  </si>
  <si>
    <t>https://FlowerSystem-lb.github.io/inventorysystem/html/FP0164.html</t>
  </si>
  <si>
    <t>https://FlowerSystem-lb.github.io/inventorysystem/html/FP0165.html</t>
  </si>
  <si>
    <t>https://FlowerSystem-lb.github.io/inventorysystem/html/FP0166.html</t>
  </si>
  <si>
    <t>https://FlowerSystem-lb.github.io/inventorysystem/html/FP0167.html</t>
  </si>
  <si>
    <t>https://FlowerSystem-lb.github.io/inventorysystem/html/FP0168.html</t>
  </si>
  <si>
    <t>https://FlowerSystem-lb.github.io/inventorysystem/html/FP0169.html</t>
  </si>
  <si>
    <t>https://FlowerSystem-lb.github.io/inventorysystem/html/FP0170.html</t>
  </si>
  <si>
    <t>https://FlowerSystem-lb.github.io/inventorysystem/html/FP0171.html</t>
  </si>
  <si>
    <t>https://FlowerSystem-lb.github.io/inventorysystem/html/FP0172.html</t>
  </si>
  <si>
    <t>https://FlowerSystem-lb.github.io/inventorysystem/html/FP0173.html</t>
  </si>
  <si>
    <t>https://FlowerSystem-lb.github.io/inventorysystem/html/FP0174.html</t>
  </si>
  <si>
    <t>https://FlowerSystem-lb.github.io/inventorysystem/html/FP0175.html</t>
  </si>
  <si>
    <t>https://FlowerSystem-lb.github.io/inventorysystem/html/FP0176.html</t>
  </si>
  <si>
    <t>https://FlowerSystem-lb.github.io/inventorysystem/html/FP0177.html</t>
  </si>
  <si>
    <t>https://FlowerSystem-lb.github.io/inventorysystem/html/FP0178.html</t>
  </si>
  <si>
    <t>https://FlowerSystem-lb.github.io/inventorysystem/html/FP0179.html</t>
  </si>
  <si>
    <t>https://FlowerSystem-lb.github.io/inventorysystem/html/FP0180.html</t>
  </si>
  <si>
    <t>https://FlowerSystem-lb.github.io/inventorysystem/html/FP0181.html</t>
  </si>
  <si>
    <t>https://FlowerSystem-lb.github.io/inventorysystem/html/FP0182.html</t>
  </si>
  <si>
    <t>https://FlowerSystem-lb.github.io/inventorysystem/html/FP0183.html</t>
  </si>
  <si>
    <t>https://FlowerSystem-lb.github.io/inventorysystem/html/FP0184.html</t>
  </si>
  <si>
    <t>https://FlowerSystem-lb.github.io/inventorysystem/html/FP0185.html</t>
  </si>
  <si>
    <t>https://FlowerSystem-lb.github.io/inventorysystem/html/FP0186.html</t>
  </si>
  <si>
    <t>https://FlowerSystem-lb.github.io/inventorysystem/html/FP0187.html</t>
  </si>
  <si>
    <t>https://FlowerSystem-lb.github.io/inventorysystem/html/FP0188.html</t>
  </si>
  <si>
    <t>https://FlowerSystem-lb.github.io/inventorysystem/html/FP0189.html</t>
  </si>
  <si>
    <t>https://FlowerSystem-lb.github.io/inventorysystem/html/FP0190.html</t>
  </si>
  <si>
    <t>https://FlowerSystem-lb.github.io/inventorysystem/html/FP0191.html</t>
  </si>
  <si>
    <t>https://FlowerSystem-lb.github.io/inventorysystem/html/FP0192.html</t>
  </si>
  <si>
    <t>https://FlowerSystem-lb.github.io/inventorysystem/html/FP0193.html</t>
  </si>
  <si>
    <t>https://FlowerSystem-lb.github.io/inventorysystem/html/FP0194.html</t>
  </si>
  <si>
    <t>https://FlowerSystem-lb.github.io/inventorysystem/html/FP0195.html</t>
  </si>
  <si>
    <t>https://FlowerSystem-lb.github.io/inventorysystem/html/FP0196.html</t>
  </si>
  <si>
    <t>https://FlowerSystem-lb.github.io/inventorysystem/html/FP0197.html</t>
  </si>
  <si>
    <t>https://FlowerSystem-lb.github.io/inventorysystem/html/FP0198.html</t>
  </si>
  <si>
    <t>https://FlowerSystem-lb.github.io/inventorysystem/html/FP0199.html</t>
  </si>
  <si>
    <t>https://FlowerSystem-lb.github.io/inventorysystem/html/FP0200.html</t>
  </si>
  <si>
    <t>https://FlowerSystem-lb.github.io/inventorysystem/html/FP0201.html</t>
  </si>
  <si>
    <t>https://FlowerSystem-lb.github.io/inventorysystem/html/FP0202.html</t>
  </si>
  <si>
    <t>https://FlowerSystem-lb.github.io/inventorysystem/html/FP0203.html</t>
  </si>
  <si>
    <t>https://FlowerSystem-lb.github.io/inventorysystem/html/FP0204.html</t>
  </si>
  <si>
    <t>https://FlowerSystem-lb.github.io/inventorysystem/html/FP0205.html</t>
  </si>
  <si>
    <t>https://FlowerSystem-lb.github.io/inventorysystem/html/FP0206.html</t>
  </si>
  <si>
    <t>https://FlowerSystem-lb.github.io/inventorysystem/html/FP0207.html</t>
  </si>
  <si>
    <t>https://FlowerSystem-lb.github.io/inventorysystem/html/FP0208.html</t>
  </si>
  <si>
    <t>https://FlowerSystem-lb.github.io/inventorysystem/html/FP0209.html</t>
  </si>
  <si>
    <t>https://FlowerSystem-lb.github.io/inventorysystem/html/FP0210.html</t>
  </si>
  <si>
    <t>https://FlowerSystem-lb.github.io/inventorysystem/html/FP0211.html</t>
  </si>
  <si>
    <t>https://FlowerSystem-lb.github.io/inventorysystem/html/FP0212.html</t>
  </si>
  <si>
    <t>https://FlowerSystem-lb.github.io/inventorysystem/html/FP0213.html</t>
  </si>
  <si>
    <t>https://FlowerSystem-lb.github.io/inventorysystem/html/FP0214.html</t>
  </si>
  <si>
    <t>https://FlowerSystem-lb.github.io/inventorysystem/html/FP0215.html</t>
  </si>
  <si>
    <t>https://FlowerSystem-lb.github.io/inventorysystem/html/FP0216.html</t>
  </si>
  <si>
    <t>https://FlowerSystem-lb.github.io/inventorysystem/html/FP0217.html</t>
  </si>
  <si>
    <t>https://FlowerSystem-lb.github.io/inventorysystem/html/FP0218.html</t>
  </si>
  <si>
    <t>https://FlowerSystem-lb.github.io/inventorysystem/html/FP0219.html</t>
  </si>
  <si>
    <t>https://FlowerSystem-lb.github.io/inventorysystem/html/FP0220.html</t>
  </si>
  <si>
    <t>https://FlowerSystem-lb.github.io/inventorysystem/html/FP0221.html</t>
  </si>
  <si>
    <t>https://FlowerSystem-lb.github.io/inventorysystem/html/FP0222.html</t>
  </si>
  <si>
    <t>https://FlowerSystem-lb.github.io/inventorysystem/html/FP0223.html</t>
  </si>
  <si>
    <t>https://FlowerSystem-lb.github.io/inventorysystem/html/FP0224.html</t>
  </si>
  <si>
    <t>https://FlowerSystem-lb.github.io/inventorysystem/html/FP0225.html</t>
  </si>
  <si>
    <t>https://FlowerSystem-lb.github.io/inventorysystem/html/FP0226.html</t>
  </si>
  <si>
    <t>https://FlowerSystem-lb.github.io/inventorysystem/html/FP0227.html</t>
  </si>
  <si>
    <t>https://FlowerSystem-lb.github.io/inventorysystem/html/FP0228.html</t>
  </si>
  <si>
    <t>https://FlowerSystem-lb.github.io/inventorysystem/html/FP0229.html</t>
  </si>
  <si>
    <t>https://FlowerSystem-lb.github.io/inventorysystem/html/FP0230.html</t>
  </si>
  <si>
    <t>https://FlowerSystem-lb.github.io/inventorysystem/html/FP0231.html</t>
  </si>
  <si>
    <t>https://FlowerSystem-lb.github.io/inventorysystem/html/FP0232.html</t>
  </si>
  <si>
    <t>https://FlowerSystem-lb.github.io/inventorysystem/html/FP0233.html</t>
  </si>
  <si>
    <t>https://FlowerSystem-lb.github.io/inventorysystem/html/FP0234.html</t>
  </si>
  <si>
    <t>https://FlowerSystem-lb.github.io/inventorysystem/html/FP0235.html</t>
  </si>
  <si>
    <t>https://FlowerSystem-lb.github.io/inventorysystem/html/FP0236.html</t>
  </si>
  <si>
    <t>https://FlowerSystem-lb.github.io/inventorysystem/html/FP0237.html</t>
  </si>
  <si>
    <t>https://FlowerSystem-lb.github.io/inventorysystem/html/FP0238.html</t>
  </si>
  <si>
    <t>https://FlowerSystem-lb.github.io/inventorysystem/html/FP0239.html</t>
  </si>
  <si>
    <t>https://FlowerSystem-lb.github.io/inventorysystem/html/FP0240.html</t>
  </si>
  <si>
    <t>https://FlowerSystem-lb.github.io/inventorysystem/html/FP0241.html</t>
  </si>
  <si>
    <t>https://FlowerSystem-lb.github.io/inventorysystem/html/FP0242.html</t>
  </si>
  <si>
    <t>https://FlowerSystem-lb.github.io/inventorysystem/html/FP0243.html</t>
  </si>
  <si>
    <t>https://FlowerSystem-lb.github.io/inventorysystem/html/FP0244.html</t>
  </si>
  <si>
    <t>https://FlowerSystem-lb.github.io/inventorysystem/html/FP0245.html</t>
  </si>
  <si>
    <t>https://FlowerSystem-lb.github.io/inventorysystem/html/FP0246.html</t>
  </si>
  <si>
    <t>https://FlowerSystem-lb.github.io/inventorysystem/html/FP0247.html</t>
  </si>
  <si>
    <t>https://FlowerSystem-lb.github.io/inventorysystem/html/FP0248.html</t>
  </si>
  <si>
    <t>https://FlowerSystem-lb.github.io/inventorysystem/html/FP0249.html</t>
  </si>
  <si>
    <t>https://FlowerSystem-lb.github.io/inventorysystem/html/FP0250.html</t>
  </si>
  <si>
    <t>https://FlowerSystem-lb.github.io/inventorysystem/html/FP0251.html</t>
  </si>
  <si>
    <t>https://FlowerSystem-lb.github.io/inventorysystem/html/FP0252.html</t>
  </si>
  <si>
    <t>https://FlowerSystem-lb.github.io/inventorysystem/html/FP0253.html</t>
  </si>
  <si>
    <t>https://FlowerSystem-lb.github.io/inventorysystem/html/FP0254.html</t>
  </si>
  <si>
    <t>https://FlowerSystem-lb.github.io/inventorysystem/html/FP0255.html</t>
  </si>
  <si>
    <t>https://FlowerSystem-lb.github.io/inventorysystem/html/FP0256.html</t>
  </si>
  <si>
    <t>https://FlowerSystem-lb.github.io/inventorysystem/html/FP0257.html</t>
  </si>
  <si>
    <t>https://FlowerSystem-lb.github.io/inventorysystem/html/FP0258.html</t>
  </si>
  <si>
    <t>https://FlowerSystem-lb.github.io/inventorysystem/html/FP0259.html</t>
  </si>
  <si>
    <t>https://FlowerSystem-lb.github.io/inventorysystem/html/FP0260.html</t>
  </si>
  <si>
    <t>https://FlowerSystem-lb.github.io/inventorysystem/html/FP0261.html</t>
  </si>
  <si>
    <t>https://FlowerSystem-lb.github.io/inventorysystem/html/FP0262.html</t>
  </si>
  <si>
    <t>https://FlowerSystem-lb.github.io/inventorysystem/html/FP0263.html</t>
  </si>
  <si>
    <t>https://FlowerSystem-lb.github.io/inventorysystem/html/FP0264.html</t>
  </si>
  <si>
    <t>https://FlowerSystem-lb.github.io/inventorysystem/html/FP0265.html</t>
  </si>
  <si>
    <t>https://FlowerSystem-lb.github.io/inventorysystem/html/FP0266.html</t>
  </si>
  <si>
    <t>https://FlowerSystem-lb.github.io/inventorysystem/html/FP0267.html</t>
  </si>
  <si>
    <t>https://FlowerSystem-lb.github.io/inventorysystem/html/FP0268.html</t>
  </si>
  <si>
    <t>https://FlowerSystem-lb.github.io/inventorysystem/html/FP0269.html</t>
  </si>
  <si>
    <t>https://FlowerSystem-lb.github.io/inventorysystem/html/FP0270.html</t>
  </si>
  <si>
    <t>https://FlowerSystem-lb.github.io/inventorysystem/html/FP0271.html</t>
  </si>
  <si>
    <t>https://FlowerSystem-lb.github.io/inventorysystem/html/FP0272.html</t>
  </si>
  <si>
    <t>https://FlowerSystem-lb.github.io/inventorysystem/html/FP0273.html</t>
  </si>
  <si>
    <t>https://FlowerSystem-lb.github.io/inventorysystem/html/FP0274.html</t>
  </si>
  <si>
    <t>https://FlowerSystem-lb.github.io/inventorysystem/html/FP0275.html</t>
  </si>
  <si>
    <t>https://FlowerSystem-lb.github.io/inventorysystem/html/FP0276.html</t>
  </si>
  <si>
    <t>https://FlowerSystem-lb.github.io/inventorysystem/html/FP0277.html</t>
  </si>
  <si>
    <t>https://FlowerSystem-lb.github.io/inventorysystem/html/FP0278.html</t>
  </si>
  <si>
    <t>https://FlowerSystem-lb.github.io/inventorysystem/html/FP0279.html</t>
  </si>
  <si>
    <t>https://FlowerSystem-lb.github.io/inventorysystem/html/FP0280.html</t>
  </si>
  <si>
    <t>https://FlowerSystem-lb.github.io/inventorysystem/html/FP0281.html</t>
  </si>
  <si>
    <t>https://FlowerSystem-lb.github.io/inventorysystem/html/FP0282.html</t>
  </si>
  <si>
    <t>https://FlowerSystem-lb.github.io/inventorysystem/html/FP0283.html</t>
  </si>
  <si>
    <t>https://FlowerSystem-lb.github.io/inventorysystem/html/FP0284.html</t>
  </si>
  <si>
    <t>https://FlowerSystem-lb.github.io/inventorysystem/html/FP0285.html</t>
  </si>
  <si>
    <t>https://FlowerSystem-lb.github.io/inventorysystem/html/FP0286.html</t>
  </si>
  <si>
    <t>https://FlowerSystem-lb.github.io/inventorysystem/html/FP0287.html</t>
  </si>
  <si>
    <t>https://FlowerSystem-lb.github.io/inventorysystem/html/FP0288.html</t>
  </si>
  <si>
    <t>https://FlowerSystem-lb.github.io/inventorysystem/html/FP0289.html</t>
  </si>
  <si>
    <t>https://FlowerSystem-lb.github.io/inventorysystem/html/FP0290.html</t>
  </si>
  <si>
    <t>https://FlowerSystem-lb.github.io/inventorysystem/html/FP0291.html</t>
  </si>
  <si>
    <t>https://FlowerSystem-lb.github.io/inventorysystem/html/FP0292.html</t>
  </si>
  <si>
    <t>https://FlowerSystem-lb.github.io/inventorysystem/html/FP0293.html</t>
  </si>
  <si>
    <t>https://FlowerSystem-lb.github.io/inventorysystem/html/FP0294.html</t>
  </si>
  <si>
    <t>https://FlowerSystem-lb.github.io/inventorysystem/html/FP0295.html</t>
  </si>
  <si>
    <t>https://FlowerSystem-lb.github.io/inventorysystem/html/FP0296.html</t>
  </si>
  <si>
    <t>https://FlowerSystem-lb.github.io/inventorysystem/html/FP0297.html</t>
  </si>
  <si>
    <t>https://FlowerSystem-lb.github.io/inventorysystem/html/FP0298.html</t>
  </si>
  <si>
    <t>https://FlowerSystem-lb.github.io/inventorysystem/html/FP0299.html</t>
  </si>
  <si>
    <t>https://FlowerSystem-lb.github.io/inventorysystem/html/FP0300.html</t>
  </si>
  <si>
    <t>https://FlowerSystem-lb.github.io/inventorysystem/html/FP0301.html</t>
  </si>
  <si>
    <t>https://FlowerSystem-lb.github.io/inventorysystem/html/FP0302.html</t>
  </si>
  <si>
    <t>https://FlowerSystem-lb.github.io/inventorysystem/html/FP0303.html</t>
  </si>
  <si>
    <t>https://FlowerSystem-lb.github.io/inventorysystem/html/FP0304.html</t>
  </si>
  <si>
    <t>https://FlowerSystem-lb.github.io/inventorysystem/html/FP0305.html</t>
  </si>
  <si>
    <t>https://FlowerSystem-lb.github.io/inventorysystem/html/FP0306.html</t>
  </si>
  <si>
    <t>https://FlowerSystem-lb.github.io/inventorysystem/html/FP0307.html</t>
  </si>
  <si>
    <t>https://FlowerSystem-lb.github.io/inventorysystem/html/FP0308.html</t>
  </si>
  <si>
    <t>https://FlowerSystem-lb.github.io/inventorysystem/html/FP0309.html</t>
  </si>
  <si>
    <t>https://FlowerSystem-lb.github.io/inventorysystem/html/FP0310.html</t>
  </si>
  <si>
    <t>https://FlowerSystem-lb.github.io/inventorysystem/html/FP0311.html</t>
  </si>
  <si>
    <t>https://FlowerSystem-lb.github.io/inventorysystem/html/FP0312.html</t>
  </si>
  <si>
    <t>https://FlowerSystem-lb.github.io/inventorysystem/html/FP0313.html</t>
  </si>
  <si>
    <t>https://FlowerSystem-lb.github.io/inventorysystem/html/FP0314.html</t>
  </si>
  <si>
    <t>https://FlowerSystem-lb.github.io/inventorysystem/html/FP0315.html</t>
  </si>
  <si>
    <t>https://FlowerSystem-lb.github.io/inventorysystem/html/FP0316.html</t>
  </si>
  <si>
    <t>https://FlowerSystem-lb.github.io/inventorysystem/html/FP0317.html</t>
  </si>
  <si>
    <t>https://FlowerSystem-lb.github.io/inventorysystem/html/FP0318.html</t>
  </si>
  <si>
    <t>https://FlowerSystem-lb.github.io/inventorysystem/html/FP0319.html</t>
  </si>
  <si>
    <t>https://FlowerSystem-lb.github.io/inventorysystem/html/FP0320.html</t>
  </si>
  <si>
    <t>https://FlowerSystem-lb.github.io/inventorysystem/html/FP0321.html</t>
  </si>
  <si>
    <t>https://FlowerSystem-lb.github.io/inventorysystem/html/FP0322.html</t>
  </si>
  <si>
    <t>https://FlowerSystem-lb.github.io/inventorysystem/html/FP0323.html</t>
  </si>
  <si>
    <t>https://FlowerSystem-lb.github.io/inventorysystem/html/FP0324.html</t>
  </si>
  <si>
    <t>https://FlowerSystem-lb.github.io/inventorysystem/html/FP0325.html</t>
  </si>
  <si>
    <t>https://FlowerSystem-lb.github.io/inventorysystem/html/FP0326.html</t>
  </si>
  <si>
    <t>https://FlowerSystem-lb.github.io/inventorysystem/html/FP0327.html</t>
  </si>
  <si>
    <t>https://FlowerSystem-lb.github.io/inventorysystem/html/FP0328.html</t>
  </si>
  <si>
    <t>https://FlowerSystem-lb.github.io/inventorysystem/html/FP0329.html</t>
  </si>
  <si>
    <t>https://FlowerSystem-lb.github.io/inventorysystem/html/FP0330.html</t>
  </si>
  <si>
    <t>https://FlowerSystem-lb.github.io/inventorysystem/html/FP0331.html</t>
  </si>
  <si>
    <t>https://FlowerSystem-lb.github.io/inventorysystem/html/FP0332.html</t>
  </si>
  <si>
    <t>https://FlowerSystem-lb.github.io/inventorysystem/html/FP0333.html</t>
  </si>
  <si>
    <t>https://FlowerSystem-lb.github.io/inventorysystem/html/FP0334.html</t>
  </si>
  <si>
    <t>https://FlowerSystem-lb.github.io/inventorysystem/html/FP0335.html</t>
  </si>
  <si>
    <t>https://FlowerSystem-lb.github.io/inventorysystem/html/FP0336.html</t>
  </si>
  <si>
    <t>https://FlowerSystem-lb.github.io/inventorysystem/html/FP0337.html</t>
  </si>
  <si>
    <t>https://FlowerSystem-lb.github.io/inventorysystem/html/FP0338.html</t>
  </si>
  <si>
    <t>https://FlowerSystem-lb.github.io/inventorysystem/html/FP0339.html</t>
  </si>
  <si>
    <t>https://FlowerSystem-lb.github.io/inventorysystem/html/FP0340.html</t>
  </si>
  <si>
    <t>https://FlowerSystem-lb.github.io/inventorysystem/html/FP0341.html</t>
  </si>
  <si>
    <t>https://FlowerSystem-lb.github.io/inventorysystem/html/FP0342.html</t>
  </si>
  <si>
    <t>https://FlowerSystem-lb.github.io/inventorysystem/html/FP0343.html</t>
  </si>
  <si>
    <t>https://FlowerSystem-lb.github.io/inventorysystem/html/FP0344.html</t>
  </si>
  <si>
    <t>https://FlowerSystem-lb.github.io/inventorysystem/html/FP0345.html</t>
  </si>
  <si>
    <t>https://FlowerSystem-lb.github.io/inventorysystem/html/FP0346.html</t>
  </si>
  <si>
    <t>https://FlowerSystem-lb.github.io/inventorysystem/html/FP0347.html</t>
  </si>
  <si>
    <t>https://FlowerSystem-lb.github.io/inventorysystem/html/FP0348.html</t>
  </si>
  <si>
    <t>https://FlowerSystem-lb.github.io/inventorysystem/html/FP0349.html</t>
  </si>
  <si>
    <t>https://FlowerSystem-lb.github.io/inventorysystem/html/FP0350.html</t>
  </si>
  <si>
    <t>https://FlowerSystem-lb.github.io/inventorysystem/html/FP0351.html</t>
  </si>
  <si>
    <t>https://FlowerSystem-lb.github.io/inventorysystem/html/FP0352.html</t>
  </si>
  <si>
    <t>https://FlowerSystem-lb.github.io/inventorysystem/html/FP0353.html</t>
  </si>
  <si>
    <t>https://FlowerSystem-lb.github.io/inventorysystem/html/FP0354.html</t>
  </si>
  <si>
    <t>https://FlowerSystem-lb.github.io/inventorysystem/html/FP0355.html</t>
  </si>
  <si>
    <t>https://FlowerSystem-lb.github.io/inventorysystem/html/FP0356.html</t>
  </si>
  <si>
    <t>https://FlowerSystem-lb.github.io/inventorysystem/html/FP0357.html</t>
  </si>
  <si>
    <t>https://FlowerSystem-lb.github.io/inventorysystem/html/FP0358.html</t>
  </si>
  <si>
    <t>https://FlowerSystem-lb.github.io/inventorysystem/html/FP0359.html</t>
  </si>
  <si>
    <t>https://FlowerSystem-lb.github.io/inventorysystem/html/FP0360.html</t>
  </si>
  <si>
    <t>https://FlowerSystem-lb.github.io/inventorysystem/html/FP0361.html</t>
  </si>
  <si>
    <t>https://FlowerSystem-lb.github.io/inventorysystem/html/FP0362.html</t>
  </si>
  <si>
    <t>https://FlowerSystem-lb.github.io/inventorysystem/html/FP0363.html</t>
  </si>
  <si>
    <t>https://FlowerSystem-lb.github.io/inventorysystem/html/FP0364.html</t>
  </si>
  <si>
    <t>https://FlowerSystem-lb.github.io/inventorysystem/html/FP0365.html</t>
  </si>
  <si>
    <t>https://FlowerSystem-lb.github.io/inventorysystem/html/FP0366.html</t>
  </si>
  <si>
    <t>https://FlowerSystem-lb.github.io/inventorysystem/html/FP0367.html</t>
  </si>
  <si>
    <t>https://FlowerSystem-lb.github.io/inventorysystem/html/FP0368.html</t>
  </si>
  <si>
    <t>https://FlowerSystem-lb.github.io/inventorysystem/html/FP0369.html</t>
  </si>
  <si>
    <t>https://FlowerSystem-lb.github.io/inventorysystem/html/FP0370.html</t>
  </si>
  <si>
    <t>https://FlowerSystem-lb.github.io/inventorysystem/html/FP0371.html</t>
  </si>
  <si>
    <t>https://FlowerSystem-lb.github.io/inventorysystem/html/FP0372.html</t>
  </si>
  <si>
    <t>https://FlowerSystem-lb.github.io/inventorysystem/html/FP0373.html</t>
  </si>
  <si>
    <t>https://FlowerSystem-lb.github.io/inventorysystem/html/FP0374.html</t>
  </si>
  <si>
    <t>https://FlowerSystem-lb.github.io/inventorysystem/html/FP0375.html</t>
  </si>
  <si>
    <t>https://FlowerSystem-lb.github.io/inventorysystem/html/FP0376.html</t>
  </si>
  <si>
    <t>https://FlowerSystem-lb.github.io/inventorysystem/html/FP0377.html</t>
  </si>
  <si>
    <t>https://FlowerSystem-lb.github.io/inventorysystem/html/FP0378.html</t>
  </si>
  <si>
    <t>https://FlowerSystem-lb.github.io/inventorysystem/html/FP0379.html</t>
  </si>
  <si>
    <t>https://FlowerSystem-lb.github.io/inventorysystem/html/FP0380.html</t>
  </si>
  <si>
    <t>https://FlowerSystem-lb.github.io/inventorysystem/html/FP0381.html</t>
  </si>
  <si>
    <t>https://FlowerSystem-lb.github.io/inventorysystem/html/FP0382.html</t>
  </si>
  <si>
    <t>https://FlowerSystem-lb.github.io/inventorysystem/html/FP0383.html</t>
  </si>
  <si>
    <t>https://FlowerSystem-lb.github.io/inventorysystem/html/FP0384.html</t>
  </si>
  <si>
    <t>https://FlowerSystem-lb.github.io/inventorysystem/html/FP0385.html</t>
  </si>
  <si>
    <t>https://FlowerSystem-lb.github.io/inventorysystem/html/FP0386.html</t>
  </si>
  <si>
    <t>https://FlowerSystem-lb.github.io/inventorysystem/html/FP0387.html</t>
  </si>
  <si>
    <t>https://FlowerSystem-lb.github.io/inventorysystem/html/FP0388.html</t>
  </si>
  <si>
    <t>https://FlowerSystem-lb.github.io/inventorysystem/html/FP0389.html</t>
  </si>
  <si>
    <t>https://FlowerSystem-lb.github.io/inventorysystem/html/FP0390.html</t>
  </si>
  <si>
    <t>https://FlowerSystem-lb.github.io/inventorysystem/html/FP0391.html</t>
  </si>
  <si>
    <t>https://FlowerSystem-lb.github.io/inventorysystem/html/FP0392.html</t>
  </si>
  <si>
    <t>https://FlowerSystem-lb.github.io/inventorysystem/html/FP0393.html</t>
  </si>
  <si>
    <t>https://FlowerSystem-lb.github.io/inventorysystem/html/FP0394.html</t>
  </si>
  <si>
    <t>https://FlowerSystem-lb.github.io/inventorysystem/html/FP0395.html</t>
  </si>
  <si>
    <t>https://FlowerSystem-lb.github.io/inventorysystem/html/FP0396.html</t>
  </si>
  <si>
    <t>https://FlowerSystem-lb.github.io/inventorysystem/html/FP0397.html</t>
  </si>
  <si>
    <t>https://FlowerSystem-lb.github.io/inventorysystem/html/FP0398.html</t>
  </si>
  <si>
    <t>https://FlowerSystem-lb.github.io/inventorysystem/html/FP0399.html</t>
  </si>
  <si>
    <t>https://FlowerSystem-lb.github.io/inventorysystem/html/FP0400.html</t>
  </si>
  <si>
    <t>https://FlowerSystem-lb.github.io/inventorysystem/html/FP0401.html</t>
  </si>
  <si>
    <t>https://FlowerSystem-lb.github.io/inventorysystem/html/FP0402.html</t>
  </si>
  <si>
    <t>https://FlowerSystem-lb.github.io/inventorysystem/html/FP0403.html</t>
  </si>
  <si>
    <t>https://FlowerSystem-lb.github.io/inventorysystem/html/FP0404.html</t>
  </si>
  <si>
    <t>https://FlowerSystem-lb.github.io/inventorysystem/html/FP0405.html</t>
  </si>
  <si>
    <t>https://FlowerSystem-lb.github.io/inventorysystem/html/FP0406.html</t>
  </si>
  <si>
    <t>https://FlowerSystem-lb.github.io/inventorysystem/html/FP0407.html</t>
  </si>
  <si>
    <t>https://FlowerSystem-lb.github.io/inventorysystem/html/FP0408.html</t>
  </si>
  <si>
    <t>https://FlowerSystem-lb.github.io/inventorysystem/html/FP0409.html</t>
  </si>
  <si>
    <t>https://FlowerSystem-lb.github.io/inventorysystem/html/FP0410.html</t>
  </si>
  <si>
    <t>https://FlowerSystem-lb.github.io/inventorysystem/html/FP0411.html</t>
  </si>
  <si>
    <t>https://FlowerSystem-lb.github.io/inventorysystem/html/FP0412.html</t>
  </si>
  <si>
    <t>https://FlowerSystem-lb.github.io/inventorysystem/html/FP0413.html</t>
  </si>
  <si>
    <t>https://FlowerSystem-lb.github.io/inventorysystem/html/FP0414.html</t>
  </si>
  <si>
    <t>https://FlowerSystem-lb.github.io/inventorysystem/html/FP0415.html</t>
  </si>
  <si>
    <t>https://FlowerSystem-lb.github.io/inventorysystem/html/FP0416.html</t>
  </si>
  <si>
    <t>https://FlowerSystem-lb.github.io/inventorysystem/html/FP0417.html</t>
  </si>
  <si>
    <t>https://FlowerSystem-lb.github.io/inventorysystem/html/FP0418.html</t>
  </si>
  <si>
    <t>https://FlowerSystem-lb.github.io/inventorysystem/html/FP0419.html</t>
  </si>
  <si>
    <t>https://FlowerSystem-lb.github.io/inventorysystem/html/FP0420.html</t>
  </si>
  <si>
    <t>https://FlowerSystem-lb.github.io/inventorysystem/html/FP0421.html</t>
  </si>
  <si>
    <t>https://FlowerSystem-lb.github.io/inventorysystem/html/FP0422.html</t>
  </si>
  <si>
    <t>https://FlowerSystem-lb.github.io/inventorysystem/html/FP0423.html</t>
  </si>
  <si>
    <t>https://FlowerSystem-lb.github.io/inventorysystem/html/FP0424.html</t>
  </si>
  <si>
    <t>https://FlowerSystem-lb.github.io/inventorysystem/html/FP0425.html</t>
  </si>
  <si>
    <t>https://FlowerSystem-lb.github.io/inventorysystem/html/FP0426.html</t>
  </si>
  <si>
    <t>https://FlowerSystem-lb.github.io/inventorysystem/html/FP0427.html</t>
  </si>
  <si>
    <t>https://FlowerSystem-lb.github.io/inventorysystem/html/FP0428.html</t>
  </si>
  <si>
    <t>https://FlowerSystem-lb.github.io/inventorysystem/html/FP0429.html</t>
  </si>
  <si>
    <t>https://FlowerSystem-lb.github.io/inventorysystem/html/FP0430.html</t>
  </si>
  <si>
    <t>https://FlowerSystem-lb.github.io/inventorysystem/html/FP0431.html</t>
  </si>
  <si>
    <t>https://FlowerSystem-lb.github.io/inventorysystem/html/FP0432.html</t>
  </si>
  <si>
    <t>https://FlowerSystem-lb.github.io/inventorysystem/html/FP0433.html</t>
  </si>
  <si>
    <t>https://FlowerSystem-lb.github.io/inventorysystem/html/FP0434.html</t>
  </si>
  <si>
    <t>https://FlowerSystem-lb.github.io/inventorysystem/html/FP0435.html</t>
  </si>
  <si>
    <t>https://FlowerSystem-lb.github.io/inventorysystem/html/FP0436.html</t>
  </si>
  <si>
    <t>https://FlowerSystem-lb.github.io/inventorysystem/html/FP0437.html</t>
  </si>
  <si>
    <t>https://FlowerSystem-lb.github.io/inventorysystem/html/FP0438.html</t>
  </si>
  <si>
    <t>https://FlowerSystem-lb.github.io/inventorysystem/html/FP0439.html</t>
  </si>
  <si>
    <t>https://FlowerSystem-lb.github.io/inventorysystem/html/FP0440.html</t>
  </si>
  <si>
    <t>https://FlowerSystem-lb.github.io/inventorysystem/html/FP0441.html</t>
  </si>
  <si>
    <t>https://FlowerSystem-lb.github.io/inventorysystem/html/FP0442.html</t>
  </si>
  <si>
    <t>https://FlowerSystem-lb.github.io/inventorysystem/html/FP0443.html</t>
  </si>
  <si>
    <t>https://FlowerSystem-lb.github.io/inventorysystem/html/FP0444.html</t>
  </si>
  <si>
    <t>https://FlowerSystem-lb.github.io/inventorysystem/html/FP0445.html</t>
  </si>
  <si>
    <t>https://FlowerSystem-lb.github.io/inventorysystem/html/FP0446.html</t>
  </si>
  <si>
    <t>https://FlowerSystem-lb.github.io/inventorysystem/html/FP0447.html</t>
  </si>
  <si>
    <t>https://FlowerSystem-lb.github.io/inventorysystem/html/FP0448.html</t>
  </si>
  <si>
    <t>https://FlowerSystem-lb.github.io/inventorysystem/html/FP0449.html</t>
  </si>
  <si>
    <t>https://FlowerSystem-lb.github.io/inventorysystem/html/FP0450.html</t>
  </si>
  <si>
    <t>https://FlowerSystem-lb.github.io/inventorysystem/html/FP0451.html</t>
  </si>
  <si>
    <t>https://FlowerSystem-lb.github.io/inventorysystem/html/FP0452.html</t>
  </si>
  <si>
    <t>https://FlowerSystem-lb.github.io/inventorysystem/html/FP0453.html</t>
  </si>
  <si>
    <t>https://FlowerSystem-lb.github.io/inventorysystem/html/FP0454.html</t>
  </si>
  <si>
    <t>https://FlowerSystem-lb.github.io/inventorysystem/html/FP0455.html</t>
  </si>
  <si>
    <t>https://FlowerSystem-lb.github.io/inventorysystem/html/FP0456.html</t>
  </si>
  <si>
    <t>https://FlowerSystem-lb.github.io/inventorysystem/html/FP0457.html</t>
  </si>
  <si>
    <t>https://FlowerSystem-lb.github.io/inventorysystem/html/FP0458.html</t>
  </si>
  <si>
    <t>https://FlowerSystem-lb.github.io/inventorysystem/html/FP0459.html</t>
  </si>
  <si>
    <t>https://FlowerSystem-lb.github.io/inventorysystem/html/FP0460.html</t>
  </si>
  <si>
    <t>https://FlowerSystem-lb.github.io/inventorysystem/html/FP0461.html</t>
  </si>
  <si>
    <t>https://FlowerSystem-lb.github.io/inventorysystem/html/FP0462.html</t>
  </si>
  <si>
    <t>https://FlowerSystem-lb.github.io/inventorysystem/html/FP0463.html</t>
  </si>
  <si>
    <t>https://FlowerSystem-lb.github.io/inventorysystem/html/FP0464.html</t>
  </si>
  <si>
    <t>https://FlowerSystem-lb.github.io/inventorysystem/html/FP0465.html</t>
  </si>
  <si>
    <t>https://FlowerSystem-lb.github.io/inventorysystem/html/FP0466.html</t>
  </si>
  <si>
    <t>https://FlowerSystem-lb.github.io/inventorysystem/html/FP0467.html</t>
  </si>
  <si>
    <t>https://FlowerSystem-lb.github.io/inventorysystem/html/FP0468.html</t>
  </si>
  <si>
    <t>https://FlowerSystem-lb.github.io/inventorysystem/html/FP0469.html</t>
  </si>
  <si>
    <t>https://FlowerSystem-lb.github.io/inventorysystem/html/FP0470.html</t>
  </si>
  <si>
    <t>https://FlowerSystem-lb.github.io/inventorysystem/html/FP0471.html</t>
  </si>
  <si>
    <t>https://FlowerSystem-lb.github.io/inventorysystem/html/FP0472.html</t>
  </si>
  <si>
    <t>https://FlowerSystem-lb.github.io/inventorysystem/html/FP0473.html</t>
  </si>
  <si>
    <t>https://FlowerSystem-lb.github.io/inventorysystem/html/FP0474.html</t>
  </si>
  <si>
    <t>https://FlowerSystem-lb.github.io/inventorysystem/html/FP0475.html</t>
  </si>
  <si>
    <t>https://FlowerSystem-lb.github.io/inventorysystem/html/FP0476.html</t>
  </si>
  <si>
    <t>https://FlowerSystem-lb.github.io/inventorysystem/html/FP0477.html</t>
  </si>
  <si>
    <t>https://FlowerSystem-lb.github.io/inventorysystem/html/FP0478.html</t>
  </si>
  <si>
    <t>https://FlowerSystem-lb.github.io/inventorysystem/html/FP0479.html</t>
  </si>
  <si>
    <t>https://FlowerSystem-lb.github.io/inventorysystem/html/FP0480.html</t>
  </si>
  <si>
    <t>https://FlowerSystem-lb.github.io/inventorysystem/html/FP0481.html</t>
  </si>
  <si>
    <t>https://FlowerSystem-lb.github.io/inventorysystem/html/FP0482.html</t>
  </si>
  <si>
    <t>https://FlowerSystem-lb.github.io/inventorysystem/html/FP0483.html</t>
  </si>
  <si>
    <t>https://FlowerSystem-lb.github.io/inventorysystem/html/FP0484.html</t>
  </si>
  <si>
    <t>https://FlowerSystem-lb.github.io/inventorysystem/html/FP0485.html</t>
  </si>
  <si>
    <t>https://FlowerSystem-lb.github.io/inventorysystem/html/FP0486.html</t>
  </si>
  <si>
    <t>https://FlowerSystem-lb.github.io/inventorysystem/html/FP0487.html</t>
  </si>
  <si>
    <t>https://FlowerSystem-lb.github.io/inventorysystem/html/FP0488.html</t>
  </si>
  <si>
    <t>https://FlowerSystem-lb.github.io/inventorysystem/html/FP0489.html</t>
  </si>
  <si>
    <t>https://FlowerSystem-lb.github.io/inventorysystem/html/FP0490.html</t>
  </si>
  <si>
    <t>https://FlowerSystem-lb.github.io/inventorysystem/html/FP0491.html</t>
  </si>
  <si>
    <t>https://FlowerSystem-lb.github.io/inventorysystem/html/FP0492.html</t>
  </si>
  <si>
    <t>https://FlowerSystem-lb.github.io/inventorysystem/html/FP0493.html</t>
  </si>
  <si>
    <t>https://FlowerSystem-lb.github.io/inventorysystem/html/FP0494.html</t>
  </si>
  <si>
    <t>https://FlowerSystem-lb.github.io/inventorysystem/html/FP0495.html</t>
  </si>
  <si>
    <t>https://FlowerSystem-lb.github.io/inventorysystem/html/FP0496.html</t>
  </si>
  <si>
    <t>https://FlowerSystem-lb.github.io/inventorysystem/html/FP0497.html</t>
  </si>
  <si>
    <t>https://FlowerSystem-lb.github.io/inventorysystem/html/FP0498.html</t>
  </si>
  <si>
    <t>https://FlowerSystem-lb.github.io/inventorysystem/html/FP0499.html</t>
  </si>
  <si>
    <t>https://FlowerSystem-lb.github.io/inventorysystem/html/FP0500.html</t>
  </si>
  <si>
    <t>https://FlowerSystem-lb.github.io/inventorysystem/html/FP0501.html</t>
  </si>
  <si>
    <t>https://FlowerSystem-lb.github.io/inventorysystem/html/FP0502.html</t>
  </si>
  <si>
    <t>https://FlowerSystem-lb.github.io/inventorysystem/html/FP0503.html</t>
  </si>
  <si>
    <t>https://FlowerSystem-lb.github.io/inventorysystem/html/FP0504.html</t>
  </si>
  <si>
    <t>https://FlowerSystem-lb.github.io/inventorysystem/html/FP0505.html</t>
  </si>
  <si>
    <t>https://FlowerSystem-lb.github.io/inventorysystem/html/FP0506.html</t>
  </si>
  <si>
    <t>https://FlowerSystem-lb.github.io/inventorysystem/html/FP0507.html</t>
  </si>
  <si>
    <t>https://FlowerSystem-lb.github.io/inventorysystem/html/FP0508.html</t>
  </si>
  <si>
    <t>https://FlowerSystem-lb.github.io/inventorysystem/html/FP0509.html</t>
  </si>
  <si>
    <t>https://FlowerSystem-lb.github.io/inventorysystem/html/FP0510.html</t>
  </si>
  <si>
    <t>https://FlowerSystem-lb.github.io/inventorysystem/html/FP0511.html</t>
  </si>
  <si>
    <t>https://FlowerSystem-lb.github.io/inventorysystem/html/FP0512.html</t>
  </si>
  <si>
    <t>https://FlowerSystem-lb.github.io/inventorysystem/html/FP0513.html</t>
  </si>
  <si>
    <t>https://FlowerSystem-lb.github.io/inventorysystem/html/FP0514.html</t>
  </si>
  <si>
    <t>https://FlowerSystem-lb.github.io/inventorysystem/html/FP0515.html</t>
  </si>
  <si>
    <t>https://FlowerSystem-lb.github.io/inventorysystem/html/FP0516.html</t>
  </si>
  <si>
    <t>https://FlowerSystem-lb.github.io/inventorysystem/html/FP0517.html</t>
  </si>
  <si>
    <t>https://FlowerSystem-lb.github.io/inventorysystem/html/FP0518.html</t>
  </si>
  <si>
    <t>https://FlowerSystem-lb.github.io/inventorysystem/html/FP0519.html</t>
  </si>
  <si>
    <t>https://FlowerSystem-lb.github.io/inventorysystem/html/FP0520.html</t>
  </si>
  <si>
    <t>https://FlowerSystem-lb.github.io/inventorysystem/html/FP0521.html</t>
  </si>
  <si>
    <t>https://FlowerSystem-lb.github.io/inventorysystem/html/FP0522.html</t>
  </si>
  <si>
    <t>https://FlowerSystem-lb.github.io/inventorysystem/html/FP0523.html</t>
  </si>
  <si>
    <t>https://FlowerSystem-lb.github.io/inventorysystem/html/FP0524.html</t>
  </si>
  <si>
    <t>https://FlowerSystem-lb.github.io/inventorysystem/html/FP0525.html</t>
  </si>
  <si>
    <t>https://FlowerSystem-lb.github.io/inventorysystem/html/FP0526.html</t>
  </si>
  <si>
    <t>https://FlowerSystem-lb.github.io/inventorysystem/html/FP0527.html</t>
  </si>
  <si>
    <t>https://FlowerSystem-lb.github.io/inventorysystem/html/FP0528.html</t>
  </si>
  <si>
    <t>https://FlowerSystem-lb.github.io/inventorysystem/html/FP0529.html</t>
  </si>
  <si>
    <t>https://FlowerSystem-lb.github.io/inventorysystem/html/FP0530.html</t>
  </si>
  <si>
    <t>https://FlowerSystem-lb.github.io/inventorysystem/html/FP0531.html</t>
  </si>
  <si>
    <t>https://FlowerSystem-lb.github.io/inventorysystem/html/FP0532.html</t>
  </si>
  <si>
    <t>https://FlowerSystem-lb.github.io/inventorysystem/html/FP0533.html</t>
  </si>
  <si>
    <t>https://FlowerSystem-lb.github.io/inventorysystem/html/FP0534.html</t>
  </si>
  <si>
    <t>https://FlowerSystem-lb.github.io/inventorysystem/html/FP0535.html</t>
  </si>
  <si>
    <t>https://FlowerSystem-lb.github.io/inventorysystem/html/FP0536.html</t>
  </si>
  <si>
    <t>https://FlowerSystem-lb.github.io/inventorysystem/html/FP0537.html</t>
  </si>
  <si>
    <t>https://FlowerSystem-lb.github.io/inventorysystem/html/FP0538.html</t>
  </si>
  <si>
    <t>https://FlowerSystem-lb.github.io/inventorysystem/html/FP0539.html</t>
  </si>
  <si>
    <t>https://FlowerSystem-lb.github.io/inventorysystem/html/FP0540.html</t>
  </si>
  <si>
    <t>https://FlowerSystem-lb.github.io/inventorysystem/html/FP0541.html</t>
  </si>
  <si>
    <t>https://FlowerSystem-lb.github.io/inventorysystem/html/FP0542.html</t>
  </si>
  <si>
    <t>https://FlowerSystem-lb.github.io/inventorysystem/html/FP0543.html</t>
  </si>
  <si>
    <t>https://FlowerSystem-lb.github.io/inventorysystem/html/FP0544.html</t>
  </si>
  <si>
    <t>https://FlowerSystem-lb.github.io/inventorysystem/html/FP0545.html</t>
  </si>
  <si>
    <t>https://FlowerSystem-lb.github.io/inventorysystem/html/FP0546.html</t>
  </si>
  <si>
    <t>https://FlowerSystem-lb.github.io/inventorysystem/html/FP0547.html</t>
  </si>
  <si>
    <t>https://FlowerSystem-lb.github.io/inventorysystem/html/FP0548.html</t>
  </si>
  <si>
    <t>https://FlowerSystem-lb.github.io/inventorysystem/html/FP0549.html</t>
  </si>
  <si>
    <t>https://FlowerSystem-lb.github.io/inventorysystem/html/FP0550.html</t>
  </si>
  <si>
    <t>https://FlowerSystem-lb.github.io/inventorysystem/html/FP0551.html</t>
  </si>
  <si>
    <t>https://FlowerSystem-lb.github.io/inventorysystem/html/FP0552.html</t>
  </si>
  <si>
    <t>https://FlowerSystem-lb.github.io/inventorysystem/html/FP0553.html</t>
  </si>
  <si>
    <t>https://FlowerSystem-lb.github.io/inventorysystem/html/FP0554.html</t>
  </si>
  <si>
    <t>https://FlowerSystem-lb.github.io/inventorysystem/html/FP0555.html</t>
  </si>
  <si>
    <t>https://FlowerSystem-lb.github.io/inventorysystem/html/FP0556.html</t>
  </si>
  <si>
    <t>https://FlowerSystem-lb.github.io/inventorysystem/html/FP0557.html</t>
  </si>
  <si>
    <t>https://FlowerSystem-lb.github.io/inventorysystem/html/FP0558.html</t>
  </si>
  <si>
    <t>https://FlowerSystem-lb.github.io/inventorysystem/html/FP0559.html</t>
  </si>
  <si>
    <t>https://FlowerSystem-lb.github.io/inventorysystem/html/FP0560.html</t>
  </si>
  <si>
    <t>https://FlowerSystem-lb.github.io/inventorysystem/html/FP0561.html</t>
  </si>
  <si>
    <t>https://FlowerSystem-lb.github.io/inventorysystem/html/FP0562.html</t>
  </si>
  <si>
    <t>https://FlowerSystem-lb.github.io/inventorysystem/html/FP0563.html</t>
  </si>
  <si>
    <t>https://FlowerSystem-lb.github.io/inventorysystem/html/FP0564.html</t>
  </si>
  <si>
    <t>https://FlowerSystem-lb.github.io/inventorysystem/html/FP0565.html</t>
  </si>
  <si>
    <t>https://FlowerSystem-lb.github.io/inventorysystem/html/FP0566.html</t>
  </si>
  <si>
    <t>https://FlowerSystem-lb.github.io/inventorysystem/html/FP0567.html</t>
  </si>
  <si>
    <t>https://FlowerSystem-lb.github.io/inventorysystem/html/FP0568.html</t>
  </si>
  <si>
    <t>https://FlowerSystem-lb.github.io/inventorysystem/html/FP0569.html</t>
  </si>
  <si>
    <t>https://FlowerSystem-lb.github.io/inventorysystem/html/FP0570.html</t>
  </si>
  <si>
    <t>https://FlowerSystem-lb.github.io/inventorysystem/html/FP0571.html</t>
  </si>
  <si>
    <t>https://FlowerSystem-lb.github.io/inventorysystem/html/FP0572.html</t>
  </si>
  <si>
    <t>https://FlowerSystem-lb.github.io/inventorysystem/html/FP0573.html</t>
  </si>
  <si>
    <t>https://FlowerSystem-lb.github.io/inventorysystem/html/FP0574.html</t>
  </si>
  <si>
    <t>https://FlowerSystem-lb.github.io/inventorysystem/html/FP0575.html</t>
  </si>
  <si>
    <t>https://FlowerSystem-lb.github.io/inventorysystem/html/FP0576.html</t>
  </si>
  <si>
    <t>https://FlowerSystem-lb.github.io/inventorysystem/html/FP0577.html</t>
  </si>
  <si>
    <t>https://FlowerSystem-lb.github.io/inventorysystem/html/FP0578.html</t>
  </si>
  <si>
    <t>https://FlowerSystem-lb.github.io/inventorysystem/html/FP0579.html</t>
  </si>
  <si>
    <t>https://FlowerSystem-lb.github.io/inventorysystem/html/FP0580.html</t>
  </si>
  <si>
    <t>https://FlowerSystem-lb.github.io/inventorysystem/html/FP0581.html</t>
  </si>
  <si>
    <t>https://FlowerSystem-lb.github.io/inventorysystem/html/FP0582.html</t>
  </si>
  <si>
    <t>https://FlowerSystem-lb.github.io/inventorysystem/html/FP0583.html</t>
  </si>
  <si>
    <t>https://FlowerSystem-lb.github.io/inventorysystem/html/FP0584.html</t>
  </si>
  <si>
    <t>https://FlowerSystem-lb.github.io/inventorysystem/html/FP0585.html</t>
  </si>
  <si>
    <t>https://FlowerSystem-lb.github.io/inventorysystem/html/FP0586.html</t>
  </si>
  <si>
    <t>https://FlowerSystem-lb.github.io/inventorysystem/html/FP0587.html</t>
  </si>
  <si>
    <t>https://FlowerSystem-lb.github.io/inventorysystem/html/FP0588.html</t>
  </si>
  <si>
    <t>https://FlowerSystem-lb.github.io/inventorysystem/html/FP0589.html</t>
  </si>
  <si>
    <t>https://FlowerSystem-lb.github.io/inventorysystem/html/FP0590.html</t>
  </si>
  <si>
    <t>https://FlowerSystem-lb.github.io/inventorysystem/html/FP0591.html</t>
  </si>
  <si>
    <t>https://FlowerSystem-lb.github.io/inventorysystem/html/FP0592.html</t>
  </si>
  <si>
    <t>https://FlowerSystem-lb.github.io/inventorysystem/html/FP0593.html</t>
  </si>
  <si>
    <t>https://FlowerSystem-lb.github.io/inventorysystem/html/FP0594.html</t>
  </si>
  <si>
    <t>https://FlowerSystem-lb.github.io/inventorysystem/html/FP0595.html</t>
  </si>
  <si>
    <t>https://FlowerSystem-lb.github.io/inventorysystem/html/FP0596.html</t>
  </si>
  <si>
    <t>https://FlowerSystem-lb.github.io/inventorysystem/html/FP0597.html</t>
  </si>
  <si>
    <t>https://FlowerSystem-lb.github.io/inventorysystem/html/FP0598.html</t>
  </si>
  <si>
    <t>https://FlowerSystem-lb.github.io/inventorysystem/html/FP0599.html</t>
  </si>
  <si>
    <t>https://FlowerSystem-lb.github.io/inventorysystem/html/FP0600.html</t>
  </si>
  <si>
    <t>https://FlowerSystem-lb.github.io/inventorysystem/html/FP0601.html</t>
  </si>
  <si>
    <t>https://FlowerSystem-lb.github.io/inventorysystem/html/FP0602.html</t>
  </si>
  <si>
    <t>https://FlowerSystem-lb.github.io/inventorysystem/html/FP0603.html</t>
  </si>
  <si>
    <t>https://FlowerSystem-lb.github.io/inventorysystem/html/FP0604.html</t>
  </si>
  <si>
    <t>https://FlowerSystem-lb.github.io/inventorysystem/html/FP0605.html</t>
  </si>
  <si>
    <t>https://FlowerSystem-lb.github.io/inventorysystem/html/FP0606.html</t>
  </si>
  <si>
    <t>https://FlowerSystem-lb.github.io/inventorysystem/html/FP0607.html</t>
  </si>
  <si>
    <t>https://FlowerSystem-lb.github.io/inventorysystem/html/FP0608.html</t>
  </si>
  <si>
    <t>https://FlowerSystem-lb.github.io/inventorysystem/html/FP0609.html</t>
  </si>
  <si>
    <t>https://FlowerSystem-lb.github.io/inventorysystem/html/FP0610.html</t>
  </si>
  <si>
    <t>https://FlowerSystem-lb.github.io/inventorysystem/html/FP0611.html</t>
  </si>
  <si>
    <t>https://FlowerSystem-lb.github.io/inventorysystem/html/FP0612.html</t>
  </si>
  <si>
    <t>https://FlowerSystem-lb.github.io/inventorysystem/html/FP0613.html</t>
  </si>
  <si>
    <t>https://FlowerSystem-lb.github.io/inventorysystem/html/FP0614.html</t>
  </si>
  <si>
    <t>https://FlowerSystem-lb.github.io/inventorysystem/html/FP0615.html</t>
  </si>
  <si>
    <t>https://FlowerSystem-lb.github.io/inventorysystem/html/FP0616.html</t>
  </si>
  <si>
    <t>https://FlowerSystem-lb.github.io/inventorysystem/html/FP0617.html</t>
  </si>
  <si>
    <t>https://FlowerSystem-lb.github.io/inventorysystem/html/FP0618.html</t>
  </si>
  <si>
    <t>https://FlowerSystem-lb.github.io/inventorysystem/html/FP0619.html</t>
  </si>
  <si>
    <t>https://FlowerSystem-lb.github.io/inventorysystem/html/FP0620.html</t>
  </si>
  <si>
    <t>https://FlowerSystem-lb.github.io/inventorysystem/html/FP0621.html</t>
  </si>
  <si>
    <t>https://FlowerSystem-lb.github.io/inventorysystem/html/FP0622.html</t>
  </si>
  <si>
    <t>https://FlowerSystem-lb.github.io/inventorysystem/html/FP0623.html</t>
  </si>
  <si>
    <t>https://FlowerSystem-lb.github.io/inventorysystem/html/FP0624.html</t>
  </si>
  <si>
    <t>https://FlowerSystem-lb.github.io/inventorysystem/html/FP0625.html</t>
  </si>
  <si>
    <t>https://FlowerSystem-lb.github.io/inventorysystem/html/FP0626.html</t>
  </si>
  <si>
    <t>https://FlowerSystem-lb.github.io/inventorysystem/html/FP0627.html</t>
  </si>
  <si>
    <t>https://FlowerSystem-lb.github.io/inventorysystem/html/FP0628.html</t>
  </si>
  <si>
    <t>https://FlowerSystem-lb.github.io/inventorysystem/html/FP0629.html</t>
  </si>
  <si>
    <t>https://FlowerSystem-lb.github.io/inventorysystem/html/FP0630.html</t>
  </si>
  <si>
    <t>https://FlowerSystem-lb.github.io/inventorysystem/html/FP0631.html</t>
  </si>
  <si>
    <t>https://FlowerSystem-lb.github.io/inventorysystem/html/FP0632.html</t>
  </si>
  <si>
    <t>https://FlowerSystem-lb.github.io/inventorysystem/html/FP0633.html</t>
  </si>
  <si>
    <t>https://FlowerSystem-lb.github.io/inventorysystem/html/FP0634.html</t>
  </si>
  <si>
    <t>https://FlowerSystem-lb.github.io/inventorysystem/html/FP0635.html</t>
  </si>
  <si>
    <t>https://FlowerSystem-lb.github.io/inventorysystem/html/FP0636.html</t>
  </si>
  <si>
    <t>https://FlowerSystem-lb.github.io/inventorysystem/html/FP0637.html</t>
  </si>
  <si>
    <t>https://FlowerSystem-lb.github.io/inventorysystem/html/FP0638.html</t>
  </si>
  <si>
    <t>https://FlowerSystem-lb.github.io/inventorysystem/html/FP0639.html</t>
  </si>
  <si>
    <t>https://FlowerSystem-lb.github.io/inventorysystem/html/FP0640.html</t>
  </si>
  <si>
    <t>https://FlowerSystem-lb.github.io/inventorysystem/html/FP0641.html</t>
  </si>
  <si>
    <t>https://FlowerSystem-lb.github.io/inventorysystem/html/FP0642.html</t>
  </si>
  <si>
    <t>https://FlowerSystem-lb.github.io/inventorysystem/html/FP0643.html</t>
  </si>
  <si>
    <t>https://FlowerSystem-lb.github.io/inventorysystem/html/FP0644.html</t>
  </si>
  <si>
    <t>https://FlowerSystem-lb.github.io/inventorysystem/html/FP0645.html</t>
  </si>
  <si>
    <t>https://FlowerSystem-lb.github.io/inventorysystem/html/FP0646.html</t>
  </si>
  <si>
    <t>https://FlowerSystem-lb.github.io/inventorysystem/html/FP0647.html</t>
  </si>
  <si>
    <t>https://FlowerSystem-lb.github.io/inventorysystem/html/FP0648.html</t>
  </si>
  <si>
    <t>https://FlowerSystem-lb.github.io/inventorysystem/html/FP0649.html</t>
  </si>
  <si>
    <t>https://FlowerSystem-lb.github.io/inventorysystem/html/FP0650.html</t>
  </si>
  <si>
    <t>https://FlowerSystem-lb.github.io/inventorysystem/html/FP0651.html</t>
  </si>
  <si>
    <t>https://FlowerSystem-lb.github.io/inventorysystem/html/FP0652.html</t>
  </si>
  <si>
    <t>https://FlowerSystem-lb.github.io/inventorysystem/html/FP0653.html</t>
  </si>
  <si>
    <t>https://FlowerSystem-lb.github.io/inventorysystem/html/FP0654.html</t>
  </si>
  <si>
    <t>https://FlowerSystem-lb.github.io/inventorysystem/html/FP0655.html</t>
  </si>
  <si>
    <t>https://FlowerSystem-lb.github.io/inventorysystem/html/FP0656.html</t>
  </si>
  <si>
    <t>https://FlowerSystem-lb.github.io/inventorysystem/html/FP0657.html</t>
  </si>
  <si>
    <t>https://FlowerSystem-lb.github.io/inventorysystem/html/FP0658.html</t>
  </si>
  <si>
    <t>https://FlowerSystem-lb.github.io/inventorysystem/html/FP0659.html</t>
  </si>
  <si>
    <t>https://FlowerSystem-lb.github.io/inventorysystem/html/FP0660.html</t>
  </si>
  <si>
    <t>https://FlowerSystem-lb.github.io/inventorysystem/html/FP0661.html</t>
  </si>
  <si>
    <t>https://FlowerSystem-lb.github.io/inventorysystem/html/FP0662.html</t>
  </si>
  <si>
    <t>https://FlowerSystem-lb.github.io/inventorysystem/html/FP0663.html</t>
  </si>
  <si>
    <t>https://FlowerSystem-lb.github.io/inventorysystem/html/FP0664.html</t>
  </si>
  <si>
    <t>https://FlowerSystem-lb.github.io/inventorysystem/html/FP0665.html</t>
  </si>
  <si>
    <t>https://FlowerSystem-lb.github.io/inventorysystem/html/FP0666.html</t>
  </si>
  <si>
    <t>https://FlowerSystem-lb.github.io/inventorysystem/html/FP0667.html</t>
  </si>
  <si>
    <t>https://FlowerSystem-lb.github.io/inventorysystem/html/FP0668.html</t>
  </si>
  <si>
    <t>https://FlowerSystem-lb.github.io/inventorysystem/html/FP0669.html</t>
  </si>
  <si>
    <t>https://FlowerSystem-lb.github.io/inventorysystem/html/FP0670.html</t>
  </si>
  <si>
    <t>https://FlowerSystem-lb.github.io/inventorysystem/html/FP0671.html</t>
  </si>
  <si>
    <t>https://FlowerSystem-lb.github.io/inventorysystem/html/FP0672.html</t>
  </si>
  <si>
    <t>https://FlowerSystem-lb.github.io/inventorysystem/html/FP0673.html</t>
  </si>
  <si>
    <t>https://FlowerSystem-lb.github.io/inventorysystem/html/FP0674.html</t>
  </si>
  <si>
    <t>https://FlowerSystem-lb.github.io/inventorysystem/html/FP0675.html</t>
  </si>
  <si>
    <t>https://FlowerSystem-lb.github.io/inventorysystem/html/FP0676.html</t>
  </si>
  <si>
    <t>https://FlowerSystem-lb.github.io/inventorysystem/html/FP0677.html</t>
  </si>
  <si>
    <t>https://FlowerSystem-lb.github.io/inventorysystem/html/FP0678.html</t>
  </si>
  <si>
    <t>https://FlowerSystem-lb.github.io/inventorysystem/html/FP0679.html</t>
  </si>
  <si>
    <t>https://FlowerSystem-lb.github.io/inventorysystem/html/FP0680.html</t>
  </si>
  <si>
    <t>https://FlowerSystem-lb.github.io/inventorysystem/html/FP0681.html</t>
  </si>
  <si>
    <t>https://FlowerSystem-lb.github.io/inventorysystem/html/FP0682.html</t>
  </si>
  <si>
    <t>https://FlowerSystem-lb.github.io/inventorysystem/html/FP0683.html</t>
  </si>
  <si>
    <t>https://FlowerSystem-lb.github.io/inventorysystem/html/FP0684.html</t>
  </si>
  <si>
    <t>https://FlowerSystem-lb.github.io/inventorysystem/html/FP0685.html</t>
  </si>
  <si>
    <t>https://FlowerSystem-lb.github.io/inventorysystem/html/FP0686.html</t>
  </si>
  <si>
    <t>https://FlowerSystem-lb.github.io/inventorysystem/html/FP0687.html</t>
  </si>
  <si>
    <t>https://FlowerSystem-lb.github.io/inventorysystem/html/FP0688.html</t>
  </si>
  <si>
    <t>https://FlowerSystem-lb.github.io/inventorysystem/html/FP0689.html</t>
  </si>
  <si>
    <t>https://FlowerSystem-lb.github.io/inventorysystem/html/FP0690.html</t>
  </si>
  <si>
    <t>https://FlowerSystem-lb.github.io/inventorysystem/html/FP0691.html</t>
  </si>
  <si>
    <t>https://FlowerSystem-lb.github.io/inventorysystem/html/FP0692.html</t>
  </si>
  <si>
    <t>https://FlowerSystem-lb.github.io/inventorysystem/html/FP0693.html</t>
  </si>
  <si>
    <t>https://FlowerSystem-lb.github.io/inventorysystem/html/FP0694.html</t>
  </si>
  <si>
    <t>https://FlowerSystem-lb.github.io/inventorysystem/html/FP0695.html</t>
  </si>
  <si>
    <t>https://FlowerSystem-lb.github.io/inventorysystem/html/FP0696.html</t>
  </si>
  <si>
    <t>https://FlowerSystem-lb.github.io/inventorysystem/html/FP0697.html</t>
  </si>
  <si>
    <t>https://FlowerSystem-lb.github.io/inventorysystem/html/FP0698.html</t>
  </si>
  <si>
    <t>https://FlowerSystem-lb.github.io/inventorysystem/html/FP0699.html</t>
  </si>
  <si>
    <t>https://FlowerSystem-lb.github.io/inventorysystem/html/FP0700.html</t>
  </si>
  <si>
    <t>https://FlowerSystem-lb.github.io/inventorysystem/html/FP0701.html</t>
  </si>
  <si>
    <t>https://FlowerSystem-lb.github.io/inventorysystem/html/FP0702.html</t>
  </si>
  <si>
    <t>https://FlowerSystem-lb.github.io/inventorysystem/html/FP0703.html</t>
  </si>
  <si>
    <t>https://FlowerSystem-lb.github.io/inventorysystem/html/FP0704.html</t>
  </si>
  <si>
    <t>https://FlowerSystem-lb.github.io/inventorysystem/html/FP0705.html</t>
  </si>
  <si>
    <t>https://FlowerSystem-lb.github.io/inventorysystem/html/FP0706.html</t>
  </si>
  <si>
    <t>https://FlowerSystem-lb.github.io/inventorysystem/html/FP0707.html</t>
  </si>
  <si>
    <t>https://FlowerSystem-lb.github.io/inventorysystem/html/FP0708.html</t>
  </si>
  <si>
    <t>https://FlowerSystem-lb.github.io/inventorysystem/html/FP0709.html</t>
  </si>
  <si>
    <t>https://FlowerSystem-lb.github.io/inventorysystem/html/FP0710.html</t>
  </si>
  <si>
    <t>https://FlowerSystem-lb.github.io/inventorysystem/html/FP0711.html</t>
  </si>
  <si>
    <t>https://FlowerSystem-lb.github.io/inventorysystem/html/FP0712.html</t>
  </si>
  <si>
    <t>https://FlowerSystem-lb.github.io/inventorysystem/html/FP0713.html</t>
  </si>
  <si>
    <t>https://FlowerSystem-lb.github.io/inventorysystem/html/FP0714.html</t>
  </si>
  <si>
    <t>https://FlowerSystem-lb.github.io/inventorysystem/html/FP0715.html</t>
  </si>
  <si>
    <t>https://FlowerSystem-lb.github.io/inventorysystem/html/FP0716.html</t>
  </si>
  <si>
    <t>https://FlowerSystem-lb.github.io/inventorysystem/html/FP0717.html</t>
  </si>
  <si>
    <t>https://FlowerSystem-lb.github.io/inventorysystem/html/FP0718.html</t>
  </si>
  <si>
    <t>https://FlowerSystem-lb.github.io/inventorysystem/html/FP0719.html</t>
  </si>
  <si>
    <t>https://FlowerSystem-lb.github.io/inventorysystem/html/FP0720.html</t>
  </si>
  <si>
    <t>https://FlowerSystem-lb.github.io/inventorysystem/html/FP0721.html</t>
  </si>
  <si>
    <t>https://FlowerSystem-lb.github.io/inventorysystem/html/FP0722.html</t>
  </si>
  <si>
    <t>https://FlowerSystem-lb.github.io/inventorysystem/html/FP0723.html</t>
  </si>
  <si>
    <t>https://FlowerSystem-lb.github.io/inventorysystem/html/FP0724.html</t>
  </si>
  <si>
    <t>https://FlowerSystem-lb.github.io/inventorysystem/html/FP0725.html</t>
  </si>
  <si>
    <t>https://FlowerSystem-lb.github.io/inventorysystem/html/FP0726.html</t>
  </si>
  <si>
    <t>https://FlowerSystem-lb.github.io/inventorysystem/html/FP0727.html</t>
  </si>
  <si>
    <t>https://FlowerSystem-lb.github.io/inventorysystem/html/FP0728.html</t>
  </si>
  <si>
    <t>https://FlowerSystem-lb.github.io/inventorysystem/html/FP0729.html</t>
  </si>
  <si>
    <t>https://FlowerSystem-lb.github.io/inventorysystem/html/FP0730.html</t>
  </si>
  <si>
    <t>https://FlowerSystem-lb.github.io/inventorysystem/html/FP0731.html</t>
  </si>
  <si>
    <t>https://FlowerSystem-lb.github.io/inventorysystem/html/FP0732.html</t>
  </si>
  <si>
    <t>https://FlowerSystem-lb.github.io/inventorysystem/html/FP0733.html</t>
  </si>
  <si>
    <t>https://FlowerSystem-lb.github.io/inventorysystem/html/FP0734.html</t>
  </si>
  <si>
    <t>https://FlowerSystem-lb.github.io/inventorysystem/html/FP0735.html</t>
  </si>
  <si>
    <t>https://FlowerSystem-lb.github.io/inventorysystem/html/FP0736.html</t>
  </si>
  <si>
    <t>https://FlowerSystem-lb.github.io/inventorysystem/html/FP0737.html</t>
  </si>
  <si>
    <t>https://FlowerSystem-lb.github.io/inventorysystem/html/FP0738.html</t>
  </si>
  <si>
    <t>https://FlowerSystem-lb.github.io/inventorysystem/html/FP0739.html</t>
  </si>
  <si>
    <t>https://FlowerSystem-lb.github.io/inventorysystem/html/FP0740.html</t>
  </si>
  <si>
    <t>https://FlowerSystem-lb.github.io/inventorysystem/html/FP0741.html</t>
  </si>
  <si>
    <t>https://FlowerSystem-lb.github.io/inventorysystem/html/FP0742.html</t>
  </si>
  <si>
    <t>https://FlowerSystem-lb.github.io/inventorysystem/html/FP0743.html</t>
  </si>
  <si>
    <t>https://FlowerSystem-lb.github.io/inventorysystem/html/FP0744.html</t>
  </si>
  <si>
    <t>https://FlowerSystem-lb.github.io/inventorysystem/html/FP0745.html</t>
  </si>
  <si>
    <t>https://FlowerSystem-lb.github.io/inventorysystem/html/FP0746.html</t>
  </si>
  <si>
    <t>https://FlowerSystem-lb.github.io/inventorysystem/html/FP0747.html</t>
  </si>
  <si>
    <t>https://FlowerSystem-lb.github.io/inventorysystem/html/FP0748.html</t>
  </si>
  <si>
    <t>https://FlowerSystem-lb.github.io/inventorysystem/html/FP0749.html</t>
  </si>
  <si>
    <t>https://FlowerSystem-lb.github.io/inventorysystem/html/FP0750.html</t>
  </si>
  <si>
    <t>https://FlowerSystem-lb.github.io/inventorysystem/html/FP0751.html</t>
  </si>
  <si>
    <t>https://FlowerSystem-lb.github.io/inventorysystem/html/FP0752.html</t>
  </si>
  <si>
    <t>https://FlowerSystem-lb.github.io/inventorysystem/html/FP0753.html</t>
  </si>
  <si>
    <t>https://FlowerSystem-lb.github.io/inventorysystem/html/FP0754.html</t>
  </si>
  <si>
    <t>https://FlowerSystem-lb.github.io/inventorysystem/html/FP0755.html</t>
  </si>
  <si>
    <t>https://FlowerSystem-lb.github.io/inventorysystem/html/FP0756.html</t>
  </si>
  <si>
    <t>https://FlowerSystem-lb.github.io/inventorysystem/html/FP0757.html</t>
  </si>
  <si>
    <t>https://FlowerSystem-lb.github.io/inventorysystem/html/FP0758.html</t>
  </si>
  <si>
    <t>https://FlowerSystem-lb.github.io/inventorysystem/html/FP0759.html</t>
  </si>
  <si>
    <t>https://FlowerSystem-lb.github.io/inventorysystem/html/FP0760.html</t>
  </si>
  <si>
    <t>https://FlowerSystem-lb.github.io/inventorysystem/html/FP0761.html</t>
  </si>
  <si>
    <t>https://FlowerSystem-lb.github.io/inventorysystem/html/FP0762.html</t>
  </si>
  <si>
    <t>https://FlowerSystem-lb.github.io/inventorysystem/html/FP0763.html</t>
  </si>
  <si>
    <t>https://FlowerSystem-lb.github.io/inventorysystem/html/FP0764.html</t>
  </si>
  <si>
    <t>https://FlowerSystem-lb.github.io/inventorysystem/html/FP0765.html</t>
  </si>
  <si>
    <t>https://FlowerSystem-lb.github.io/inventorysystem/html/FP0766.html</t>
  </si>
  <si>
    <t>https://FlowerSystem-lb.github.io/inventorysystem/html/FP0767.html</t>
  </si>
  <si>
    <t>https://FlowerSystem-lb.github.io/inventorysystem/html/FP0768.html</t>
  </si>
  <si>
    <t>https://FlowerSystem-lb.github.io/inventorysystem/html/FP0769.html</t>
  </si>
  <si>
    <t>https://FlowerSystem-lb.github.io/inventorysystem/html/FP0770.html</t>
  </si>
  <si>
    <t>https://FlowerSystem-lb.github.io/inventorysystem/html/FP0771.html</t>
  </si>
  <si>
    <t>https://FlowerSystem-lb.github.io/inventorysystem/html/FP0772.html</t>
  </si>
  <si>
    <t>https://FlowerSystem-lb.github.io/inventorysystem/html/FP0773.html</t>
  </si>
  <si>
    <t>https://FlowerSystem-lb.github.io/inventorysystem/html/FP0774.html</t>
  </si>
  <si>
    <t>https://FlowerSystem-lb.github.io/inventorysystem/html/FP0775.html</t>
  </si>
  <si>
    <t>https://FlowerSystem-lb.github.io/inventorysystem/html/FP0776.html</t>
  </si>
  <si>
    <t>https://FlowerSystem-lb.github.io/inventorysystem/html/FP0777.html</t>
  </si>
  <si>
    <t>https://FlowerSystem-lb.github.io/inventorysystem/html/FP0778.html</t>
  </si>
  <si>
    <t>https://FlowerSystem-lb.github.io/inventorysystem/html/FP0779.html</t>
  </si>
  <si>
    <t>https://FlowerSystem-lb.github.io/inventorysystem/html/FP0780.html</t>
  </si>
  <si>
    <t>https://FlowerSystem-lb.github.io/inventorysystem/html/FP0781.html</t>
  </si>
  <si>
    <t>https://FlowerSystem-lb.github.io/inventorysystem/html/FP0782.html</t>
  </si>
  <si>
    <t>https://FlowerSystem-lb.github.io/inventorysystem/html/FP0783.html</t>
  </si>
  <si>
    <t>https://FlowerSystem-lb.github.io/inventorysystem/html/FP0784.html</t>
  </si>
  <si>
    <t>https://FlowerSystem-lb.github.io/inventorysystem/html/FP0785.html</t>
  </si>
  <si>
    <t>https://FlowerSystem-lb.github.io/inventorysystem/html/FP0786.html</t>
  </si>
  <si>
    <t>https://FlowerSystem-lb.github.io/inventorysystem/html/FP0787.html</t>
  </si>
  <si>
    <t>https://FlowerSystem-lb.github.io/inventorysystem/html/FP0788.html</t>
  </si>
  <si>
    <t>https://FlowerSystem-lb.github.io/inventorysystem/html/FP0789.html</t>
  </si>
  <si>
    <t>https://FlowerSystem-lb.github.io/inventorysystem/html/FP0790.html</t>
  </si>
  <si>
    <t>https://FlowerSystem-lb.github.io/inventorysystem/html/FP0791.html</t>
  </si>
  <si>
    <t>https://FlowerSystem-lb.github.io/inventorysystem/html/FP0792.html</t>
  </si>
  <si>
    <t>https://FlowerSystem-lb.github.io/inventorysystem/html/FP0793.html</t>
  </si>
  <si>
    <t>https://FlowerSystem-lb.github.io/inventorysystem/html/FP0794.html</t>
  </si>
  <si>
    <t>https://FlowerSystem-lb.github.io/inventorysystem/html/FP0795.html</t>
  </si>
  <si>
    <t>https://FlowerSystem-lb.github.io/inventorysystem/html/FP0796.html</t>
  </si>
  <si>
    <t>https://FlowerSystem-lb.github.io/inventorysystem/html/FP0797.html</t>
  </si>
  <si>
    <t>https://FlowerSystem-lb.github.io/inventorysystem/html/FP0798.html</t>
  </si>
  <si>
    <t>https://FlowerSystem-lb.github.io/inventorysystem/html/FP0799.html</t>
  </si>
  <si>
    <t>https://FlowerSystem-lb.github.io/inventorysystem/html/FP0800.html</t>
  </si>
  <si>
    <t>https://FlowerSystem-lb.github.io/inventorysystem/html/FP0801.html</t>
  </si>
  <si>
    <t>https://FlowerSystem-lb.github.io/inventorysystem/html/FP0802.html</t>
  </si>
  <si>
    <t>https://FlowerSystem-lb.github.io/inventorysystem/html/FP0803.html</t>
  </si>
  <si>
    <t>https://FlowerSystem-lb.github.io/inventorysystem/html/FP0804.html</t>
  </si>
  <si>
    <t>https://FlowerSystem-lb.github.io/inventorysystem/html/FP0805.html</t>
  </si>
  <si>
    <t>https://FlowerSystem-lb.github.io/inventorysystem/html/FP0806.html</t>
  </si>
  <si>
    <t>https://FlowerSystem-lb.github.io/inventorysystem/html/FP0807.html</t>
  </si>
  <si>
    <t>https://FlowerSystem-lb.github.io/inventorysystem/html/FP0808.html</t>
  </si>
  <si>
    <t>https://FlowerSystem-lb.github.io/inventorysystem/html/FP0809.html</t>
  </si>
  <si>
    <t>https://FlowerSystem-lb.github.io/inventorysystem/html/FP0810.html</t>
  </si>
  <si>
    <t>https://FlowerSystem-lb.github.io/inventorysystem/html/FP0811.html</t>
  </si>
  <si>
    <t>https://FlowerSystem-lb.github.io/inventorysystem/html/FP0812.html</t>
  </si>
  <si>
    <t>https://FlowerSystem-lb.github.io/inventorysystem/html/FP0813.html</t>
  </si>
  <si>
    <t>https://FlowerSystem-lb.github.io/inventorysystem/html/FP0814.html</t>
  </si>
  <si>
    <t>https://FlowerSystem-lb.github.io/inventorysystem/html/FP0815.html</t>
  </si>
  <si>
    <t>https://FlowerSystem-lb.github.io/inventorysystem/html/FP0816.html</t>
  </si>
  <si>
    <t>https://FlowerSystem-lb.github.io/inventorysystem/html/FP0817.html</t>
  </si>
  <si>
    <t>https://FlowerSystem-lb.github.io/inventorysystem/html/FP0818.html</t>
  </si>
  <si>
    <t>https://FlowerSystem-lb.github.io/inventorysystem/html/FP0819.html</t>
  </si>
  <si>
    <t>https://FlowerSystem-lb.github.io/inventorysystem/html/FP0820.html</t>
  </si>
  <si>
    <t>https://FlowerSystem-lb.github.io/inventorysystem/html/FP0821.html</t>
  </si>
  <si>
    <t>https://FlowerSystem-lb.github.io/inventorysystem/html/FP0822.html</t>
  </si>
  <si>
    <t>https://FlowerSystem-lb.github.io/inventorysystem/html/FP0823.html</t>
  </si>
  <si>
    <t>https://FlowerSystem-lb.github.io/inventorysystem/html/FP0824.html</t>
  </si>
  <si>
    <t>https://FlowerSystem-lb.github.io/inventorysystem/html/FP0825.html</t>
  </si>
  <si>
    <t>https://FlowerSystem-lb.github.io/inventorysystem/html/FP0826.html</t>
  </si>
  <si>
    <t>https://FlowerSystem-lb.github.io/inventorysystem/html/FP0827.html</t>
  </si>
  <si>
    <t>https://FlowerSystem-lb.github.io/inventorysystem/html/FP0828.html</t>
  </si>
  <si>
    <t>https://FlowerSystem-lb.github.io/inventorysystem/html/FP0829.html</t>
  </si>
  <si>
    <t>https://FlowerSystem-lb.github.io/inventorysystem/html/FP0830.html</t>
  </si>
  <si>
    <t>https://FlowerSystem-lb.github.io/inventorysystem/html/FP0831.html</t>
  </si>
  <si>
    <t>https://FlowerSystem-lb.github.io/inventorysystem/html/FP0832.html</t>
  </si>
  <si>
    <t>https://FlowerSystem-lb.github.io/inventorysystem/html/FP0833.html</t>
  </si>
  <si>
    <t>https://FlowerSystem-lb.github.io/inventorysystem/html/FP0834.html</t>
  </si>
  <si>
    <t>https://FlowerSystem-lb.github.io/inventorysystem/html/FP0835.html</t>
  </si>
  <si>
    <t>https://FlowerSystem-lb.github.io/inventorysystem/html/FP0836.html</t>
  </si>
  <si>
    <t>https://FlowerSystem-lb.github.io/inventorysystem/html/FP0837.html</t>
  </si>
  <si>
    <t>https://FlowerSystem-lb.github.io/inventorysystem/html/FP0838.html</t>
  </si>
  <si>
    <t>https://FlowerSystem-lb.github.io/inventorysystem/html/FP0839.html</t>
  </si>
  <si>
    <t>https://FlowerSystem-lb.github.io/inventorysystem/html/FP0840.html</t>
  </si>
  <si>
    <t>https://FlowerSystem-lb.github.io/inventorysystem/html/FP0841.html</t>
  </si>
  <si>
    <t>https://FlowerSystem-lb.github.io/inventorysystem/html/FP0842.html</t>
  </si>
  <si>
    <t>https://FlowerSystem-lb.github.io/inventorysystem/html/FP0843.html</t>
  </si>
  <si>
    <t>https://FlowerSystem-lb.github.io/inventorysystem/html/FP0844.html</t>
  </si>
  <si>
    <t>https://FlowerSystem-lb.github.io/inventorysystem/html/FP0845.html</t>
  </si>
  <si>
    <t>https://FlowerSystem-lb.github.io/inventorysystem/html/FP0846.html</t>
  </si>
  <si>
    <t>https://FlowerSystem-lb.github.io/inventorysystem/html/FP0847.html</t>
  </si>
  <si>
    <t>https://FlowerSystem-lb.github.io/inventorysystem/html/FP0848.html</t>
  </si>
  <si>
    <t>https://FlowerSystem-lb.github.io/inventorysystem/html/FP0849.html</t>
  </si>
  <si>
    <t>https://FlowerSystem-lb.github.io/inventorysystem/html/FP0850.html</t>
  </si>
  <si>
    <t>https://FlowerSystem-lb.github.io/inventorysystem/html/FP0851.html</t>
  </si>
  <si>
    <t>https://FlowerSystem-lb.github.io/inventorysystem/html/FP0852.html</t>
  </si>
  <si>
    <t>https://FlowerSystem-lb.github.io/inventorysystem/html/FP0853.html</t>
  </si>
  <si>
    <t>https://FlowerSystem-lb.github.io/inventorysystem/html/FP0854.html</t>
  </si>
  <si>
    <t>https://FlowerSystem-lb.github.io/inventorysystem/html/FP0855.html</t>
  </si>
  <si>
    <t>https://FlowerSystem-lb.github.io/inventorysystem/html/FP0856.html</t>
  </si>
  <si>
    <t>https://FlowerSystem-lb.github.io/inventorysystem/html/FP0857.html</t>
  </si>
  <si>
    <t>https://FlowerSystem-lb.github.io/inventorysystem/html/FP0858.html</t>
  </si>
  <si>
    <t>https://FlowerSystem-lb.github.io/inventorysystem/html/FP0859.html</t>
  </si>
  <si>
    <t>https://FlowerSystem-lb.github.io/inventorysystem/html/FP0860.html</t>
  </si>
  <si>
    <t>https://FlowerSystem-lb.github.io/inventorysystem/html/FP0861.html</t>
  </si>
  <si>
    <t>https://FlowerSystem-lb.github.io/inventorysystem/html/FP0862.html</t>
  </si>
  <si>
    <t>https://FlowerSystem-lb.github.io/inventorysystem/html/FP0863.html</t>
  </si>
  <si>
    <t>https://FlowerSystem-lb.github.io/inventorysystem/html/FP0864.html</t>
  </si>
  <si>
    <t>https://FlowerSystem-lb.github.io/inventorysystem/html/FP0865.html</t>
  </si>
  <si>
    <t>https://FlowerSystem-lb.github.io/inventorysystem/html/FP0866.html</t>
  </si>
  <si>
    <t>https://FlowerSystem-lb.github.io/inventorysystem/html/FP0867.html</t>
  </si>
  <si>
    <t>https://FlowerSystem-lb.github.io/inventorysystem/html/FP0868.html</t>
  </si>
  <si>
    <t>https://FlowerSystem-lb.github.io/inventorysystem/html/FP0869.html</t>
  </si>
  <si>
    <t>https://FlowerSystem-lb.github.io/inventorysystem/html/FP0870.html</t>
  </si>
  <si>
    <t>https://FlowerSystem-lb.github.io/inventorysystem/html/FP0871.html</t>
  </si>
  <si>
    <t>https://FlowerSystem-lb.github.io/inventorysystem/html/FP0872.html</t>
  </si>
  <si>
    <t>https://FlowerSystem-lb.github.io/inventorysystem/html/FP0873.html</t>
  </si>
  <si>
    <t>https://FlowerSystem-lb.github.io/inventorysystem/html/FP0874.html</t>
  </si>
  <si>
    <t>https://FlowerSystem-lb.github.io/inventorysystem/html/FP0875.html</t>
  </si>
  <si>
    <t>https://FlowerSystem-lb.github.io/inventorysystem/html/FP0876.html</t>
  </si>
  <si>
    <t>https://FlowerSystem-lb.github.io/inventorysystem/html/FP0877.html</t>
  </si>
  <si>
    <t>https://FlowerSystem-lb.github.io/inventorysystem/html/FP0878.html</t>
  </si>
  <si>
    <t>https://FlowerSystem-lb.github.io/inventorysystem/html/FP0879.html</t>
  </si>
  <si>
    <t>https://FlowerSystem-lb.github.io/inventorysystem/html/FP0880.html</t>
  </si>
  <si>
    <t>https://FlowerSystem-lb.github.io/inventorysystem/html/FP0881.html</t>
  </si>
  <si>
    <t>https://FlowerSystem-lb.github.io/inventorysystem/html/FP0882.html</t>
  </si>
  <si>
    <t>https://FlowerSystem-lb.github.io/inventorysystem/html/FP0883.html</t>
  </si>
  <si>
    <t>https://FlowerSystem-lb.github.io/inventorysystem/html/FP0884.html</t>
  </si>
  <si>
    <t>https://FlowerSystem-lb.github.io/inventorysystem/html/FP0885.html</t>
  </si>
  <si>
    <t>https://FlowerSystem-lb.github.io/inventorysystem/html/FP0886.html</t>
  </si>
  <si>
    <t>https://FlowerSystem-lb.github.io/inventorysystem/html/FP0887.html</t>
  </si>
  <si>
    <t>https://FlowerSystem-lb.github.io/inventorysystem/html/FP0888.html</t>
  </si>
  <si>
    <t>https://FlowerSystem-lb.github.io/inventorysystem/html/FP0889.html</t>
  </si>
  <si>
    <t>https://FlowerSystem-lb.github.io/inventorysystem/html/FP0890.html</t>
  </si>
  <si>
    <t>https://FlowerSystem-lb.github.io/inventorysystem/html/FP0891.html</t>
  </si>
  <si>
    <t>https://FlowerSystem-lb.github.io/inventorysystem/html/FP0892.html</t>
  </si>
  <si>
    <t>https://FlowerSystem-lb.github.io/inventorysystem/html/FP0893.html</t>
  </si>
  <si>
    <t>https://FlowerSystem-lb.github.io/inventorysystem/html/FP0894.html</t>
  </si>
  <si>
    <t>https://FlowerSystem-lb.github.io/inventorysystem/html/FP0895.html</t>
  </si>
  <si>
    <t>https://FlowerSystem-lb.github.io/inventorysystem/html/FP0896.html</t>
  </si>
  <si>
    <t>https://FlowerSystem-lb.github.io/inventorysystem/html/FP0897.html</t>
  </si>
  <si>
    <t>https://FlowerSystem-lb.github.io/inventorysystem/html/FP0898.html</t>
  </si>
  <si>
    <t>https://FlowerSystem-lb.github.io/inventorysystem/html/FP0899.html</t>
  </si>
  <si>
    <t>https://FlowerSystem-lb.github.io/inventorysystem/html/FP0900.html</t>
  </si>
  <si>
    <t>https://FlowerSystem-lb.github.io/inventorysystem/html/FP0901.html</t>
  </si>
  <si>
    <t>https://FlowerSystem-lb.github.io/inventorysystem/html/FP0902.html</t>
  </si>
  <si>
    <t>https://FlowerSystem-lb.github.io/inventorysystem/html/FP0903.html</t>
  </si>
  <si>
    <t>https://FlowerSystem-lb.github.io/inventorysystem/html/FP0904.html</t>
  </si>
  <si>
    <t>https://FlowerSystem-lb.github.io/inventorysystem/html/FP0905.html</t>
  </si>
  <si>
    <t>https://FlowerSystem-lb.github.io/inventorysystem/html/FP0906.html</t>
  </si>
  <si>
    <t>https://FlowerSystem-lb.github.io/inventorysystem/html/FP0907.html</t>
  </si>
  <si>
    <t>https://FlowerSystem-lb.github.io/inventorysystem/html/FP0908.html</t>
  </si>
  <si>
    <t>https://FlowerSystem-lb.github.io/inventorysystem/html/FP0909.html</t>
  </si>
  <si>
    <t>https://FlowerSystem-lb.github.io/inventorysystem/html/FP0910.html</t>
  </si>
  <si>
    <t>https://FlowerSystem-lb.github.io/inventorysystem/html/FP0911.html</t>
  </si>
  <si>
    <t>https://FlowerSystem-lb.github.io/inventorysystem/html/FP0912.html</t>
  </si>
  <si>
    <t>https://FlowerSystem-lb.github.io/inventorysystem/html/FP0913.html</t>
  </si>
  <si>
    <t>https://FlowerSystem-lb.github.io/inventorysystem/html/FP0914.html</t>
  </si>
  <si>
    <t>https://FlowerSystem-lb.github.io/inventorysystem/html/FP0915.html</t>
  </si>
  <si>
    <t>https://FlowerSystem-lb.github.io/inventorysystem/html/FP0916.html</t>
  </si>
  <si>
    <t>https://FlowerSystem-lb.github.io/inventorysystem/html/FP0917.html</t>
  </si>
  <si>
    <t>https://FlowerSystem-lb.github.io/inventorysystem/html/FP0918.html</t>
  </si>
  <si>
    <t>https://FlowerSystem-lb.github.io/inventorysystem/html/FP0919.html</t>
  </si>
  <si>
    <t>https://FlowerSystem-lb.github.io/inventorysystem/html/FP0920.html</t>
  </si>
  <si>
    <t>https://FlowerSystem-lb.github.io/inventorysystem/html/FP0921.html</t>
  </si>
  <si>
    <t>https://FlowerSystem-lb.github.io/inventorysystem/html/FP0922.html</t>
  </si>
  <si>
    <t>https://FlowerSystem-lb.github.io/inventorysystem/html/FP0923.html</t>
  </si>
  <si>
    <t>https://FlowerSystem-lb.github.io/inventorysystem/html/FP0924.html</t>
  </si>
  <si>
    <t>https://FlowerSystem-lb.github.io/inventorysystem/html/FP0925.html</t>
  </si>
  <si>
    <t>https://FlowerSystem-lb.github.io/inventorysystem/html/FP0926.html</t>
  </si>
  <si>
    <t>https://FlowerSystem-lb.github.io/inventorysystem/html/FP0927.html</t>
  </si>
  <si>
    <t>https://FlowerSystem-lb.github.io/inventorysystem/html/FP0928.html</t>
  </si>
  <si>
    <t>https://FlowerSystem-lb.github.io/inventorysystem/html/FP0929.html</t>
  </si>
  <si>
    <t>https://FlowerSystem-lb.github.io/inventorysystem/html/FP0930.html</t>
  </si>
  <si>
    <t>https://FlowerSystem-lb.github.io/inventorysystem/html/FP0931.html</t>
  </si>
  <si>
    <t>https://FlowerSystem-lb.github.io/inventorysystem/html/FP0932.html</t>
  </si>
  <si>
    <t>https://FlowerSystem-lb.github.io/inventorysystem/html/FP0933.html</t>
  </si>
  <si>
    <t>https://FlowerSystem-lb.github.io/inventorysystem/html/FP0934.html</t>
  </si>
  <si>
    <t>https://FlowerSystem-lb.github.io/inventorysystem/html/FP0935.html</t>
  </si>
  <si>
    <t>https://FlowerSystem-lb.github.io/inventorysystem/html/FP0936.html</t>
  </si>
  <si>
    <t>https://FlowerSystem-lb.github.io/inventorysystem/html/FP0937.html</t>
  </si>
  <si>
    <t>https://FlowerSystem-lb.github.io/inventorysystem/html/FP0938.html</t>
  </si>
  <si>
    <t>https://FlowerSystem-lb.github.io/inventorysystem/html/FP0939.html</t>
  </si>
  <si>
    <t>https://FlowerSystem-lb.github.io/inventorysystem/html/FP0940.html</t>
  </si>
  <si>
    <t>https://FlowerSystem-lb.github.io/inventorysystem/html/FP0941.html</t>
  </si>
  <si>
    <t>https://FlowerSystem-lb.github.io/inventorysystem/html/FP0942.html</t>
  </si>
  <si>
    <t>https://FlowerSystem-lb.github.io/inventorysystem/html/FP0943.html</t>
  </si>
  <si>
    <t>https://FlowerSystem-lb.github.io/inventorysystem/html/FP0944.html</t>
  </si>
  <si>
    <t>https://FlowerSystem-lb.github.io/inventorysystem/html/FP0945.html</t>
  </si>
  <si>
    <t>https://FlowerSystem-lb.github.io/inventorysystem/html/FP0946.html</t>
  </si>
  <si>
    <t>https://FlowerSystem-lb.github.io/inventorysystem/html/FP0947.html</t>
  </si>
  <si>
    <t>https://FlowerSystem-lb.github.io/inventorysystem/html/FP0948.html</t>
  </si>
  <si>
    <t>https://FlowerSystem-lb.github.io/inventorysystem/html/FP0949.html</t>
  </si>
  <si>
    <t>https://FlowerSystem-lb.github.io/inventorysystem/html/FP0950.html</t>
  </si>
  <si>
    <t>https://FlowerSystem-lb.github.io/inventorysystem/html/FP0951.html</t>
  </si>
  <si>
    <t>https://FlowerSystem-lb.github.io/inventorysystem/html/FP0952.html</t>
  </si>
  <si>
    <t>https://FlowerSystem-lb.github.io/inventorysystem/html/FP0953.html</t>
  </si>
  <si>
    <t>https://FlowerSystem-lb.github.io/inventorysystem/html/FP0954.html</t>
  </si>
  <si>
    <t>https://FlowerSystem-lb.github.io/inventorysystem/html/FP0955.html</t>
  </si>
  <si>
    <t>https://FlowerSystem-lb.github.io/inventorysystem/html/FP0956.html</t>
  </si>
  <si>
    <t>https://FlowerSystem-lb.github.io/inventorysystem/html/FP0957.html</t>
  </si>
  <si>
    <t>https://FlowerSystem-lb.github.io/inventorysystem/html/FP0958.html</t>
  </si>
  <si>
    <t>https://FlowerSystem-lb.github.io/inventorysystem/html/FP0959.html</t>
  </si>
  <si>
    <t>https://FlowerSystem-lb.github.io/inventorysystem/html/FP0960.html</t>
  </si>
  <si>
    <t>https://FlowerSystem-lb.github.io/inventorysystem/html/FP0961.html</t>
  </si>
  <si>
    <t>https://FlowerSystem-lb.github.io/inventorysystem/html/FP0962.html</t>
  </si>
  <si>
    <t>https://FlowerSystem-lb.github.io/inventorysystem/html/FP0963.html</t>
  </si>
  <si>
    <t>https://FlowerSystem-lb.github.io/inventorysystem/html/FP0964.html</t>
  </si>
  <si>
    <t>https://FlowerSystem-lb.github.io/inventorysystem/html/FP0965.html</t>
  </si>
  <si>
    <t>https://FlowerSystem-lb.github.io/inventorysystem/html/FP0966.html</t>
  </si>
  <si>
    <t>https://FlowerSystem-lb.github.io/inventorysystem/html/FP0967.html</t>
  </si>
  <si>
    <t>https://FlowerSystem-lb.github.io/inventorysystem/html/FP0968.html</t>
  </si>
  <si>
    <t>https://FlowerSystem-lb.github.io/inventorysystem/html/FP0969.html</t>
  </si>
  <si>
    <t>https://FlowerSystem-lb.github.io/inventorysystem/html/FP0970.html</t>
  </si>
  <si>
    <t>https://FlowerSystem-lb.github.io/inventorysystem/html/FP0971.html</t>
  </si>
  <si>
    <t>https://FlowerSystem-lb.github.io/inventorysystem/html/FP0972.html</t>
  </si>
  <si>
    <t>https://FlowerSystem-lb.github.io/inventorysystem/html/FP0973.html</t>
  </si>
  <si>
    <t>https://FlowerSystem-lb.github.io/inventorysystem/html/FP0974.html</t>
  </si>
  <si>
    <t>https://FlowerSystem-lb.github.io/inventorysystem/html/FP0975.html</t>
  </si>
  <si>
    <t>https://FlowerSystem-lb.github.io/inventorysystem/html/FP0976.html</t>
  </si>
  <si>
    <t>https://FlowerSystem-lb.github.io/inventorysystem/html/FP0977.html</t>
  </si>
  <si>
    <t>https://FlowerSystem-lb.github.io/inventorysystem/html/FP0978.html</t>
  </si>
  <si>
    <t>https://FlowerSystem-lb.github.io/inventorysystem/html/FP0979.html</t>
  </si>
  <si>
    <t>https://FlowerSystem-lb.github.io/inventorysystem/html/FP0980.html</t>
  </si>
  <si>
    <t>https://FlowerSystem-lb.github.io/inventorysystem/html/FP0981.html</t>
  </si>
  <si>
    <t>https://FlowerSystem-lb.github.io/inventorysystem/html/FP0982.html</t>
  </si>
  <si>
    <t>https://FlowerSystem-lb.github.io/inventorysystem/html/FP0983.html</t>
  </si>
  <si>
    <t>https://FlowerSystem-lb.github.io/inventorysystem/html/FP0984.html</t>
  </si>
  <si>
    <t>https://FlowerSystem-lb.github.io/inventorysystem/html/FP0985.html</t>
  </si>
  <si>
    <t>https://FlowerSystem-lb.github.io/inventorysystem/html/FP0986.html</t>
  </si>
  <si>
    <t>https://FlowerSystem-lb.github.io/inventorysystem/html/FP0987.html</t>
  </si>
  <si>
    <t>https://FlowerSystem-lb.github.io/inventorysystem/html/FP0988.html</t>
  </si>
  <si>
    <t>https://FlowerSystem-lb.github.io/inventorysystem/html/FP0989.html</t>
  </si>
  <si>
    <t>https://FlowerSystem-lb.github.io/inventorysystem/html/FP0990.html</t>
  </si>
  <si>
    <t>https://FlowerSystem-lb.github.io/inventorysystem/html/FP0991.html</t>
  </si>
  <si>
    <t>https://FlowerSystem-lb.github.io/inventorysystem/html/FP0992.html</t>
  </si>
  <si>
    <t>https://FlowerSystem-lb.github.io/inventorysystem/html/FP0993.html</t>
  </si>
  <si>
    <t>https://FlowerSystem-lb.github.io/inventorysystem/html/FP0994.html</t>
  </si>
  <si>
    <t>https://FlowerSystem-lb.github.io/inventorysystem/html/FP0995.html</t>
  </si>
  <si>
    <t>https://FlowerSystem-lb.github.io/inventorysystem/html/FP0996.html</t>
  </si>
  <si>
    <t>https://FlowerSystem-lb.github.io/inventorysystem/html/FP0997.html</t>
  </si>
  <si>
    <t>https://FlowerSystem-lb.github.io/inventorysystem/html/FP0998.html</t>
  </si>
  <si>
    <t>https://FlowerSystem-lb.github.io/inventorysystem/html/FP0999.html</t>
  </si>
  <si>
    <t>https://FlowerSystem-lb.github.io/inventorysystem/html/FP1000.html</t>
  </si>
  <si>
    <t>Qty</t>
  </si>
  <si>
    <t>Image</t>
  </si>
  <si>
    <t>Flower</t>
  </si>
  <si>
    <t>INVOICE</t>
  </si>
  <si>
    <t>Plus</t>
  </si>
  <si>
    <t>Invoice #:</t>
  </si>
  <si>
    <t xml:space="preserve"> </t>
  </si>
  <si>
    <t>Invoice date:</t>
  </si>
  <si>
    <t>Job:</t>
  </si>
  <si>
    <t>Bill to:</t>
  </si>
  <si>
    <t>Address:</t>
  </si>
  <si>
    <t>Phone:</t>
  </si>
  <si>
    <t>Fax:</t>
  </si>
  <si>
    <t xml:space="preserve">E-Mail Us at info@flower-plus.com | www.flower-plus.com	</t>
  </si>
  <si>
    <t>Category</t>
  </si>
  <si>
    <t>TYPE HERE TO SEARCH</t>
  </si>
  <si>
    <t>fp0003</t>
  </si>
  <si>
    <t>fp0004</t>
  </si>
  <si>
    <t>ConcretePots</t>
  </si>
  <si>
    <t>6cm*7cm</t>
  </si>
  <si>
    <t>7cm*6cm</t>
  </si>
  <si>
    <t>7cm*7cm</t>
  </si>
  <si>
    <t>#Fp-A</t>
  </si>
  <si>
    <t>#Fp-B</t>
  </si>
  <si>
    <t>#Fp-C</t>
  </si>
  <si>
    <t>#Fp-D</t>
  </si>
  <si>
    <t>#Fp-E</t>
  </si>
  <si>
    <t>#Fp-F</t>
  </si>
  <si>
    <t>#Fp-G</t>
  </si>
  <si>
    <t>#Fp-H</t>
  </si>
  <si>
    <t>#Fp-I</t>
  </si>
  <si>
    <t>#Fp-J</t>
  </si>
  <si>
    <t>#Fp-K</t>
  </si>
  <si>
    <t>#Fp-L</t>
  </si>
  <si>
    <t>#Fp-M</t>
  </si>
  <si>
    <t>#Fp-N</t>
  </si>
  <si>
    <t>#Fp-O</t>
  </si>
  <si>
    <t>#Fp-P</t>
  </si>
  <si>
    <t>#Fp-Q</t>
  </si>
  <si>
    <t>#Fp-R</t>
  </si>
  <si>
    <t>#Fp-S</t>
  </si>
  <si>
    <t>#Fp-T</t>
  </si>
  <si>
    <t>#Fp-U</t>
  </si>
  <si>
    <t>#Fp-W</t>
  </si>
  <si>
    <t>#Fp-X</t>
  </si>
  <si>
    <t>#Fp-Y</t>
  </si>
  <si>
    <t>#Fp-Z</t>
  </si>
  <si>
    <t>#Fp-1</t>
  </si>
  <si>
    <t>#Fp-2</t>
  </si>
  <si>
    <t>#Fp-3</t>
  </si>
  <si>
    <t>#Fp-4</t>
  </si>
  <si>
    <t>#Fp-5</t>
  </si>
  <si>
    <t>#Fp-6</t>
  </si>
  <si>
    <t>#Fp-7</t>
  </si>
  <si>
    <t>#Fp-8</t>
  </si>
  <si>
    <t>#Fp-9</t>
  </si>
  <si>
    <t>#Fp-10</t>
  </si>
  <si>
    <t>#Fp-11</t>
  </si>
  <si>
    <t>#Fp-12</t>
  </si>
  <si>
    <t>#Fp-13</t>
  </si>
  <si>
    <t>#Fp-14</t>
  </si>
  <si>
    <t>#Fp-15</t>
  </si>
  <si>
    <t>#Fp-16</t>
  </si>
  <si>
    <t>#Fp-17</t>
  </si>
  <si>
    <t>#Fp-18</t>
  </si>
  <si>
    <t>#Fp-20</t>
  </si>
  <si>
    <t>#Fp-21</t>
  </si>
  <si>
    <t>#Fp-22</t>
  </si>
  <si>
    <t>#Fp-23</t>
  </si>
  <si>
    <t>#Fp-24</t>
  </si>
  <si>
    <t>#Fp-25</t>
  </si>
  <si>
    <t>6cm*5cm</t>
  </si>
  <si>
    <t>6cm*8cm</t>
  </si>
  <si>
    <t>6cm*6cm*9.5cm</t>
  </si>
  <si>
    <t>10cm*8cm</t>
  </si>
  <si>
    <t>6cm*10cm</t>
  </si>
  <si>
    <t>11cm*6.5cm</t>
  </si>
  <si>
    <t>18cm*7cm*6cm</t>
  </si>
  <si>
    <t>8cm*12cm</t>
  </si>
  <si>
    <t>11cm*11cm</t>
  </si>
  <si>
    <t>4cm*13cm</t>
  </si>
  <si>
    <t>6cm*14cm</t>
  </si>
  <si>
    <t>10cm*30cm*10cm</t>
  </si>
  <si>
    <t>13cm*12cm</t>
  </si>
  <si>
    <t>13cm*14cm</t>
  </si>
  <si>
    <t>13cm*13cm</t>
  </si>
  <si>
    <t>8cm*9cm</t>
  </si>
  <si>
    <t>10cm*10cm</t>
  </si>
  <si>
    <t>8cm*19cm</t>
  </si>
  <si>
    <t>9cm*21cm</t>
  </si>
  <si>
    <t>15cm*18cm</t>
  </si>
  <si>
    <t>13cm*7cm</t>
  </si>
  <si>
    <t>22cm*26cm</t>
  </si>
  <si>
    <t>20cm*19cm</t>
  </si>
  <si>
    <t>25cm*22.5cm</t>
  </si>
  <si>
    <t>6cm*11cm</t>
  </si>
  <si>
    <t>14cm*10cm</t>
  </si>
  <si>
    <t>2cm*8cm*15cm</t>
  </si>
  <si>
    <t>2cm*23cm*9cm</t>
  </si>
  <si>
    <t>2cm*19cm*10cm</t>
  </si>
  <si>
    <t>1.5cm*25cm*7cm</t>
  </si>
  <si>
    <t>2cm*4cm</t>
  </si>
  <si>
    <t>3cm*12cm*6cm</t>
  </si>
  <si>
    <t>3cm*18cm*6cm</t>
  </si>
  <si>
    <t>5cm*5cm</t>
  </si>
  <si>
    <t>8cm*2cm</t>
  </si>
  <si>
    <t>11cm*2cm</t>
  </si>
  <si>
    <t>7cm*2cm</t>
  </si>
  <si>
    <t>4cm*4cm</t>
  </si>
  <si>
    <t>3cm*4cm</t>
  </si>
  <si>
    <t>3cm*3cm</t>
  </si>
  <si>
    <t>2cm*3cm</t>
  </si>
  <si>
    <t>8cm+6cm</t>
  </si>
  <si>
    <t>wihte-grey-colors</t>
  </si>
  <si>
    <t>DEPOT-1 &amp; Store</t>
  </si>
  <si>
    <t>fp0001.jpg</t>
  </si>
  <si>
    <t>fp0002.jpg</t>
  </si>
  <si>
    <t>fp0003.jpg</t>
  </si>
  <si>
    <t>fp0004.jpg</t>
  </si>
  <si>
    <t>fp0005.jpg</t>
  </si>
  <si>
    <t>fp0006.jpg</t>
  </si>
  <si>
    <t>fp0007.jpg</t>
  </si>
  <si>
    <t>fp0008.jpg</t>
  </si>
  <si>
    <t>fp0009.jpg</t>
  </si>
  <si>
    <t>fp0010.jpg</t>
  </si>
  <si>
    <t>fp0011.jpg</t>
  </si>
  <si>
    <t>fp0012.jpg</t>
  </si>
  <si>
    <t>fp0013.jpg</t>
  </si>
  <si>
    <t>fp0014.jpg</t>
  </si>
  <si>
    <t>fp0015.jpg</t>
  </si>
  <si>
    <t>fp0016.jpg</t>
  </si>
  <si>
    <t>fp0017.jpg</t>
  </si>
  <si>
    <t>fp0018.jpg</t>
  </si>
  <si>
    <t>fp0019.jpg</t>
  </si>
  <si>
    <t>fp0020.jpg</t>
  </si>
  <si>
    <t>fp0021.jpg</t>
  </si>
  <si>
    <t>fp0022.jpg</t>
  </si>
  <si>
    <t>fp0023.jpg</t>
  </si>
  <si>
    <t>fp0024.jpg</t>
  </si>
  <si>
    <t>fp0025.jpg</t>
  </si>
  <si>
    <t>fp0026.jpg</t>
  </si>
  <si>
    <t>fp0027.jpg</t>
  </si>
  <si>
    <t>fp0028.jpg</t>
  </si>
  <si>
    <t>fp0029.jpg</t>
  </si>
  <si>
    <t>fp0030.jpg</t>
  </si>
  <si>
    <t>fp0031.jpg</t>
  </si>
  <si>
    <t>fp0032.jpg</t>
  </si>
  <si>
    <t>fp0033.jpg</t>
  </si>
  <si>
    <t>fp0034.jpg</t>
  </si>
  <si>
    <t>fp0035.jpg</t>
  </si>
  <si>
    <t>fp0036.jpg</t>
  </si>
  <si>
    <t>fp0037.jpg</t>
  </si>
  <si>
    <t>fp0038.jpg</t>
  </si>
  <si>
    <t>fp0039.jpg</t>
  </si>
  <si>
    <t>fp0040.jpg</t>
  </si>
  <si>
    <t>fp0041.jpg</t>
  </si>
  <si>
    <t>fp0042.jpg</t>
  </si>
  <si>
    <t>fp0043.jpg</t>
  </si>
  <si>
    <t>fp0044.jpg</t>
  </si>
  <si>
    <t>fp0045.jpg</t>
  </si>
  <si>
    <t>fp0046.jpg</t>
  </si>
  <si>
    <t>fp0047.jpg</t>
  </si>
  <si>
    <t>fp0048.jpg</t>
  </si>
  <si>
    <t>fp0049.jpg</t>
  </si>
  <si>
    <t>fp0050.jpg</t>
  </si>
  <si>
    <t>fp0052.jpg</t>
  </si>
  <si>
    <t>fp0053.jpg</t>
  </si>
  <si>
    <t>fp0054.jpg</t>
  </si>
  <si>
    <t>fp0055.jpg</t>
  </si>
  <si>
    <t>fp0056.jpg</t>
  </si>
  <si>
    <t>fp0057.jpg</t>
  </si>
  <si>
    <t>fp0058.jpg</t>
  </si>
  <si>
    <t>fp0059.jpg</t>
  </si>
  <si>
    <t>fp0060.jpg</t>
  </si>
  <si>
    <t>fp0061.jpg</t>
  </si>
  <si>
    <t>fp0062.jpg</t>
  </si>
  <si>
    <t>fp0063.jpg</t>
  </si>
  <si>
    <t>fp0064.jpg</t>
  </si>
  <si>
    <t>fp0065.jpg</t>
  </si>
  <si>
    <t>fp0066.jpg</t>
  </si>
  <si>
    <t>fp0067.jpg</t>
  </si>
  <si>
    <t>fp0068.jpg</t>
  </si>
  <si>
    <t>fp0069.jpg</t>
  </si>
  <si>
    <t>fp0070.jpg</t>
  </si>
  <si>
    <t>fp0071.jpg</t>
  </si>
  <si>
    <t>fp0072.jpg</t>
  </si>
  <si>
    <t>fp0073.jpg</t>
  </si>
  <si>
    <t>fp0074.jpg</t>
  </si>
  <si>
    <t>fp0075.jpg</t>
  </si>
  <si>
    <t>fp0076.jpg</t>
  </si>
  <si>
    <t>fp0077.jpg</t>
  </si>
  <si>
    <t>fp0078.jpg</t>
  </si>
  <si>
    <t>fp0079.jpg</t>
  </si>
  <si>
    <t>fp0080.jpg</t>
  </si>
  <si>
    <t>fp0081.jpg</t>
  </si>
  <si>
    <t>fp0082.jpg</t>
  </si>
  <si>
    <t>fp0083.jpg</t>
  </si>
  <si>
    <t>fp0084.jpg</t>
  </si>
  <si>
    <t>fp0085.jpg</t>
  </si>
  <si>
    <t>fp0086.jpg</t>
  </si>
  <si>
    <t>fp0087.jpg</t>
  </si>
  <si>
    <t>fp0088.jpg</t>
  </si>
  <si>
    <t>fp0089.jpg</t>
  </si>
  <si>
    <t>fp0090.jpg</t>
  </si>
  <si>
    <t>fp0091.jpg</t>
  </si>
  <si>
    <t>fp0092.jpg</t>
  </si>
  <si>
    <t>fp0093.jpg</t>
  </si>
  <si>
    <t>fp0094.jpg</t>
  </si>
  <si>
    <t>fp0095.jpg</t>
  </si>
  <si>
    <t>fp0096.jpg</t>
  </si>
  <si>
    <t>fp0097.jpg</t>
  </si>
  <si>
    <t>fp0098.jpg</t>
  </si>
  <si>
    <t>fp0099.jpg</t>
  </si>
  <si>
    <t>fp0100.jpg</t>
  </si>
  <si>
    <t>fp0101.jpg</t>
  </si>
  <si>
    <t>fp0102.jpg</t>
  </si>
  <si>
    <t>fp0103.jpg</t>
  </si>
  <si>
    <t>fp0104.jpg</t>
  </si>
  <si>
    <t>fp0105.jpg</t>
  </si>
  <si>
    <t>fp0106.jpg</t>
  </si>
  <si>
    <t>fp0107.jpg</t>
  </si>
  <si>
    <t>fp0108.jpg</t>
  </si>
  <si>
    <t>fp0109.jpg</t>
  </si>
  <si>
    <t>fp0110.jpg</t>
  </si>
  <si>
    <t>fp0111.jpg</t>
  </si>
  <si>
    <t>fp0112.jpg</t>
  </si>
  <si>
    <t>fp0113.jpg</t>
  </si>
  <si>
    <t>fp0114.jpg</t>
  </si>
  <si>
    <t>fp0115.jpg</t>
  </si>
  <si>
    <t>fp0116.jpg</t>
  </si>
  <si>
    <t>fp0117.jpg</t>
  </si>
  <si>
    <t>fp0118.jpg</t>
  </si>
  <si>
    <t>fp0119.jpg</t>
  </si>
  <si>
    <t>fp0120.jpg</t>
  </si>
  <si>
    <t>fp0121.jpg</t>
  </si>
  <si>
    <t>fp0122.jpg</t>
  </si>
  <si>
    <t>fp0123.jpg</t>
  </si>
  <si>
    <t>fp0124.jpg</t>
  </si>
  <si>
    <t>fp0125.jpg</t>
  </si>
  <si>
    <t>fp0126.jpg</t>
  </si>
  <si>
    <t>fp0127.jpg</t>
  </si>
  <si>
    <t>fp0128.jpg</t>
  </si>
  <si>
    <t>fp0129.jpg</t>
  </si>
  <si>
    <t>fp0130.jpg</t>
  </si>
  <si>
    <t>fp0131.jpg</t>
  </si>
  <si>
    <t>fp0132.jpg</t>
  </si>
  <si>
    <t>fp0133.jpg</t>
  </si>
  <si>
    <t>fp0134.jpg</t>
  </si>
  <si>
    <t>fp0135.jpg</t>
  </si>
  <si>
    <t>fp0136.jpg</t>
  </si>
  <si>
    <t>fp0137.jpg</t>
  </si>
  <si>
    <t>fp0138.jpg</t>
  </si>
  <si>
    <t>fp0139.jpg</t>
  </si>
  <si>
    <t>fp0140.jpg</t>
  </si>
  <si>
    <t>fp0141.jpg</t>
  </si>
  <si>
    <t>fp0142.jpg</t>
  </si>
  <si>
    <t>fp0143.jpg</t>
  </si>
  <si>
    <t>fp0144.jpg</t>
  </si>
  <si>
    <t>fp0145.jpg</t>
  </si>
  <si>
    <t>fp0146.jpg</t>
  </si>
  <si>
    <t>fp0147.jpg</t>
  </si>
  <si>
    <t>fp0148.jpg</t>
  </si>
  <si>
    <t>fp0149.jpg</t>
  </si>
  <si>
    <t>fp0150.jpg</t>
  </si>
  <si>
    <t>fp0151.jpg</t>
  </si>
  <si>
    <t>fp0152.jpg</t>
  </si>
  <si>
    <t>fp0153.jpg</t>
  </si>
  <si>
    <t>fp0154.jpg</t>
  </si>
  <si>
    <t>fp0155.jpg</t>
  </si>
  <si>
    <t>fp0156.jpg</t>
  </si>
  <si>
    <t>fp0157.jpg</t>
  </si>
  <si>
    <t>fp0158.jpg</t>
  </si>
  <si>
    <t>fp0159.jpg</t>
  </si>
  <si>
    <t>fp0160.jpg</t>
  </si>
  <si>
    <t>fp0161.jpg</t>
  </si>
  <si>
    <t>fp0162.jpg</t>
  </si>
  <si>
    <t>fp0163.jpg</t>
  </si>
  <si>
    <t>fp0164.jpg</t>
  </si>
  <si>
    <t>fp0165.jpg</t>
  </si>
  <si>
    <t>fp0166.jpg</t>
  </si>
  <si>
    <t>fp0167.jpg</t>
  </si>
  <si>
    <t>fp0168.jpg</t>
  </si>
  <si>
    <t>fp0169.jpg</t>
  </si>
  <si>
    <t>fp0170.jpg</t>
  </si>
  <si>
    <t>fp0171.jpg</t>
  </si>
  <si>
    <t>fp0172.jpg</t>
  </si>
  <si>
    <t>fp0173.jpg</t>
  </si>
  <si>
    <t>fp0174.jpg</t>
  </si>
  <si>
    <t>fp0175.jpg</t>
  </si>
  <si>
    <t>fp0176.jpg</t>
  </si>
  <si>
    <t>fp0177.jpg</t>
  </si>
  <si>
    <t>fp0178.jpg</t>
  </si>
  <si>
    <t>fp0179.jpg</t>
  </si>
  <si>
    <t>fp0180.jpg</t>
  </si>
  <si>
    <t>fp0181.jpg</t>
  </si>
  <si>
    <t>fp0182.jpg</t>
  </si>
  <si>
    <t>fp0183.jpg</t>
  </si>
  <si>
    <t>fp0184.jpg</t>
  </si>
  <si>
    <t>fp0185.jpg</t>
  </si>
  <si>
    <t>fp0186.jpg</t>
  </si>
  <si>
    <t>fp0187.jpg</t>
  </si>
  <si>
    <t>fp0188.jpg</t>
  </si>
  <si>
    <t>fp0189.jpg</t>
  </si>
  <si>
    <t>fp0190.jpg</t>
  </si>
  <si>
    <t>fp0191.jpg</t>
  </si>
  <si>
    <t>fp0192.jpg</t>
  </si>
  <si>
    <t>fp0193.jpg</t>
  </si>
  <si>
    <t>fp0194.jpg</t>
  </si>
  <si>
    <t>fp0195.jpg</t>
  </si>
  <si>
    <t>fp0196.jpg</t>
  </si>
  <si>
    <t>fp0197.jpg</t>
  </si>
  <si>
    <t>fp0198.jpg</t>
  </si>
  <si>
    <t>fp0199.jpg</t>
  </si>
  <si>
    <t>fp0200.jpg</t>
  </si>
  <si>
    <t>fp0201.jpg</t>
  </si>
  <si>
    <t>fp0202.jpg</t>
  </si>
  <si>
    <t>fp0203.jpg</t>
  </si>
  <si>
    <t>fp0204.jpg</t>
  </si>
  <si>
    <t>fp0205.jpg</t>
  </si>
  <si>
    <t>fp0206.jpg</t>
  </si>
  <si>
    <t>fp0207.jpg</t>
  </si>
  <si>
    <t>fp0208.jpg</t>
  </si>
  <si>
    <t>fp0209.jpg</t>
  </si>
  <si>
    <t>fp0210.jpg</t>
  </si>
  <si>
    <t>fp0211.jpg</t>
  </si>
  <si>
    <t>fp0212.jpg</t>
  </si>
  <si>
    <t>fp0213.jpg</t>
  </si>
  <si>
    <t>fp0214.jpg</t>
  </si>
  <si>
    <t>fp0215.jpg</t>
  </si>
  <si>
    <t>fp0216.jpg</t>
  </si>
  <si>
    <t>fp0217.jpg</t>
  </si>
  <si>
    <t>fp0218.jpg</t>
  </si>
  <si>
    <t>fp0219.jpg</t>
  </si>
  <si>
    <t>fp0220.jpg</t>
  </si>
  <si>
    <t>fp0221.jpg</t>
  </si>
  <si>
    <t>fp0222.jpg</t>
  </si>
  <si>
    <t>fp0223.jpg</t>
  </si>
  <si>
    <t>fp0224.jpg</t>
  </si>
  <si>
    <t>fp0225.jpg</t>
  </si>
  <si>
    <t>fp0226.jpg</t>
  </si>
  <si>
    <t>fp0227.jpg</t>
  </si>
  <si>
    <t>fp0228.jpg</t>
  </si>
  <si>
    <t>fp0229.jpg</t>
  </si>
  <si>
    <t>fp0230.jpg</t>
  </si>
  <si>
    <t>fp0231.jpg</t>
  </si>
  <si>
    <t>fp0232.jpg</t>
  </si>
  <si>
    <t>fp0233.jpg</t>
  </si>
  <si>
    <t>fp0234.jpg</t>
  </si>
  <si>
    <t>fp0235.jpg</t>
  </si>
  <si>
    <t>fp0236.jpg</t>
  </si>
  <si>
    <t>fp0237.jpg</t>
  </si>
  <si>
    <t>fp0238.jpg</t>
  </si>
  <si>
    <t>fp0239.jpg</t>
  </si>
  <si>
    <t>fp0240.jpg</t>
  </si>
  <si>
    <t>fp0241.jpg</t>
  </si>
  <si>
    <t>fp0242.jpg</t>
  </si>
  <si>
    <t>fp0243.jpg</t>
  </si>
  <si>
    <t>fp0244.jpg</t>
  </si>
  <si>
    <t>fp0245.jpg</t>
  </si>
  <si>
    <t>fp0246.jpg</t>
  </si>
  <si>
    <t>fp0247.jpg</t>
  </si>
  <si>
    <t>fp0248.jpg</t>
  </si>
  <si>
    <t>fp0249.jpg</t>
  </si>
  <si>
    <t>fp0250.jpg</t>
  </si>
  <si>
    <t>fp0251.jpg</t>
  </si>
  <si>
    <t>fp0252.jpg</t>
  </si>
  <si>
    <t>fp0253.jpg</t>
  </si>
  <si>
    <t>fp0254.jpg</t>
  </si>
  <si>
    <t>fp0255.jpg</t>
  </si>
  <si>
    <t>fp0256.jpg</t>
  </si>
  <si>
    <t>fp0257.jpg</t>
  </si>
  <si>
    <t>fp0258.jpg</t>
  </si>
  <si>
    <t>fp0259.jpg</t>
  </si>
  <si>
    <t>fp0260.jpg</t>
  </si>
  <si>
    <t>fp0261.jpg</t>
  </si>
  <si>
    <t>fp0262.jpg</t>
  </si>
  <si>
    <t>fp0263.jpg</t>
  </si>
  <si>
    <t>fp0264.jpg</t>
  </si>
  <si>
    <t>fp0265.jpg</t>
  </si>
  <si>
    <t>fp0266.jpg</t>
  </si>
  <si>
    <t>fp0267.jpg</t>
  </si>
  <si>
    <t>fp0268.jpg</t>
  </si>
  <si>
    <t>fp0269.jpg</t>
  </si>
  <si>
    <t>fp0270.jpg</t>
  </si>
  <si>
    <t>fp0271.jpg</t>
  </si>
  <si>
    <t>fp0272.jpg</t>
  </si>
  <si>
    <t>fp0273.jpg</t>
  </si>
  <si>
    <t>fp0274.jpg</t>
  </si>
  <si>
    <t>fp0275.jpg</t>
  </si>
  <si>
    <t>fp0276.jpg</t>
  </si>
  <si>
    <t>fp0277.jpg</t>
  </si>
  <si>
    <t>fp0278.jpg</t>
  </si>
  <si>
    <t>fp0279.jpg</t>
  </si>
  <si>
    <t>fp0280.jpg</t>
  </si>
  <si>
    <t>fp0281.jpg</t>
  </si>
  <si>
    <t>fp0282.jpg</t>
  </si>
  <si>
    <t>fp0283.jpg</t>
  </si>
  <si>
    <t>fp0284.jpg</t>
  </si>
  <si>
    <t>fp0285.jpg</t>
  </si>
  <si>
    <t>fp0286.jpg</t>
  </si>
  <si>
    <t>fp0287.jpg</t>
  </si>
  <si>
    <t>fp0288.jpg</t>
  </si>
  <si>
    <t>fp0289.jpg</t>
  </si>
  <si>
    <t>fp0290.jpg</t>
  </si>
  <si>
    <t>fp0291.jpg</t>
  </si>
  <si>
    <t>fp0292.jpg</t>
  </si>
  <si>
    <t>fp0293.jpg</t>
  </si>
  <si>
    <t>fp0294.jpg</t>
  </si>
  <si>
    <t>fp0295.jpg</t>
  </si>
  <si>
    <t>fp0296.jpg</t>
  </si>
  <si>
    <t>fp0297.jpg</t>
  </si>
  <si>
    <t>fp0298.jpg</t>
  </si>
  <si>
    <t>fp0299.jpg</t>
  </si>
  <si>
    <t>fp0300.jpg</t>
  </si>
  <si>
    <t>fp0301.jpg</t>
  </si>
  <si>
    <t>fp0302.jpg</t>
  </si>
  <si>
    <t>fp0303.jpg</t>
  </si>
  <si>
    <t>fp0304.jpg</t>
  </si>
  <si>
    <t>fp0305.jpg</t>
  </si>
  <si>
    <t>fp0306.jpg</t>
  </si>
  <si>
    <t>fp0307.jpg</t>
  </si>
  <si>
    <t>fp0308.jpg</t>
  </si>
  <si>
    <t>fp0309.jpg</t>
  </si>
  <si>
    <t>fp0310.jpg</t>
  </si>
  <si>
    <t>fp0311.jpg</t>
  </si>
  <si>
    <t>fp0312.jpg</t>
  </si>
  <si>
    <t>fp0313.jpg</t>
  </si>
  <si>
    <t>fp0314.jpg</t>
  </si>
  <si>
    <t>fp0315.jpg</t>
  </si>
  <si>
    <t>fp0316.jpg</t>
  </si>
  <si>
    <t>fp0317.jpg</t>
  </si>
  <si>
    <t>fp0318.jpg</t>
  </si>
  <si>
    <t>fp0319.jpg</t>
  </si>
  <si>
    <t>fp0320.jpg</t>
  </si>
  <si>
    <t>fp0321.jpg</t>
  </si>
  <si>
    <t>fp0322.jpg</t>
  </si>
  <si>
    <t>fp0323.jpg</t>
  </si>
  <si>
    <t>fp0324.jpg</t>
  </si>
  <si>
    <t>fp0325.jpg</t>
  </si>
  <si>
    <t>fp0326.jpg</t>
  </si>
  <si>
    <t>fp0327.jpg</t>
  </si>
  <si>
    <t>fp0328.jpg</t>
  </si>
  <si>
    <t>fp0329.jpg</t>
  </si>
  <si>
    <t>fp0330.jpg</t>
  </si>
  <si>
    <t>fp0331.jpg</t>
  </si>
  <si>
    <t>fp0332.jpg</t>
  </si>
  <si>
    <t>fp0333.jpg</t>
  </si>
  <si>
    <t>fp0334.jpg</t>
  </si>
  <si>
    <t>fp0335.jpg</t>
  </si>
  <si>
    <t>fp0336.jpg</t>
  </si>
  <si>
    <t>fp0337.jpg</t>
  </si>
  <si>
    <t>fp0338.jpg</t>
  </si>
  <si>
    <t>fp0339.jpg</t>
  </si>
  <si>
    <t>fp0340.jpg</t>
  </si>
  <si>
    <t>fp0341.jpg</t>
  </si>
  <si>
    <t>fp0342.jpg</t>
  </si>
  <si>
    <t>fp0343.jpg</t>
  </si>
  <si>
    <t>fp0344.jpg</t>
  </si>
  <si>
    <t>fp0345.jpg</t>
  </si>
  <si>
    <t>fp0346.jpg</t>
  </si>
  <si>
    <t>fp0347.jpg</t>
  </si>
  <si>
    <t>fp0348.jpg</t>
  </si>
  <si>
    <t>fp0349.jpg</t>
  </si>
  <si>
    <t>fp0350.jpg</t>
  </si>
  <si>
    <t>fp0351.jpg</t>
  </si>
  <si>
    <t>fp0352.jpg</t>
  </si>
  <si>
    <t>fp0353.jpg</t>
  </si>
  <si>
    <t>fp0354.jpg</t>
  </si>
  <si>
    <t>fp0355.jpg</t>
  </si>
  <si>
    <t>fp0356.jpg</t>
  </si>
  <si>
    <t>fp0357.jpg</t>
  </si>
  <si>
    <t>fp0358.jpg</t>
  </si>
  <si>
    <t>fp0359.jpg</t>
  </si>
  <si>
    <t>fp0360.jpg</t>
  </si>
  <si>
    <t>fp0361.jpg</t>
  </si>
  <si>
    <t>fp0362.jpg</t>
  </si>
  <si>
    <t>fp0363.jpg</t>
  </si>
  <si>
    <t>fp0364.jpg</t>
  </si>
  <si>
    <t>fp0365.jpg</t>
  </si>
  <si>
    <t>fp0366.jpg</t>
  </si>
  <si>
    <t>fp0367.jpg</t>
  </si>
  <si>
    <t>fp0368.jpg</t>
  </si>
  <si>
    <t>fp0369.jpg</t>
  </si>
  <si>
    <t>fp0370.jpg</t>
  </si>
  <si>
    <t>fp0371.jpg</t>
  </si>
  <si>
    <t>fp0372.jpg</t>
  </si>
  <si>
    <t>fp0373.jpg</t>
  </si>
  <si>
    <t>fp0374.jpg</t>
  </si>
  <si>
    <t>fp0375.jpg</t>
  </si>
  <si>
    <t>fp0376.jpg</t>
  </si>
  <si>
    <t>fp0377.jpg</t>
  </si>
  <si>
    <t>fp0378.jpg</t>
  </si>
  <si>
    <t>fp0379.jpg</t>
  </si>
  <si>
    <t>fp0380.jpg</t>
  </si>
  <si>
    <t>fp0381.jpg</t>
  </si>
  <si>
    <t>fp0382.jpg</t>
  </si>
  <si>
    <t>fp0383.jpg</t>
  </si>
  <si>
    <t>fp0384.jpg</t>
  </si>
  <si>
    <t>fp0385.jpg</t>
  </si>
  <si>
    <t>fp0386.jpg</t>
  </si>
  <si>
    <t>fp0387.jpg</t>
  </si>
  <si>
    <t>fp0388.jpg</t>
  </si>
  <si>
    <t>fp0389.jpg</t>
  </si>
  <si>
    <t>fp0390.jpg</t>
  </si>
  <si>
    <t>fp0391.jpg</t>
  </si>
  <si>
    <t>fp0392.jpg</t>
  </si>
  <si>
    <t>fp0393.jpg</t>
  </si>
  <si>
    <t>fp0394.jpg</t>
  </si>
  <si>
    <t>fp0395.jpg</t>
  </si>
  <si>
    <t>fp0396.jpg</t>
  </si>
  <si>
    <t>fp0397.jpg</t>
  </si>
  <si>
    <t>fp0398.jpg</t>
  </si>
  <si>
    <t>fp0399.jpg</t>
  </si>
  <si>
    <t>fp0400.jpg</t>
  </si>
  <si>
    <t>fp0401.jpg</t>
  </si>
  <si>
    <t>fp0402.jpg</t>
  </si>
  <si>
    <t>fp0403.jpg</t>
  </si>
  <si>
    <t>fp0404.jpg</t>
  </si>
  <si>
    <t>fp0405.jpg</t>
  </si>
  <si>
    <t>fp0406.jpg</t>
  </si>
  <si>
    <t>fp0407.jpg</t>
  </si>
  <si>
    <t>fp0408.jpg</t>
  </si>
  <si>
    <t>fp0409.jpg</t>
  </si>
  <si>
    <t>fp0410.jpg</t>
  </si>
  <si>
    <t>fp0411.jpg</t>
  </si>
  <si>
    <t>fp0412.jpg</t>
  </si>
  <si>
    <t>fp0413.jpg</t>
  </si>
  <si>
    <t>fp0414.jpg</t>
  </si>
  <si>
    <t>fp0415.jpg</t>
  </si>
  <si>
    <t>fp0416.jpg</t>
  </si>
  <si>
    <t>fp0417.jpg</t>
  </si>
  <si>
    <t>fp0418.jpg</t>
  </si>
  <si>
    <t>fp0419.jpg</t>
  </si>
  <si>
    <t>fp0420.jpg</t>
  </si>
  <si>
    <t>fp0421.jpg</t>
  </si>
  <si>
    <t>fp0422.jpg</t>
  </si>
  <si>
    <t>fp0423.jpg</t>
  </si>
  <si>
    <t>fp0424.jpg</t>
  </si>
  <si>
    <t>fp0425.jpg</t>
  </si>
  <si>
    <t>fp0426.jpg</t>
  </si>
  <si>
    <t>fp0427.jpg</t>
  </si>
  <si>
    <t>fp0428.jpg</t>
  </si>
  <si>
    <t>fp0429.jpg</t>
  </si>
  <si>
    <t>fp0430.jpg</t>
  </si>
  <si>
    <t>fp0431.jpg</t>
  </si>
  <si>
    <t>fp0432.jpg</t>
  </si>
  <si>
    <t>fp0433.jpg</t>
  </si>
  <si>
    <t>fp0434.jpg</t>
  </si>
  <si>
    <t>fp0435.jpg</t>
  </si>
  <si>
    <t>fp0436.jpg</t>
  </si>
  <si>
    <t>fp0437.jpg</t>
  </si>
  <si>
    <t>fp0438.jpg</t>
  </si>
  <si>
    <t>fp0439.jpg</t>
  </si>
  <si>
    <t>fp0440.jpg</t>
  </si>
  <si>
    <t>fp0441.jpg</t>
  </si>
  <si>
    <t>fp0442.jpg</t>
  </si>
  <si>
    <t>fp0443.jpg</t>
  </si>
  <si>
    <t>fp0444.jpg</t>
  </si>
  <si>
    <t>fp0445.jpg</t>
  </si>
  <si>
    <t>fp0446.jpg</t>
  </si>
  <si>
    <t>fp0447.jpg</t>
  </si>
  <si>
    <t>fp0448.jpg</t>
  </si>
  <si>
    <t>fp0449.jpg</t>
  </si>
  <si>
    <t>fp0450.jpg</t>
  </si>
  <si>
    <t>fp0451.jpg</t>
  </si>
  <si>
    <t>fp0452.jpg</t>
  </si>
  <si>
    <t>fp0453.jpg</t>
  </si>
  <si>
    <t>fp0454.jpg</t>
  </si>
  <si>
    <t>fp0455.jpg</t>
  </si>
  <si>
    <t>fp0456.jpg</t>
  </si>
  <si>
    <t>fp0457.jpg</t>
  </si>
  <si>
    <t>fp0458.jpg</t>
  </si>
  <si>
    <t>fp0459.jpg</t>
  </si>
  <si>
    <t>fp0460.jpg</t>
  </si>
  <si>
    <t>fp0461.jpg</t>
  </si>
  <si>
    <t>fp0462.jpg</t>
  </si>
  <si>
    <t>fp0463.jpg</t>
  </si>
  <si>
    <t>fp0464.jpg</t>
  </si>
  <si>
    <t>fp0465.jpg</t>
  </si>
  <si>
    <t>fp0466.jpg</t>
  </si>
  <si>
    <t>fp0467.jpg</t>
  </si>
  <si>
    <t>fp0468.jpg</t>
  </si>
  <si>
    <t>fp0469.jpg</t>
  </si>
  <si>
    <t>fp0470.jpg</t>
  </si>
  <si>
    <t>fp0471.jpg</t>
  </si>
  <si>
    <t>fp0472.jpg</t>
  </si>
  <si>
    <t>fp0473.jpg</t>
  </si>
  <si>
    <t>fp0474.jpg</t>
  </si>
  <si>
    <t>fp0475.jpg</t>
  </si>
  <si>
    <t>fp0476.jpg</t>
  </si>
  <si>
    <t>fp0477.jpg</t>
  </si>
  <si>
    <t>fp0478.jpg</t>
  </si>
  <si>
    <t>fp0479.jpg</t>
  </si>
  <si>
    <t>fp0480.jpg</t>
  </si>
  <si>
    <t>fp0481.jpg</t>
  </si>
  <si>
    <t>fp0482.jpg</t>
  </si>
  <si>
    <t>fp0483.jpg</t>
  </si>
  <si>
    <t>fp0484.jpg</t>
  </si>
  <si>
    <t>fp0485.jpg</t>
  </si>
  <si>
    <t>fp0486.jpg</t>
  </si>
  <si>
    <t>fp0487.jpg</t>
  </si>
  <si>
    <t>fp0488.jpg</t>
  </si>
  <si>
    <t>fp0489.jpg</t>
  </si>
  <si>
    <t>fp0490.jpg</t>
  </si>
  <si>
    <t>fp0491.jpg</t>
  </si>
  <si>
    <t>fp0492.jpg</t>
  </si>
  <si>
    <t>fp0493.jpg</t>
  </si>
  <si>
    <t>fp0494.jpg</t>
  </si>
  <si>
    <t>fp0495.jpg</t>
  </si>
  <si>
    <t>fp0496.jpg</t>
  </si>
  <si>
    <t>fp0497.jpg</t>
  </si>
  <si>
    <t>fp0498.jpg</t>
  </si>
  <si>
    <t>fp0499.jpg</t>
  </si>
  <si>
    <t>fp0500.jpg</t>
  </si>
  <si>
    <t>fp0501.jpg</t>
  </si>
  <si>
    <t>fp0502.jpg</t>
  </si>
  <si>
    <t>fp0503.jpg</t>
  </si>
  <si>
    <t>fp0504.jpg</t>
  </si>
  <si>
    <t>fp0505.jpg</t>
  </si>
  <si>
    <t>fp0506.jpg</t>
  </si>
  <si>
    <t>fp0507.jpg</t>
  </si>
  <si>
    <t>fp0508.jpg</t>
  </si>
  <si>
    <t>fp0509.jpg</t>
  </si>
  <si>
    <t>fp0510.jpg</t>
  </si>
  <si>
    <t>fp0511.jpg</t>
  </si>
  <si>
    <t>fp0512.jpg</t>
  </si>
  <si>
    <t>fp0513.jpg</t>
  </si>
  <si>
    <t>fp0514.jpg</t>
  </si>
  <si>
    <t>fp0515.jpg</t>
  </si>
  <si>
    <t>fp0516.jpg</t>
  </si>
  <si>
    <t>fp0517.jpg</t>
  </si>
  <si>
    <t>fp0518.jpg</t>
  </si>
  <si>
    <t>fp0519.jpg</t>
  </si>
  <si>
    <t>fp0520.jpg</t>
  </si>
  <si>
    <t>fp0521.jpg</t>
  </si>
  <si>
    <t>fp0522.jpg</t>
  </si>
  <si>
    <t>fp0523.jpg</t>
  </si>
  <si>
    <t>fp0524.jpg</t>
  </si>
  <si>
    <t>fp0525.jpg</t>
  </si>
  <si>
    <t>fp0526.jpg</t>
  </si>
  <si>
    <t>fp0527.jpg</t>
  </si>
  <si>
    <t>fp0528.jpg</t>
  </si>
  <si>
    <t>fp0529.jpg</t>
  </si>
  <si>
    <t>fp0530.jpg</t>
  </si>
  <si>
    <t>fp0531.jpg</t>
  </si>
  <si>
    <t>fp0532.jpg</t>
  </si>
  <si>
    <t>fp0533.jpg</t>
  </si>
  <si>
    <t>fp0534.jpg</t>
  </si>
  <si>
    <t>fp0535.jpg</t>
  </si>
  <si>
    <t>fp0536.jpg</t>
  </si>
  <si>
    <t>fp0537.jpg</t>
  </si>
  <si>
    <t>fp0538.jpg</t>
  </si>
  <si>
    <t>fp0539.jpg</t>
  </si>
  <si>
    <t>fp0540.jpg</t>
  </si>
  <si>
    <t>fp0541.jpg</t>
  </si>
  <si>
    <t>fp0542.jpg</t>
  </si>
  <si>
    <t>fp0543.jpg</t>
  </si>
  <si>
    <t>fp0544.jpg</t>
  </si>
  <si>
    <t>fp0545.jpg</t>
  </si>
  <si>
    <t>fp0546.jpg</t>
  </si>
  <si>
    <t>fp0547.jpg</t>
  </si>
  <si>
    <t>fp0548.jpg</t>
  </si>
  <si>
    <t>fp0549.jpg</t>
  </si>
  <si>
    <t>fp0550.jpg</t>
  </si>
  <si>
    <t>fp0551.jpg</t>
  </si>
  <si>
    <t>fp0552.jpg</t>
  </si>
  <si>
    <t>fp0553.jpg</t>
  </si>
  <si>
    <t>fp0554.jpg</t>
  </si>
  <si>
    <t>fp0555.jpg</t>
  </si>
  <si>
    <t>fp0556.jpg</t>
  </si>
  <si>
    <t>fp0557.jpg</t>
  </si>
  <si>
    <t>fp0558.jpg</t>
  </si>
  <si>
    <t>fp0559.jpg</t>
  </si>
  <si>
    <t>fp0560.jpg</t>
  </si>
  <si>
    <t>fp0561.jpg</t>
  </si>
  <si>
    <t>fp0562.jpg</t>
  </si>
  <si>
    <t>fp0563.jpg</t>
  </si>
  <si>
    <t>fp0564.jpg</t>
  </si>
  <si>
    <t>fp0565.jpg</t>
  </si>
  <si>
    <t>fp0566.jpg</t>
  </si>
  <si>
    <t>fp0567.jpg</t>
  </si>
  <si>
    <t>fp0568.jpg</t>
  </si>
  <si>
    <t>fp0569.jpg</t>
  </si>
  <si>
    <t>fp0570.jpg</t>
  </si>
  <si>
    <t>fp0571.jpg</t>
  </si>
  <si>
    <t>fp0572.jpg</t>
  </si>
  <si>
    <t>fp0573.jpg</t>
  </si>
  <si>
    <t>fp0574.jpg</t>
  </si>
  <si>
    <t>fp0575.jpg</t>
  </si>
  <si>
    <t>fp0576.jpg</t>
  </si>
  <si>
    <t>fp0577.jpg</t>
  </si>
  <si>
    <t>fp0578.jpg</t>
  </si>
  <si>
    <t>fp0579.jpg</t>
  </si>
  <si>
    <t>fp0580.jpg</t>
  </si>
  <si>
    <t>fp0581.jpg</t>
  </si>
  <si>
    <t>fp0582.jpg</t>
  </si>
  <si>
    <t>fp0583.jpg</t>
  </si>
  <si>
    <t>fp0584.jpg</t>
  </si>
  <si>
    <t>fp0585.jpg</t>
  </si>
  <si>
    <t>fp0586.jpg</t>
  </si>
  <si>
    <t>fp0587.jpg</t>
  </si>
  <si>
    <t>fp0588.jpg</t>
  </si>
  <si>
    <t>fp0589.jpg</t>
  </si>
  <si>
    <t>fp0590.jpg</t>
  </si>
  <si>
    <t>fp0591.jpg</t>
  </si>
  <si>
    <t>fp0592.jpg</t>
  </si>
  <si>
    <t>fp0593.jpg</t>
  </si>
  <si>
    <t>fp0594.jpg</t>
  </si>
  <si>
    <t>fp0595.jpg</t>
  </si>
  <si>
    <t>fp0596.jpg</t>
  </si>
  <si>
    <t>fp0597.jpg</t>
  </si>
  <si>
    <t>fp0598.jpg</t>
  </si>
  <si>
    <t>fp0599.jpg</t>
  </si>
  <si>
    <t>fp0600.jpg</t>
  </si>
  <si>
    <t>fp0601.jpg</t>
  </si>
  <si>
    <t>fp0602.jpg</t>
  </si>
  <si>
    <t>fp0603.jpg</t>
  </si>
  <si>
    <t>fp0604.jpg</t>
  </si>
  <si>
    <t>fp0605.jpg</t>
  </si>
  <si>
    <t>fp0606.jpg</t>
  </si>
  <si>
    <t>fp0607.jpg</t>
  </si>
  <si>
    <t>fp0608.jpg</t>
  </si>
  <si>
    <t>fp0609.jpg</t>
  </si>
  <si>
    <t>fp0610.jpg</t>
  </si>
  <si>
    <t>fp0611.jpg</t>
  </si>
  <si>
    <t>fp0612.jpg</t>
  </si>
  <si>
    <t>fp0613.jpg</t>
  </si>
  <si>
    <t>fp0614.jpg</t>
  </si>
  <si>
    <t>fp0615.jpg</t>
  </si>
  <si>
    <t>fp0616.jpg</t>
  </si>
  <si>
    <t>fp0617.jpg</t>
  </si>
  <si>
    <t>fp0618.jpg</t>
  </si>
  <si>
    <t>fp0619.jpg</t>
  </si>
  <si>
    <t>fp0620.jpg</t>
  </si>
  <si>
    <t>fp0621.jpg</t>
  </si>
  <si>
    <t>fp0622.jpg</t>
  </si>
  <si>
    <t>fp0623.jpg</t>
  </si>
  <si>
    <t>fp0624.jpg</t>
  </si>
  <si>
    <t>fp0625.jpg</t>
  </si>
  <si>
    <t>fp0626.jpg</t>
  </si>
  <si>
    <t>fp0627.jpg</t>
  </si>
  <si>
    <t>fp0628.jpg</t>
  </si>
  <si>
    <t>fp0629.jpg</t>
  </si>
  <si>
    <t>fp0630.jpg</t>
  </si>
  <si>
    <t>fp0631.jpg</t>
  </si>
  <si>
    <t>fp0632.jpg</t>
  </si>
  <si>
    <t>fp0633.jpg</t>
  </si>
  <si>
    <t>fp0634.jpg</t>
  </si>
  <si>
    <t>fp0635.jpg</t>
  </si>
  <si>
    <t>fp0636.jpg</t>
  </si>
  <si>
    <t>fp0637.jpg</t>
  </si>
  <si>
    <t>fp0638.jpg</t>
  </si>
  <si>
    <t>fp0639.jpg</t>
  </si>
  <si>
    <t>fp0640.jpg</t>
  </si>
  <si>
    <t>fp0641.jpg</t>
  </si>
  <si>
    <t>fp0642.jpg</t>
  </si>
  <si>
    <t>fp0643.jpg</t>
  </si>
  <si>
    <t>fp0644.jpg</t>
  </si>
  <si>
    <t>fp0645.jpg</t>
  </si>
  <si>
    <t>fp0646.jpg</t>
  </si>
  <si>
    <t>fp0647.jpg</t>
  </si>
  <si>
    <t>fp0648.jpg</t>
  </si>
  <si>
    <t>fp0649.jpg</t>
  </si>
  <si>
    <t>fp0650.jpg</t>
  </si>
  <si>
    <t>fp0651.jpg</t>
  </si>
  <si>
    <t>fp0652.jpg</t>
  </si>
  <si>
    <t>fp0653.jpg</t>
  </si>
  <si>
    <t>fp0654.jpg</t>
  </si>
  <si>
    <t>fp0655.jpg</t>
  </si>
  <si>
    <t>fp0656.jpg</t>
  </si>
  <si>
    <t>fp0657.jpg</t>
  </si>
  <si>
    <t>fp0658.jpg</t>
  </si>
  <si>
    <t>fp0659.jpg</t>
  </si>
  <si>
    <t>fp0660.jpg</t>
  </si>
  <si>
    <t>fp0661.jpg</t>
  </si>
  <si>
    <t>fp0662.jpg</t>
  </si>
  <si>
    <t>fp0663.jpg</t>
  </si>
  <si>
    <t>fp0664.jpg</t>
  </si>
  <si>
    <t>fp0665.jpg</t>
  </si>
  <si>
    <t>fp0666.jpg</t>
  </si>
  <si>
    <t>fp0667.jpg</t>
  </si>
  <si>
    <t>fp0668.jpg</t>
  </si>
  <si>
    <t>fp0669.jpg</t>
  </si>
  <si>
    <t>fp0670.jpg</t>
  </si>
  <si>
    <t>fp0671.jpg</t>
  </si>
  <si>
    <t>fp0672.jpg</t>
  </si>
  <si>
    <t>fp0673.jpg</t>
  </si>
  <si>
    <t>fp0674.jpg</t>
  </si>
  <si>
    <t>fp0675.jpg</t>
  </si>
  <si>
    <t>fp0676.jpg</t>
  </si>
  <si>
    <t>fp0677.jpg</t>
  </si>
  <si>
    <t>fp0678.jpg</t>
  </si>
  <si>
    <t>fp0679.jpg</t>
  </si>
  <si>
    <t>fp0680.jpg</t>
  </si>
  <si>
    <t>fp0681.jpg</t>
  </si>
  <si>
    <t>fp0682.jpg</t>
  </si>
  <si>
    <t>fp0683.jpg</t>
  </si>
  <si>
    <t>fp0684.jpg</t>
  </si>
  <si>
    <t>fp0685.jpg</t>
  </si>
  <si>
    <t>fp0686.jpg</t>
  </si>
  <si>
    <t>fp0687.jpg</t>
  </si>
  <si>
    <t>fp0688.jpg</t>
  </si>
  <si>
    <t>fp0689.jpg</t>
  </si>
  <si>
    <t>fp0690.jpg</t>
  </si>
  <si>
    <t>fp0691.jpg</t>
  </si>
  <si>
    <t>fp0692.jpg</t>
  </si>
  <si>
    <t>fp0693.jpg</t>
  </si>
  <si>
    <t>fp0694.jpg</t>
  </si>
  <si>
    <t>fp0695.jpg</t>
  </si>
  <si>
    <t>fp0696.jpg</t>
  </si>
  <si>
    <t>fp0697.jpg</t>
  </si>
  <si>
    <t>fp0698.jpg</t>
  </si>
  <si>
    <t>fp0699.jpg</t>
  </si>
  <si>
    <t>fp0700.jpg</t>
  </si>
  <si>
    <t>fp0701.jpg</t>
  </si>
  <si>
    <t>fp0702.jpg</t>
  </si>
  <si>
    <t>fp0703.jpg</t>
  </si>
  <si>
    <t>fp0704.jpg</t>
  </si>
  <si>
    <t>fp0705.jpg</t>
  </si>
  <si>
    <t>fp0706.jpg</t>
  </si>
  <si>
    <t>fp0707.jpg</t>
  </si>
  <si>
    <t>fp0708.jpg</t>
  </si>
  <si>
    <t>fp0709.jpg</t>
  </si>
  <si>
    <t>fp0710.jpg</t>
  </si>
  <si>
    <t>fp0711.jpg</t>
  </si>
  <si>
    <t>fp0712.jpg</t>
  </si>
  <si>
    <t>fp0713.jpg</t>
  </si>
  <si>
    <t>fp0714.jpg</t>
  </si>
  <si>
    <t>fp0715.jpg</t>
  </si>
  <si>
    <t>fp0716.jpg</t>
  </si>
  <si>
    <t>fp0717.jpg</t>
  </si>
  <si>
    <t>fp0718.jpg</t>
  </si>
  <si>
    <t>fp0719.jpg</t>
  </si>
  <si>
    <t>fp0720.jpg</t>
  </si>
  <si>
    <t>fp0721.jpg</t>
  </si>
  <si>
    <t>fp0722.jpg</t>
  </si>
  <si>
    <t>fp0723.jpg</t>
  </si>
  <si>
    <t>fp0724.jpg</t>
  </si>
  <si>
    <t>fp0725.jpg</t>
  </si>
  <si>
    <t>fp0726.jpg</t>
  </si>
  <si>
    <t>fp0727.jpg</t>
  </si>
  <si>
    <t>fp0728.jpg</t>
  </si>
  <si>
    <t>fp0729.jpg</t>
  </si>
  <si>
    <t>fp0730.jpg</t>
  </si>
  <si>
    <t>fp0731.jpg</t>
  </si>
  <si>
    <t>fp0732.jpg</t>
  </si>
  <si>
    <t>fp0733.jpg</t>
  </si>
  <si>
    <t>fp0734.jpg</t>
  </si>
  <si>
    <t>fp0735.jpg</t>
  </si>
  <si>
    <t>fp0736.jpg</t>
  </si>
  <si>
    <t>fp0737.jpg</t>
  </si>
  <si>
    <t>fp0738.jpg</t>
  </si>
  <si>
    <t>fp0739.jpg</t>
  </si>
  <si>
    <t>fp0740.jpg</t>
  </si>
  <si>
    <t>fp0741.jpg</t>
  </si>
  <si>
    <t>fp0742.jpg</t>
  </si>
  <si>
    <t>fp0743.jpg</t>
  </si>
  <si>
    <t>fp0744.jpg</t>
  </si>
  <si>
    <t>fp0745.jpg</t>
  </si>
  <si>
    <t>fp0746.jpg</t>
  </si>
  <si>
    <t>fp0747.jpg</t>
  </si>
  <si>
    <t>fp0748.jpg</t>
  </si>
  <si>
    <t>fp0749.jpg</t>
  </si>
  <si>
    <t>fp0750.jpg</t>
  </si>
  <si>
    <t>fp0751.jpg</t>
  </si>
  <si>
    <t>fp0752.jpg</t>
  </si>
  <si>
    <t>fp0753.jpg</t>
  </si>
  <si>
    <t>fp0754.jpg</t>
  </si>
  <si>
    <t>fp0755.jpg</t>
  </si>
  <si>
    <t>fp0756.jpg</t>
  </si>
  <si>
    <t>fp0757.jpg</t>
  </si>
  <si>
    <t>fp0758.jpg</t>
  </si>
  <si>
    <t>fp0759.jpg</t>
  </si>
  <si>
    <t>fp0760.jpg</t>
  </si>
  <si>
    <t>fp0761.jpg</t>
  </si>
  <si>
    <t>fp0762.jpg</t>
  </si>
  <si>
    <t>fp0763.jpg</t>
  </si>
  <si>
    <t>fp0764.jpg</t>
  </si>
  <si>
    <t>fp0765.jpg</t>
  </si>
  <si>
    <t>fp0766.jpg</t>
  </si>
  <si>
    <t>fp0767.jpg</t>
  </si>
  <si>
    <t>fp0768.jpg</t>
  </si>
  <si>
    <t>fp0769.jpg</t>
  </si>
  <si>
    <t>fp0770.jpg</t>
  </si>
  <si>
    <t>fp0771.jpg</t>
  </si>
  <si>
    <t>fp0772.jpg</t>
  </si>
  <si>
    <t>fp0773.jpg</t>
  </si>
  <si>
    <t>fp0774.jpg</t>
  </si>
  <si>
    <t>fp0775.jpg</t>
  </si>
  <si>
    <t>fp0776.jpg</t>
  </si>
  <si>
    <t>fp0777.jpg</t>
  </si>
  <si>
    <t>fp0778.jpg</t>
  </si>
  <si>
    <t>fp0779.jpg</t>
  </si>
  <si>
    <t>fp0780.jpg</t>
  </si>
  <si>
    <t>fp0781.jpg</t>
  </si>
  <si>
    <t>fp0782.jpg</t>
  </si>
  <si>
    <t>fp0783.jpg</t>
  </si>
  <si>
    <t>fp0784.jpg</t>
  </si>
  <si>
    <t>fp0785.jpg</t>
  </si>
  <si>
    <t>fp0786.jpg</t>
  </si>
  <si>
    <t>fp0787.jpg</t>
  </si>
  <si>
    <t>fp0788.jpg</t>
  </si>
  <si>
    <t>fp0789.jpg</t>
  </si>
  <si>
    <t>fp0790.jpg</t>
  </si>
  <si>
    <t>fp0791.jpg</t>
  </si>
  <si>
    <t>fp0792.jpg</t>
  </si>
  <si>
    <t>fp0793.jpg</t>
  </si>
  <si>
    <t>fp0794.jpg</t>
  </si>
  <si>
    <t>fp0795.jpg</t>
  </si>
  <si>
    <t>fp0796.jpg</t>
  </si>
  <si>
    <t>fp0797.jpg</t>
  </si>
  <si>
    <t>fp0798.jpg</t>
  </si>
  <si>
    <t>fp0799.jpg</t>
  </si>
  <si>
    <t>fp0800.jpg</t>
  </si>
  <si>
    <t>fp0801.jpg</t>
  </si>
  <si>
    <t>fp0802.jpg</t>
  </si>
  <si>
    <t>fp0803.jpg</t>
  </si>
  <si>
    <t>fp0804.jpg</t>
  </si>
  <si>
    <t>fp0805.jpg</t>
  </si>
  <si>
    <t>fp0806.jpg</t>
  </si>
  <si>
    <t>fp0807.jpg</t>
  </si>
  <si>
    <t>fp0808.jpg</t>
  </si>
  <si>
    <t>fp0809.jpg</t>
  </si>
  <si>
    <t>fp0810.jpg</t>
  </si>
  <si>
    <t>fp0811.jpg</t>
  </si>
  <si>
    <t>fp0812.jpg</t>
  </si>
  <si>
    <t>fp0813.jpg</t>
  </si>
  <si>
    <t>fp0814.jpg</t>
  </si>
  <si>
    <t>fp0815.jpg</t>
  </si>
  <si>
    <t>fp0816.jpg</t>
  </si>
  <si>
    <t>fp0817.jpg</t>
  </si>
  <si>
    <t>fp0818.jpg</t>
  </si>
  <si>
    <t>fp0819.jpg</t>
  </si>
  <si>
    <t>fp0820.jpg</t>
  </si>
  <si>
    <t>fp0821.jpg</t>
  </si>
  <si>
    <t>fp0822.jpg</t>
  </si>
  <si>
    <t>fp0823.jpg</t>
  </si>
  <si>
    <t>fp0824.jpg</t>
  </si>
  <si>
    <t>fp0825.jpg</t>
  </si>
  <si>
    <t>fp0826.jpg</t>
  </si>
  <si>
    <t>fp0827.jpg</t>
  </si>
  <si>
    <t>fp0828.jpg</t>
  </si>
  <si>
    <t>fp0829.jpg</t>
  </si>
  <si>
    <t>fp0830.jpg</t>
  </si>
  <si>
    <t>fp0831.jpg</t>
  </si>
  <si>
    <t>fp0832.jpg</t>
  </si>
  <si>
    <t>fp0833.jpg</t>
  </si>
  <si>
    <t>fp0834.jpg</t>
  </si>
  <si>
    <t>fp0835.jpg</t>
  </si>
  <si>
    <t>fp0836.jpg</t>
  </si>
  <si>
    <t>fp0837.jpg</t>
  </si>
  <si>
    <t>fp0838.jpg</t>
  </si>
  <si>
    <t>fp0839.jpg</t>
  </si>
  <si>
    <t>fp0840.jpg</t>
  </si>
  <si>
    <t>fp0841.jpg</t>
  </si>
  <si>
    <t>fp0842.jpg</t>
  </si>
  <si>
    <t>fp0843.jpg</t>
  </si>
  <si>
    <t>fp0844.jpg</t>
  </si>
  <si>
    <t>fp0845.jpg</t>
  </si>
  <si>
    <t>fp0846.jpg</t>
  </si>
  <si>
    <t>fp0847.jpg</t>
  </si>
  <si>
    <t>fp0848.jpg</t>
  </si>
  <si>
    <t>fp0849.jpg</t>
  </si>
  <si>
    <t>fp0850.jpg</t>
  </si>
  <si>
    <t>fp0851.jpg</t>
  </si>
  <si>
    <t>fp0852.jpg</t>
  </si>
  <si>
    <t>fp0853.jpg</t>
  </si>
  <si>
    <t>fp0854.jpg</t>
  </si>
  <si>
    <t>fp0855.jpg</t>
  </si>
  <si>
    <t>fp0856.jpg</t>
  </si>
  <si>
    <t>fp0857.jpg</t>
  </si>
  <si>
    <t>fp0858.jpg</t>
  </si>
  <si>
    <t>fp0859.jpg</t>
  </si>
  <si>
    <t>fp0860.jpg</t>
  </si>
  <si>
    <t>fp0861.jpg</t>
  </si>
  <si>
    <t>fp0862.jpg</t>
  </si>
  <si>
    <t>fp0863.jpg</t>
  </si>
  <si>
    <t>fp0864.jpg</t>
  </si>
  <si>
    <t>fp0865.jpg</t>
  </si>
  <si>
    <t>fp0866.jpg</t>
  </si>
  <si>
    <t>fp0867.jpg</t>
  </si>
  <si>
    <t>fp0868.jpg</t>
  </si>
  <si>
    <t>fp0869.jpg</t>
  </si>
  <si>
    <t>fp0870.jpg</t>
  </si>
  <si>
    <t>fp0871.jpg</t>
  </si>
  <si>
    <t>fp0872.jpg</t>
  </si>
  <si>
    <t>fp0873.jpg</t>
  </si>
  <si>
    <t>fp0874.jpg</t>
  </si>
  <si>
    <t>fp0875.jpg</t>
  </si>
  <si>
    <t>fp0876.jpg</t>
  </si>
  <si>
    <t>fp0877.jpg</t>
  </si>
  <si>
    <t>fp0878.jpg</t>
  </si>
  <si>
    <t>fp0879.jpg</t>
  </si>
  <si>
    <t>fp0880.jpg</t>
  </si>
  <si>
    <t>fp0881.jpg</t>
  </si>
  <si>
    <t>fp0882.jpg</t>
  </si>
  <si>
    <t>fp0883.jpg</t>
  </si>
  <si>
    <t>fp0884.jpg</t>
  </si>
  <si>
    <t>fp0885.jpg</t>
  </si>
  <si>
    <t>fp0886.jpg</t>
  </si>
  <si>
    <t>fp0887.jpg</t>
  </si>
  <si>
    <t>fp0888.jpg</t>
  </si>
  <si>
    <t>fp0889.jpg</t>
  </si>
  <si>
    <t>fp0890.jpg</t>
  </si>
  <si>
    <t>fp0891.jpg</t>
  </si>
  <si>
    <t>fp0892.jpg</t>
  </si>
  <si>
    <t>fp0893.jpg</t>
  </si>
  <si>
    <t>fp0894.jpg</t>
  </si>
  <si>
    <t>fp0895.jpg</t>
  </si>
  <si>
    <t>fp0896.jpg</t>
  </si>
  <si>
    <t>fp0897.jpg</t>
  </si>
  <si>
    <t>fp0898.jpg</t>
  </si>
  <si>
    <t>fp0899.jpg</t>
  </si>
  <si>
    <t>fp0900.jpg</t>
  </si>
  <si>
    <t>fp0901.jpg</t>
  </si>
  <si>
    <t>fp0902.jpg</t>
  </si>
  <si>
    <t>fp0903.jpg</t>
  </si>
  <si>
    <t>fp0904.jpg</t>
  </si>
  <si>
    <t>fp0905.jpg</t>
  </si>
  <si>
    <t>fp0906.jpg</t>
  </si>
  <si>
    <t>fp0907.jpg</t>
  </si>
  <si>
    <t>fp0908.jpg</t>
  </si>
  <si>
    <t>fp0909.jpg</t>
  </si>
  <si>
    <t>fp0910.jpg</t>
  </si>
  <si>
    <t>fp0911.jpg</t>
  </si>
  <si>
    <t>fp0912.jpg</t>
  </si>
  <si>
    <t>fp0913.jpg</t>
  </si>
  <si>
    <t>fp0914.jpg</t>
  </si>
  <si>
    <t>fp0915.jpg</t>
  </si>
  <si>
    <t>fp0916.jpg</t>
  </si>
  <si>
    <t>fp0917.jpg</t>
  </si>
  <si>
    <t>fp0918.jpg</t>
  </si>
  <si>
    <t>fp0919.jpg</t>
  </si>
  <si>
    <t>fp0920.jpg</t>
  </si>
  <si>
    <t>fp0921.jpg</t>
  </si>
  <si>
    <t>fp0922.jpg</t>
  </si>
  <si>
    <t>fp0923.jpg</t>
  </si>
  <si>
    <t>fp0924.jpg</t>
  </si>
  <si>
    <t>fp0925.jpg</t>
  </si>
  <si>
    <t>fp0926.jpg</t>
  </si>
  <si>
    <t>fp0927.jpg</t>
  </si>
  <si>
    <t>fp0928.jpg</t>
  </si>
  <si>
    <t>fp0929.jpg</t>
  </si>
  <si>
    <t>fp0930.jpg</t>
  </si>
  <si>
    <t>fp0931.jpg</t>
  </si>
  <si>
    <t>fp0932.jpg</t>
  </si>
  <si>
    <t>fp0933.jpg</t>
  </si>
  <si>
    <t>fp0934.jpg</t>
  </si>
  <si>
    <t>fp0935.jpg</t>
  </si>
  <si>
    <t>fp0936.jpg</t>
  </si>
  <si>
    <t>fp0937.jpg</t>
  </si>
  <si>
    <t>fp0938.jpg</t>
  </si>
  <si>
    <t>fp0939.jpg</t>
  </si>
  <si>
    <t>fp0940.jpg</t>
  </si>
  <si>
    <t>fp0941.jpg</t>
  </si>
  <si>
    <t>fp0942.jpg</t>
  </si>
  <si>
    <t>fp0943.jpg</t>
  </si>
  <si>
    <t>fp0944.jpg</t>
  </si>
  <si>
    <t>fp0945.jpg</t>
  </si>
  <si>
    <t>fp0946.jpg</t>
  </si>
  <si>
    <t>fp0947.jpg</t>
  </si>
  <si>
    <t>fp0948.jpg</t>
  </si>
  <si>
    <t>fp0949.jpg</t>
  </si>
  <si>
    <t>fp0950.jpg</t>
  </si>
  <si>
    <t>fp0951.jpg</t>
  </si>
  <si>
    <t>fp0952.jpg</t>
  </si>
  <si>
    <t>fp0953.jpg</t>
  </si>
  <si>
    <t>fp0954.jpg</t>
  </si>
  <si>
    <t>fp0955.jpg</t>
  </si>
  <si>
    <t>fp0956.jpg</t>
  </si>
  <si>
    <t>fp0957.jpg</t>
  </si>
  <si>
    <t>fp0958.jpg</t>
  </si>
  <si>
    <t>fp0959.jpg</t>
  </si>
  <si>
    <t>fp0960.jpg</t>
  </si>
  <si>
    <t>fp0961.jpg</t>
  </si>
  <si>
    <t>fp0962.jpg</t>
  </si>
  <si>
    <t>fp0963.jpg</t>
  </si>
  <si>
    <t>fp0964.jpg</t>
  </si>
  <si>
    <t>fp0965.jpg</t>
  </si>
  <si>
    <t>fp0966.jpg</t>
  </si>
  <si>
    <t>fp0967.jpg</t>
  </si>
  <si>
    <t>fp0968.jpg</t>
  </si>
  <si>
    <t>fp0969.jpg</t>
  </si>
  <si>
    <t>fp0970.jpg</t>
  </si>
  <si>
    <t>fp0971.jpg</t>
  </si>
  <si>
    <t>fp0972.jpg</t>
  </si>
  <si>
    <t>fp0973.jpg</t>
  </si>
  <si>
    <t>fp0974.jpg</t>
  </si>
  <si>
    <t>fp0975.jpg</t>
  </si>
  <si>
    <t>fp0976.jpg</t>
  </si>
  <si>
    <t>fp0977.jpg</t>
  </si>
  <si>
    <t>fp0978.jpg</t>
  </si>
  <si>
    <t>fp0979.jpg</t>
  </si>
  <si>
    <t>fp0980.jpg</t>
  </si>
  <si>
    <t>fp0981.jpg</t>
  </si>
  <si>
    <t>fp0982.jpg</t>
  </si>
  <si>
    <t>fp0983.jpg</t>
  </si>
  <si>
    <t>fp0984.jpg</t>
  </si>
  <si>
    <t>fp0985.jpg</t>
  </si>
  <si>
    <t>fp0986.jpg</t>
  </si>
  <si>
    <t>fp0987.jpg</t>
  </si>
  <si>
    <t>fp0988.jpg</t>
  </si>
  <si>
    <t>fp0989.jpg</t>
  </si>
  <si>
    <t>fp0990.jpg</t>
  </si>
  <si>
    <t>fp0991.jpg</t>
  </si>
  <si>
    <t>fp0992.jpg</t>
  </si>
  <si>
    <t>fp0993.jpg</t>
  </si>
  <si>
    <t>fp0994.jpg</t>
  </si>
  <si>
    <t>fp0995.jpg</t>
  </si>
  <si>
    <t>fp0996.jpg</t>
  </si>
  <si>
    <t>fp0997.jpg</t>
  </si>
  <si>
    <t>fp0998.jpg</t>
  </si>
  <si>
    <t>fp0999.jpg</t>
  </si>
  <si>
    <t>fp1000.jpg</t>
  </si>
  <si>
    <t>a1</t>
  </si>
  <si>
    <t>a2</t>
  </si>
  <si>
    <t>a3</t>
  </si>
  <si>
    <t>a4</t>
  </si>
  <si>
    <t>a5</t>
  </si>
  <si>
    <t>a6</t>
  </si>
  <si>
    <t>a7</t>
  </si>
  <si>
    <t>WhiteC</t>
  </si>
  <si>
    <t>ColorC</t>
  </si>
  <si>
    <t>GreyC</t>
  </si>
  <si>
    <t>PUSH</t>
  </si>
  <si>
    <t>fp0051.jpg</t>
  </si>
  <si>
    <t>glass</t>
  </si>
  <si>
    <t xml:space="preserve">Date </t>
  </si>
  <si>
    <t>Type</t>
  </si>
  <si>
    <t>Note</t>
  </si>
  <si>
    <t>Status</t>
  </si>
  <si>
    <t>broken</t>
  </si>
  <si>
    <t>restock</t>
  </si>
  <si>
    <t>17-4-2026</t>
  </si>
  <si>
    <t>say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</si>
</sst>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44" formatCode="_(&quot;$&quot;* #,##0.00_);_(&quot;$&quot;* \(#,##0.00\);_(&quot;$&quot;* &quot;-&quot;??_);_(@_)"/>
    <numFmt numFmtId="164" formatCode="[&lt;=9999999]###\-####;\(###\)\ ###\-####"/>
    <numFmt numFmtId="165" formatCode="#_)"/>
    <numFmt numFmtId="166" formatCode="&quot;$&quot;#,##0.00"/>
    <numFmt numFmtId="167" formatCode="@\ \ "/>
  </numFmts>
  <fonts count="45">
    <font>
      <sz val="11"/>
      <color theme="1"/>
      <name val="Calibri"/>
      <family val="2"/>
      <scheme val="minor"/>
    </font>
    <font>
      <sz val="8"/>
      <name val="Calibri"/>
      <family val="2"/>
      <scheme val="minor"/>
    </font>
    <font>
      <u/>
      <sz val="11"/>
      <color theme="10"/>
      <name val="Calibri"/>
      <family val="2"/>
      <scheme val="minor"/>
    </font>
    <font>
      <b/>
      <sz val="28"/>
      <color theme="1"/>
      <name val="Arial Black"/>
      <family val="2"/>
    </font>
    <font>
      <sz val="11"/>
      <color theme="1"/>
      <name val="Calibri"/>
      <family val="2"/>
      <scheme val="minor"/>
    </font>
    <font>
      <sz val="18"/>
      <color theme="3"/>
      <name val="Calibri Light"/>
      <family val="2"/>
      <scheme val="major"/>
    </font>
    <font>
      <b/>
      <sz val="15"/>
      <color theme="3"/>
      <name val="Calibri"/>
      <family val="2"/>
      <scheme val="minor"/>
    </font>
    <font>
      <b/>
      <sz val="11"/>
      <color theme="3"/>
      <name val="Calibri"/>
      <family val="2"/>
      <scheme val="minor"/>
    </font>
    <font>
      <b/>
      <sz val="11"/>
      <color theme="1"/>
      <name val="Calibri"/>
      <family val="2"/>
      <scheme val="minor"/>
    </font>
    <font>
      <sz val="12"/>
      <color theme="2" tint="-0.749961851863155"/>
      <name val="Calibri"/>
      <family val="1"/>
      <scheme val="minor"/>
    </font>
    <font>
      <sz val="36"/>
      <color theme="1"/>
      <name val="Calibri"/>
      <family val="1"/>
      <scheme val="minor"/>
    </font>
    <font>
      <sz val="12"/>
      <color theme="1"/>
      <name val="Calibri"/>
      <family val="1"/>
      <scheme val="minor"/>
    </font>
    <font>
      <sz val="48"/>
      <color theme="1"/>
      <name val="Calibri"/>
      <family val="1"/>
      <scheme val="minor"/>
    </font>
    <font>
      <sz val="12"/>
      <color theme="0"/>
      <name val="Calibri"/>
      <family val="1"/>
      <scheme val="minor"/>
    </font>
    <font>
      <sz val="11"/>
      <color theme="2" tint="-0.89996032593768116"/>
      <name val="Calibri"/>
      <family val="2"/>
      <scheme val="minor"/>
    </font>
    <font>
      <sz val="12"/>
      <color theme="2" tint="-0.89996032593768116"/>
      <name val="Calibri"/>
      <family val="1"/>
      <scheme val="minor"/>
    </font>
    <font>
      <sz val="36"/>
      <color theme="2" tint="-0.89996032593768116"/>
      <name val="Calibri"/>
      <family val="1"/>
      <scheme val="minor"/>
    </font>
    <font>
      <sz val="10"/>
      <color theme="1"/>
      <name val="Calibri"/>
      <family val="1"/>
      <scheme val="minor"/>
    </font>
    <font>
      <sz val="12"/>
      <name val="Calibri"/>
      <family val="1"/>
      <scheme val="minor"/>
    </font>
    <font>
      <sz val="11"/>
      <color theme="2" tint="-0.749992370372631"/>
      <name val="Calibri"/>
      <family val="2"/>
      <scheme val="minor"/>
    </font>
    <font>
      <sz val="12"/>
      <color theme="2" tint="-0.749961851863155"/>
      <name val="Calibri"/>
      <family val="2"/>
      <scheme val="minor"/>
    </font>
    <font>
      <sz val="11"/>
      <color theme="2" tint="-0.749961851863155"/>
      <name val="Calibri"/>
      <family val="2"/>
      <scheme val="minor"/>
    </font>
    <font>
      <sz val="48"/>
      <color theme="1"/>
      <name val="Century"/>
      <family val="1"/>
    </font>
    <font>
      <sz val="36"/>
      <color theme="1"/>
      <name val="Arial Black"/>
      <family val="2"/>
    </font>
    <font>
      <sz val="36"/>
      <color theme="2" tint="-0.89996032593768116"/>
      <name val="Arial Black"/>
      <family val="2"/>
    </font>
    <font>
      <sz val="16"/>
      <color theme="1"/>
      <name val="Century Gothic"/>
      <family val="2"/>
    </font>
    <font>
      <b/>
      <sz val="14"/>
      <color theme="4" tint="-0.249977111117893"/>
      <name val="Arial Unicode MS"/>
      <family val="2"/>
    </font>
    <font>
      <b/>
      <sz val="11"/>
      <color theme="1" tint="4.9989318521683403E-2"/>
      <name val="Calibri"/>
      <family val="2"/>
      <scheme val="minor"/>
    </font>
    <font>
      <b/>
      <sz val="11"/>
      <color theme="0"/>
      <name val="Dutch801 XBd BT"/>
      <family val="1"/>
    </font>
    <font>
      <b/>
      <sz val="11"/>
      <color rgb="FFFF0000"/>
      <name val="Calibri"/>
      <family val="2"/>
      <scheme val="minor"/>
    </font>
    <font>
      <b/>
      <sz val="20"/>
      <color theme="5"/>
      <name val="Artifakt Element Heavy"/>
      <family val="2"/>
    </font>
    <font>
      <b/>
      <sz val="36"/>
      <color theme="1"/>
      <name val="Arial Black"/>
      <family val="2"/>
    </font>
    <font>
      <b/>
      <sz val="36"/>
      <color theme="1"/>
      <name val="Artifakt Element Black"/>
      <family val="2"/>
    </font>
    <font>
      <b/>
      <sz val="28"/>
      <color theme="1"/>
      <name val="Calibri"/>
      <family val="2"/>
      <scheme val="minor"/>
    </font>
    <font>
      <u/>
      <sz val="28"/>
      <color theme="10"/>
      <name val="Calibri"/>
      <family val="2"/>
      <scheme val="minor"/>
    </font>
    <font>
      <b/>
      <sz val="20"/>
      <color theme="2" tint="-0.749961851863155"/>
      <name val="Artifakt Element Black"/>
      <family val="2"/>
    </font>
    <font>
      <b/>
      <sz val="20"/>
      <color theme="2" tint="-0.749961851863155"/>
      <name val="Swis721 Blk BT"/>
      <family val="2"/>
    </font>
    <font>
      <sz val="26"/>
      <name val="Arial Black"/>
      <family val="2"/>
    </font>
    <font>
      <sz val="26"/>
      <color theme="1"/>
      <name val="Calibri"/>
      <family val="2"/>
      <scheme val="minor"/>
    </font>
    <font>
      <sz val="26"/>
      <name val="Calibri"/>
      <family val="2"/>
      <scheme val="minor"/>
    </font>
    <font>
      <sz val="28"/>
      <color theme="1"/>
      <name val="Calibri"/>
      <family val="2"/>
      <scheme val="minor"/>
    </font>
    <font>
      <b/>
      <sz val="138"/>
      <color rgb="FFFFFFFF"/>
      <name val="Calibri"/>
      <family val="2"/>
      <scheme val="minor"/>
    </font>
    <font>
      <b/>
      <sz val="16"/>
      <color rgb="FFFF0000"/>
      <name val="Calibri"/>
      <family val="2"/>
      <scheme val="minor"/>
    </font>
    <font>
      <b/>
      <sz val="36"/>
      <name val="Artifakt Element Black"/>
      <family val="2"/>
    </font>
    <font>
      <b/>
      <u/>
      <sz val="72"/>
      <color rgb="FFFF0000"/>
      <name val="Calibri"/>
      <family val="2"/>
      <scheme val="minor"/>
    </font>
  </fonts>
  <fills count="12">
    <fill>
      <patternFill patternType="none"/>
    </fill>
    <fill>
      <patternFill patternType="gray125"/>
    </fill>
    <fill>
      <patternFill patternType="solid">
        <fgColor theme="0" tint="-0.14999847407452621"/>
        <bgColor indexed="64"/>
      </patternFill>
    </fill>
    <fill>
      <patternFill patternType="solid">
        <fgColor theme="4" tint="0.79998168889431442"/>
        <bgColor indexed="64"/>
      </patternFill>
    </fill>
    <fill>
      <patternFill patternType="solid">
        <fgColor rgb="FFFF0000"/>
        <bgColor indexed="64"/>
      </patternFill>
    </fill>
    <fill>
      <patternFill patternType="solid">
        <fgColor theme="4" tint="0.79998168889431442"/>
        <bgColor indexed="65"/>
      </patternFill>
    </fill>
    <fill>
      <patternFill patternType="solid">
        <fgColor theme="4" tint="0.39997558519241921"/>
        <bgColor indexed="65"/>
      </patternFill>
    </fill>
    <fill>
      <patternFill patternType="solid">
        <fgColor theme="0" tint="-0.249977111117893"/>
        <bgColor indexed="64"/>
      </patternFill>
    </fill>
    <fill>
      <patternFill patternType="solid">
        <fgColor theme="3" tint="0.79998168889431442"/>
        <bgColor indexed="64"/>
      </patternFill>
    </fill>
    <fill>
      <patternFill patternType="solid">
        <fgColor theme="2"/>
        <bgColor indexed="64"/>
      </patternFill>
    </fill>
    <fill>
      <patternFill patternType="solid">
        <fgColor theme="0"/>
        <bgColor indexed="64"/>
      </patternFill>
    </fill>
    <fill>
      <patternFill patternType="solid">
        <fgColor theme="4" tint="0.59999389629810485"/>
        <bgColor indexed="64"/>
      </patternFill>
    </fill>
  </fills>
  <borders count="7">
    <border>
      <left/>
      <right/>
      <top/>
      <bottom/>
      <diagonal/>
    </border>
    <border>
      <left/>
      <right/>
      <top/>
      <bottom style="thick">
        <color theme="4"/>
      </bottom>
      <diagonal/>
    </border>
    <border>
      <left/>
      <right/>
      <top/>
      <bottom style="medium">
        <color theme="4" tint="0.39997558519241921"/>
      </bottom>
      <diagonal/>
    </border>
    <border>
      <left/>
      <right/>
      <top style="thin">
        <color theme="4"/>
      </top>
      <bottom style="double">
        <color theme="4"/>
      </bottom>
      <diagonal/>
    </border>
    <border>
      <left style="thin">
        <color theme="1"/>
      </left>
      <right style="thin">
        <color theme="1"/>
      </right>
      <top style="thin">
        <color theme="1"/>
      </top>
      <bottom style="thin">
        <color theme="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s>
  <cellStyleXfs count="14">
    <xf numFmtId="0" fontId="0" fillId="0" borderId="0"/>
    <xf numFmtId="0" fontId="2" fillId="0" borderId="0" applyNumberFormat="0" applyFill="0" applyBorder="0" applyAlignment="0" applyProtection="0"/>
    <xf numFmtId="44" fontId="4" fillId="0" borderId="0" applyFont="0" applyFill="0" applyBorder="0" applyAlignment="0" applyProtection="0"/>
    <xf numFmtId="9" fontId="4" fillId="0" borderId="0" applyFont="0" applyFill="0" applyBorder="0" applyAlignment="0" applyProtection="0"/>
    <xf numFmtId="0" fontId="5" fillId="0" borderId="0" applyNumberFormat="0" applyFill="0" applyBorder="0" applyAlignment="0" applyProtection="0"/>
    <xf numFmtId="0" fontId="6" fillId="0" borderId="1" applyNumberFormat="0" applyFill="0" applyAlignment="0" applyProtection="0"/>
    <xf numFmtId="0" fontId="7" fillId="0" borderId="2" applyNumberFormat="0" applyFill="0" applyAlignment="0" applyProtection="0"/>
    <xf numFmtId="0" fontId="7" fillId="0" borderId="0" applyNumberFormat="0" applyFill="0" applyBorder="0" applyAlignment="0" applyProtection="0"/>
    <xf numFmtId="0" fontId="8" fillId="0" borderId="3" applyNumberFormat="0" applyFill="0" applyAlignment="0" applyProtection="0"/>
    <xf numFmtId="0" fontId="4" fillId="5" borderId="0" applyNumberFormat="0" applyBorder="0" applyAlignment="0" applyProtection="0"/>
    <xf numFmtId="0" fontId="4" fillId="6" borderId="0" applyNumberFormat="0" applyBorder="0" applyAlignment="0" applyProtection="0"/>
    <xf numFmtId="164" fontId="14" fillId="0" borderId="0" applyFont="0" applyFill="0" applyBorder="0" applyAlignment="0">
      <alignment vertical="center"/>
    </xf>
    <xf numFmtId="14" fontId="19" fillId="0" borderId="0" applyFont="0" applyFill="0" applyBorder="0" applyAlignment="0" applyProtection="0">
      <alignment horizontal="left" wrapText="1"/>
    </xf>
    <xf numFmtId="165" fontId="21" fillId="0" borderId="0" applyFont="0" applyFill="0" applyBorder="0">
      <alignment horizontal="right" vertical="center"/>
    </xf>
  </cellStyleXfs>
  <cellXfs count="84">
    <xf numFmtId="0" fontId="0" fillId="0" borderId="0" xfId="0"/>
    <xf numFmtId="0" fontId="9" fillId="7" borderId="0" xfId="0" applyFont="1" applyFill="1" applyAlignment="1">
      <alignment horizontal="left" vertical="center" wrapText="1" indent="1"/>
    </xf>
    <xf numFmtId="0" fontId="10" fillId="7" borderId="0" xfId="4" applyFont="1" applyFill="1" applyBorder="1" applyAlignment="1" applyProtection="1">
      <alignment vertical="center"/>
    </xf>
    <xf numFmtId="0" fontId="11" fillId="7" borderId="0" xfId="4" applyFont="1" applyFill="1" applyBorder="1" applyAlignment="1" applyProtection="1">
      <alignment horizontal="left" vertical="center" indent="2"/>
    </xf>
    <xf numFmtId="0" fontId="12" fillId="7" borderId="0" xfId="4" applyFont="1" applyFill="1" applyBorder="1" applyAlignment="1" applyProtection="1">
      <alignment horizontal="right"/>
    </xf>
    <xf numFmtId="0" fontId="13" fillId="7" borderId="0" xfId="4" applyFont="1" applyFill="1" applyBorder="1" applyAlignment="1" applyProtection="1">
      <alignment vertical="top" wrapText="1"/>
    </xf>
    <xf numFmtId="0" fontId="15" fillId="7" borderId="0" xfId="10" applyFont="1" applyFill="1" applyAlignment="1">
      <alignment vertical="center"/>
    </xf>
    <xf numFmtId="164" fontId="15" fillId="7" borderId="0" xfId="11" applyFont="1" applyFill="1" applyAlignment="1">
      <alignment vertical="center" wrapText="1"/>
    </xf>
    <xf numFmtId="0" fontId="11" fillId="7" borderId="0" xfId="10" applyFont="1" applyFill="1" applyAlignment="1">
      <alignment horizontal="left" vertical="center" wrapText="1"/>
    </xf>
    <xf numFmtId="0" fontId="15" fillId="7" borderId="0" xfId="10" applyFont="1" applyFill="1" applyAlignment="1" applyProtection="1">
      <alignment vertical="center" wrapText="1"/>
    </xf>
    <xf numFmtId="0" fontId="16" fillId="7" borderId="0" xfId="10" applyFont="1" applyFill="1" applyBorder="1" applyAlignment="1">
      <alignment vertical="center" wrapText="1"/>
    </xf>
    <xf numFmtId="164" fontId="15" fillId="7" borderId="0" xfId="11" applyFont="1" applyFill="1" applyBorder="1" applyAlignment="1">
      <alignment vertical="center" wrapText="1"/>
    </xf>
    <xf numFmtId="14" fontId="11" fillId="7" borderId="0" xfId="10" applyNumberFormat="1" applyFont="1" applyFill="1" applyBorder="1" applyAlignment="1">
      <alignment horizontal="left" vertical="center" wrapText="1"/>
    </xf>
    <xf numFmtId="0" fontId="11" fillId="7" borderId="0" xfId="5" applyFont="1" applyFill="1" applyBorder="1" applyAlignment="1" applyProtection="1">
      <alignment vertical="center"/>
    </xf>
    <xf numFmtId="0" fontId="17" fillId="7" borderId="0" xfId="0" applyFont="1" applyFill="1" applyAlignment="1">
      <alignment horizontal="left" vertical="center" wrapText="1" indent="1"/>
    </xf>
    <xf numFmtId="0" fontId="11" fillId="7" borderId="0" xfId="0" applyFont="1" applyFill="1" applyAlignment="1">
      <alignment horizontal="left" vertical="center" wrapText="1" indent="1"/>
    </xf>
    <xf numFmtId="14" fontId="11" fillId="7" borderId="0" xfId="0" applyNumberFormat="1" applyFont="1" applyFill="1" applyAlignment="1">
      <alignment horizontal="left" vertical="center" wrapText="1"/>
    </xf>
    <xf numFmtId="0" fontId="18" fillId="7" borderId="0" xfId="0" applyFont="1" applyFill="1" applyAlignment="1">
      <alignment horizontal="left" vertical="center" wrapText="1" indent="1"/>
    </xf>
    <xf numFmtId="0" fontId="11" fillId="7" borderId="0" xfId="10" applyFont="1" applyFill="1" applyAlignment="1">
      <alignment vertical="center"/>
    </xf>
    <xf numFmtId="0" fontId="11" fillId="7" borderId="0" xfId="10" applyFont="1" applyFill="1" applyAlignment="1">
      <alignment vertical="center" wrapText="1"/>
    </xf>
    <xf numFmtId="14" fontId="11" fillId="7" borderId="0" xfId="12" applyFont="1" applyFill="1" applyAlignment="1">
      <alignment vertical="center" wrapText="1"/>
    </xf>
    <xf numFmtId="0" fontId="18" fillId="7" borderId="0" xfId="0" applyFont="1" applyFill="1" applyAlignment="1">
      <alignment wrapText="1"/>
    </xf>
    <xf numFmtId="0" fontId="11" fillId="7" borderId="0" xfId="0" applyFont="1" applyFill="1" applyAlignment="1">
      <alignment horizontal="left" wrapText="1"/>
    </xf>
    <xf numFmtId="14" fontId="11" fillId="7" borderId="0" xfId="12" applyFont="1" applyFill="1" applyAlignment="1">
      <alignment vertical="center"/>
    </xf>
    <xf numFmtId="0" fontId="11" fillId="7" borderId="0" xfId="0" applyFont="1" applyFill="1" applyAlignment="1">
      <alignment wrapText="1"/>
    </xf>
    <xf numFmtId="0" fontId="11" fillId="7" borderId="0" xfId="0" applyFont="1" applyFill="1" applyAlignment="1">
      <alignment vertical="center" wrapText="1"/>
    </xf>
    <xf numFmtId="0" fontId="11" fillId="7" borderId="0" xfId="1" applyFont="1" applyFill="1" applyAlignment="1" applyProtection="1">
      <alignment horizontal="left" vertical="top" indent="1"/>
    </xf>
    <xf numFmtId="0" fontId="18" fillId="7" borderId="0" xfId="0" applyFont="1" applyFill="1" applyAlignment="1">
      <alignment vertical="center"/>
    </xf>
    <xf numFmtId="0" fontId="11" fillId="7" borderId="0" xfId="7" applyFont="1" applyFill="1" applyAlignment="1" applyProtection="1"/>
    <xf numFmtId="0" fontId="11" fillId="7" borderId="0" xfId="7" applyFont="1" applyFill="1" applyBorder="1" applyAlignment="1" applyProtection="1"/>
    <xf numFmtId="0" fontId="11" fillId="7" borderId="0" xfId="9" applyFont="1" applyFill="1" applyAlignment="1">
      <alignment vertical="top" wrapText="1"/>
    </xf>
    <xf numFmtId="0" fontId="11" fillId="7" borderId="0" xfId="9" applyFont="1" applyFill="1" applyBorder="1" applyAlignment="1">
      <alignment vertical="top" wrapText="1"/>
    </xf>
    <xf numFmtId="0" fontId="11" fillId="7" borderId="0" xfId="6" applyFont="1" applyFill="1" applyBorder="1" applyAlignment="1">
      <alignment horizontal="right" vertical="center" indent="1"/>
    </xf>
    <xf numFmtId="166" fontId="11" fillId="7" borderId="0" xfId="2" applyNumberFormat="1" applyFont="1" applyFill="1" applyBorder="1" applyAlignment="1">
      <alignment horizontal="right" vertical="center" indent="1"/>
    </xf>
    <xf numFmtId="9" fontId="11" fillId="7" borderId="0" xfId="3" applyFont="1" applyFill="1" applyBorder="1" applyAlignment="1">
      <alignment horizontal="right" vertical="center" indent="1"/>
    </xf>
    <xf numFmtId="167" fontId="11" fillId="7" borderId="0" xfId="8" applyNumberFormat="1" applyFont="1" applyFill="1" applyBorder="1" applyAlignment="1" applyProtection="1">
      <alignment horizontal="right" vertical="center"/>
    </xf>
    <xf numFmtId="166" fontId="11" fillId="7" borderId="0" xfId="2" applyNumberFormat="1" applyFont="1" applyFill="1" applyBorder="1" applyAlignment="1" applyProtection="1">
      <alignment horizontal="right" vertical="center" indent="1"/>
    </xf>
    <xf numFmtId="0" fontId="0" fillId="7" borderId="0" xfId="0" applyFill="1"/>
    <xf numFmtId="164" fontId="11" fillId="7" borderId="0" xfId="5" applyNumberFormat="1" applyFont="1" applyFill="1" applyBorder="1" applyAlignment="1">
      <alignment vertical="center"/>
    </xf>
    <xf numFmtId="0" fontId="11" fillId="7" borderId="0" xfId="5" applyFont="1" applyFill="1" applyBorder="1" applyAlignment="1" applyProtection="1">
      <alignment horizontal="left" vertical="top" indent="1"/>
    </xf>
    <xf numFmtId="0" fontId="11" fillId="7" borderId="0" xfId="5" applyFont="1" applyFill="1" applyBorder="1" applyAlignment="1" applyProtection="1">
      <alignment vertical="top"/>
    </xf>
    <xf numFmtId="0" fontId="11" fillId="7" borderId="0" xfId="1" applyFont="1" applyFill="1" applyBorder="1" applyAlignment="1" applyProtection="1">
      <alignment horizontal="left" vertical="center" indent="1"/>
    </xf>
    <xf numFmtId="0" fontId="22" fillId="7" borderId="0" xfId="4" applyFont="1" applyFill="1" applyBorder="1" applyAlignment="1" applyProtection="1">
      <alignment horizontal="right"/>
    </xf>
    <xf numFmtId="0" fontId="25" fillId="7" borderId="0" xfId="1" applyFont="1" applyFill="1" applyAlignment="1">
      <alignment horizontal="right" vertical="center" wrapText="1" indent="2"/>
    </xf>
    <xf numFmtId="0" fontId="25" fillId="7" borderId="0" xfId="1" applyFont="1" applyFill="1" applyBorder="1" applyAlignment="1">
      <alignment horizontal="right" vertical="center" wrapText="1" indent="2"/>
    </xf>
    <xf numFmtId="0" fontId="25" fillId="7" borderId="0" xfId="0" applyFont="1" applyFill="1" applyAlignment="1">
      <alignment horizontal="right" vertical="center" wrapText="1" indent="2"/>
    </xf>
    <xf numFmtId="0" fontId="25" fillId="7" borderId="0" xfId="1" applyFont="1" applyFill="1" applyAlignment="1">
      <alignment vertical="center" wrapText="1"/>
    </xf>
    <xf numFmtId="0" fontId="25" fillId="7" borderId="0" xfId="0" applyFont="1" applyFill="1" applyAlignment="1">
      <alignment horizontal="right" indent="2"/>
    </xf>
    <xf numFmtId="0" fontId="25" fillId="7" borderId="0" xfId="0" applyFont="1" applyFill="1" applyAlignment="1">
      <alignment horizontal="right" wrapText="1" indent="2"/>
    </xf>
    <xf numFmtId="0" fontId="27" fillId="8" borderId="0" xfId="0" applyFont="1" applyFill="1" applyAlignment="1">
      <alignment horizontal="center" vertical="center"/>
    </xf>
    <xf numFmtId="0" fontId="0" fillId="9" borderId="0" xfId="0" applyFill="1"/>
    <xf numFmtId="0" fontId="26" fillId="9" borderId="0" xfId="0" applyFont="1" applyFill="1" applyAlignment="1">
      <alignment horizontal="center" vertical="center"/>
    </xf>
    <xf numFmtId="0" fontId="29" fillId="9" borderId="0" xfId="0" applyFont="1" applyFill="1" applyAlignment="1">
      <alignment horizontal="center" vertical="center" wrapText="1"/>
    </xf>
    <xf numFmtId="0" fontId="30" fillId="9" borderId="0" xfId="0" applyFont="1" applyFill="1" applyAlignment="1">
      <alignment horizontal="center" vertical="center"/>
    </xf>
    <xf numFmtId="0" fontId="31" fillId="4" borderId="0" xfId="0" applyFont="1" applyFill="1" applyAlignment="1">
      <alignment horizontal="center" vertical="center" wrapText="1"/>
    </xf>
    <xf numFmtId="0" fontId="32" fillId="2" borderId="0" xfId="0" applyFont="1" applyFill="1" applyAlignment="1">
      <alignment horizontal="center" vertical="center" wrapText="1"/>
    </xf>
    <xf numFmtId="0" fontId="3" fillId="3" borderId="0" xfId="0" applyFont="1" applyFill="1" applyAlignment="1">
      <alignment horizontal="center" vertical="center" wrapText="1"/>
    </xf>
    <xf numFmtId="0" fontId="33" fillId="0" borderId="0" xfId="0" applyFont="1" applyAlignment="1">
      <alignment horizontal="center" vertical="center" wrapText="1"/>
    </xf>
    <xf numFmtId="0" fontId="34" fillId="0" borderId="0" xfId="1" applyFont="1" applyAlignment="1">
      <alignment horizontal="center" vertical="center" wrapText="1"/>
    </xf>
    <xf numFmtId="166" fontId="20" fillId="10" borderId="4" xfId="2" applyNumberFormat="1" applyFont="1" applyFill="1" applyBorder="1" applyAlignment="1">
      <alignment horizontal="right" vertical="center" indent="1"/>
    </xf>
    <xf numFmtId="0" fontId="28" fillId="7" borderId="5" xfId="0" applyFont="1" applyFill="1" applyBorder="1" applyAlignment="1">
      <alignment horizontal="center" vertical="center"/>
    </xf>
    <xf numFmtId="0" fontId="28" fillId="7" borderId="6" xfId="0" applyFont="1" applyFill="1" applyBorder="1" applyAlignment="1">
      <alignment horizontal="center" vertical="center"/>
    </xf>
    <xf numFmtId="0" fontId="35" fillId="7" borderId="0" xfId="0"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1"/>
    </xf>
    <xf numFmtId="165" fontId="35" fillId="7" borderId="0" xfId="13" applyFont="1" applyFill="1" applyBorder="1" applyAlignment="1">
      <alignment horizontal="right" vertical="center" indent="1"/>
    </xf>
    <xf numFmtId="166" fontId="35" fillId="7" borderId="0" xfId="0" applyNumberFormat="1"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2"/>
    </xf>
    <xf numFmtId="166" fontId="35" fillId="7" borderId="0" xfId="2" applyNumberFormat="1" applyFont="1" applyFill="1" applyBorder="1" applyAlignment="1" applyProtection="1">
      <alignment horizontal="right" vertical="center"/>
    </xf>
    <xf numFmtId="0" fontId="36" fillId="7" borderId="0" xfId="0" applyFont="1" applyFill="1" applyAlignment="1">
      <alignment horizontal="center" vertical="center" wrapText="1"/>
    </xf>
    <xf numFmtId="0" fontId="35" fillId="7" borderId="0" xfId="2" applyNumberFormat="1" applyFont="1" applyFill="1" applyBorder="1" applyAlignment="1" applyProtection="1">
      <alignment horizontal="right" vertical="center" indent="1"/>
    </xf>
    <xf numFmtId="0" fontId="2" fillId="0" borderId="0" xfId="1" applyAlignment="1">
      <alignment horizontal="center" vertical="center" wrapText="1"/>
    </xf>
    <xf numFmtId="0" fontId="37" fillId="0" borderId="0" xfId="0" applyFont="1" applyAlignment="1">
      <alignment horizontal="center" vertical="center" wrapText="1"/>
    </xf>
    <xf numFmtId="0" fontId="38" fillId="0" borderId="0" xfId="0" applyFont="1" applyAlignment="1">
      <alignment horizontal="center" vertical="center" wrapText="1"/>
    </xf>
    <xf numFmtId="0" fontId="39" fillId="0" borderId="0" xfId="0" applyFont="1" applyAlignment="1">
      <alignment horizontal="center" vertical="center" wrapText="1"/>
    </xf>
    <xf numFmtId="0" fontId="40" fillId="0" borderId="0" xfId="0" applyFont="1" applyAlignment="1">
      <alignment horizontal="center" vertical="center" wrapText="1"/>
    </xf>
    <xf numFmtId="0" fontId="41" fillId="0" borderId="0" xfId="0" applyFont="1" applyAlignment="1">
      <alignment horizontal="center" vertical="center"/>
    </xf>
    <xf numFmtId="0" fontId="0" fillId="0" borderId="0" xfId="0" applyAlignment="1">
      <alignment horizontal="center" vertical="center"/>
    </xf>
    <xf numFmtId="0" fontId="42" fillId="0" borderId="0" xfId="0" applyFont="1" applyAlignment="1">
      <alignment horizontal="center" vertical="center"/>
    </xf>
    <xf numFmtId="0" fontId="42" fillId="11" borderId="0" xfId="0" applyFont="1" applyFill="1" applyAlignment="1">
      <alignment horizontal="center" vertical="center"/>
    </xf>
    <xf numFmtId="0" fontId="43" fillId="2" borderId="0" xfId="0" applyFont="1" applyFill="1" applyAlignment="1">
      <alignment horizontal="center" vertical="center" wrapText="1"/>
    </xf>
    <xf numFmtId="0" fontId="44" fillId="0" borderId="0" xfId="0" applyFont="1" applyAlignment="1">
      <alignment horizontal="center" vertical="center" wrapText="1"/>
    </xf>
    <xf numFmtId="0" fontId="23" fillId="7" borderId="0" xfId="4" applyFont="1" applyFill="1" applyBorder="1" applyAlignment="1" applyProtection="1">
      <alignment horizontal="left"/>
    </xf>
    <xf numFmtId="0" fontId="24" fillId="7" borderId="0" xfId="10" applyFont="1" applyFill="1" applyBorder="1" applyAlignment="1">
      <alignment horizontal="left" vertical="center" wrapText="1"/>
    </xf>
    <xf numFmtId="0" fontId="11" fillId="7" borderId="0" xfId="0" applyFont="1" applyFill="1" applyAlignment="1">
      <alignment horizontal="center" vertical="center" wrapText="1"/>
    </xf>
  </cellXfs>
  <cellStyles count="14">
    <cellStyle name="20% - Accent1" xfId="9" builtinId="30"/>
    <cellStyle name="60% - Accent1" xfId="10" builtinId="32"/>
    <cellStyle name="Currency" xfId="2" builtinId="4"/>
    <cellStyle name="Date" xfId="12" xr:uid="{E61A628F-9714-4DA5-9A70-04669ED71862}"/>
    <cellStyle name="Heading 1" xfId="5" builtinId="16"/>
    <cellStyle name="Heading 3" xfId="6" builtinId="18"/>
    <cellStyle name="Heading 4" xfId="7" builtinId="19"/>
    <cellStyle name="Hyperlink" xfId="1" builtinId="8"/>
    <cellStyle name="Normal" xfId="0" builtinId="0"/>
    <cellStyle name="Percent" xfId="3" builtinId="5"/>
    <cellStyle name="Phone" xfId="11" xr:uid="{DA790374-FF98-4540-80E8-0CE3BC950A78}"/>
    <cellStyle name="Quantity" xfId="13" xr:uid="{4A993F20-801A-4158-B5D2-A8EDF067522B}"/>
    <cellStyle name="Title" xfId="4" builtinId="15"/>
    <cellStyle name="Total" xfId="8" builtinId="25"/>
  </cellStyles>
  <dxfs count="13">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Swis721 Blk BT"/>
        <family val="2"/>
        <scheme val="none"/>
      </font>
      <fill>
        <patternFill>
          <fgColor indexed="64"/>
          <bgColor theme="0" tint="-0.249977111117893"/>
        </patternFill>
      </fill>
      <alignment horizontal="center" vertical="center" textRotation="0" wrapText="1" indent="0" justifyLastLine="0" shrinkToFit="0" readingOrder="0"/>
    </dxf>
    <dxf>
      <font>
        <b/>
        <i val="0"/>
      </font>
    </dxf>
    <dxf>
      <font>
        <b/>
        <i val="0"/>
        <color theme="4" tint="-0.499984740745262"/>
      </font>
      <border>
        <left style="thin">
          <color theme="4"/>
        </left>
        <right style="thin">
          <color theme="4"/>
        </right>
        <top style="double">
          <color theme="4"/>
        </top>
        <bottom style="thin">
          <color theme="4"/>
        </bottom>
      </border>
    </dxf>
    <dxf>
      <font>
        <b/>
        <i val="0"/>
        <strike val="0"/>
        <color theme="2"/>
      </font>
      <fill>
        <patternFill>
          <bgColor theme="1"/>
        </patternFill>
      </fill>
      <border>
        <left style="thin">
          <color theme="1"/>
        </left>
        <right style="thin">
          <color theme="1"/>
        </right>
        <top style="thin">
          <color theme="1"/>
        </top>
        <bottom style="thin">
          <color theme="1"/>
        </bottom>
        <vertical/>
        <horizontal/>
      </border>
    </dxf>
    <dxf>
      <font>
        <b val="0"/>
        <i val="0"/>
        <color auto="1"/>
      </font>
      <fill>
        <patternFill>
          <bgColor theme="3"/>
        </patternFill>
      </fill>
      <border>
        <left style="thin">
          <color theme="1"/>
        </left>
        <right style="thin">
          <color theme="1"/>
        </right>
        <top style="thin">
          <color theme="1"/>
        </top>
        <bottom style="thin">
          <color theme="1"/>
        </bottom>
        <vertical style="thin">
          <color theme="1"/>
        </vertical>
        <horizontal style="thin">
          <color theme="1"/>
        </horizontal>
      </border>
    </dxf>
  </dxfs>
  <tableStyles count="1" defaultTableStyle="TableStyleMedium2" defaultPivotStyle="PivotStyleLight16">
    <tableStyle name="Invoice" pivot="0" count="4" xr9:uid="{C4FF8346-2741-4E0D-A566-FF6654091C79}">
      <tableStyleElement type="wholeTable" dxfId="12"/>
      <tableStyleElement type="headerRow" dxfId="11"/>
      <tableStyleElement type="totalRow" dxfId="10"/>
      <tableStyleElement type="firstColumn" dxfId="9"/>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externalLink" Target="externalLinks/externalLink1.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s>
</file>

<file path=xl/drawings/_rels/drawing1.xml.rels><?xml version="1.0" encoding="UTF-8" standalone="yes"?>
<Relationships xmlns="http://schemas.openxmlformats.org/package/2006/relationships"><Relationship Id="rId117" Type="http://schemas.openxmlformats.org/officeDocument/2006/relationships/image" Target="file:///C:\InventorySystem\qr\FP0124.png" TargetMode="External"/><Relationship Id="rId299" Type="http://schemas.openxmlformats.org/officeDocument/2006/relationships/image" Target="file:///C:\InventorySystem\qr\FP0306.png" TargetMode="External"/><Relationship Id="rId21" Type="http://schemas.openxmlformats.org/officeDocument/2006/relationships/image" Target="file:///C:\InventorySystem\qr\FP0027.png" TargetMode="External"/><Relationship Id="rId63" Type="http://schemas.openxmlformats.org/officeDocument/2006/relationships/image" Target="file:///C:\InventorySystem\qr\FP0070.png" TargetMode="External"/><Relationship Id="rId159" Type="http://schemas.openxmlformats.org/officeDocument/2006/relationships/image" Target="file:///C:\InventorySystem\qr\FP0166.png" TargetMode="External"/><Relationship Id="rId324" Type="http://schemas.openxmlformats.org/officeDocument/2006/relationships/image" Target="file:///C:\InventorySystem\qr\FP0331.png" TargetMode="External"/><Relationship Id="rId366" Type="http://schemas.openxmlformats.org/officeDocument/2006/relationships/image" Target="file:///C:\InventorySystem\qr\FP0373.png" TargetMode="External"/><Relationship Id="rId170" Type="http://schemas.openxmlformats.org/officeDocument/2006/relationships/image" Target="file:///C:\InventorySystem\qr\FP0177.png" TargetMode="External"/><Relationship Id="rId226" Type="http://schemas.openxmlformats.org/officeDocument/2006/relationships/image" Target="file:///C:\InventorySystem\qr\FP0233.png" TargetMode="External"/><Relationship Id="rId433" Type="http://schemas.openxmlformats.org/officeDocument/2006/relationships/image" Target="file:///C:\InventorySystem\qr\FP0440.png" TargetMode="External"/><Relationship Id="rId268" Type="http://schemas.openxmlformats.org/officeDocument/2006/relationships/image" Target="file:///C:\InventorySystem\qr\FP0275.png" TargetMode="External"/><Relationship Id="rId475" Type="http://schemas.openxmlformats.org/officeDocument/2006/relationships/image" Target="file:///C:\InventorySystem\qr\FP0482.png" TargetMode="External"/><Relationship Id="rId32" Type="http://schemas.openxmlformats.org/officeDocument/2006/relationships/image" Target="file:///C:\InventorySystem\qr\FP0039.png" TargetMode="External"/><Relationship Id="rId74" Type="http://schemas.openxmlformats.org/officeDocument/2006/relationships/image" Target="file:///C:\InventorySystem\qr\FP0081.png" TargetMode="External"/><Relationship Id="rId128" Type="http://schemas.openxmlformats.org/officeDocument/2006/relationships/image" Target="file:///C:\InventorySystem\qr\FP0135.png" TargetMode="External"/><Relationship Id="rId335" Type="http://schemas.openxmlformats.org/officeDocument/2006/relationships/image" Target="file:///C:\InventorySystem\qr\FP0342.png" TargetMode="External"/><Relationship Id="rId377" Type="http://schemas.openxmlformats.org/officeDocument/2006/relationships/image" Target="file:///C:\InventorySystem\qr\FP0384.png" TargetMode="External"/><Relationship Id="rId500" Type="http://schemas.openxmlformats.org/officeDocument/2006/relationships/image" Target="file:///C:\InventorySystem\qr\FP0001.png" TargetMode="External"/><Relationship Id="rId5" Type="http://schemas.openxmlformats.org/officeDocument/2006/relationships/image" Target="file:///C:\InventorySystem\qr\FP0011.png" TargetMode="External"/><Relationship Id="rId181" Type="http://schemas.openxmlformats.org/officeDocument/2006/relationships/image" Target="file:///C:\InventorySystem\qr\FP0188.png" TargetMode="External"/><Relationship Id="rId237" Type="http://schemas.openxmlformats.org/officeDocument/2006/relationships/image" Target="file:///C:\InventorySystem\qr\FP0244.png" TargetMode="External"/><Relationship Id="rId402" Type="http://schemas.openxmlformats.org/officeDocument/2006/relationships/image" Target="file:///C:\InventorySystem\qr\FP0409.png" TargetMode="External"/><Relationship Id="rId279" Type="http://schemas.openxmlformats.org/officeDocument/2006/relationships/image" Target="file:///C:\InventorySystem\qr\FP0286.png" TargetMode="External"/><Relationship Id="rId444" Type="http://schemas.openxmlformats.org/officeDocument/2006/relationships/image" Target="file:///C:\InventorySystem\qr\FP0451.png" TargetMode="External"/><Relationship Id="rId486" Type="http://schemas.openxmlformats.org/officeDocument/2006/relationships/image" Target="file:///C:\InventorySystem\qr\FP0493.png" TargetMode="External"/><Relationship Id="rId43" Type="http://schemas.openxmlformats.org/officeDocument/2006/relationships/image" Target="file:///C:\InventorySystem\qr\FP0050.png" TargetMode="External"/><Relationship Id="rId139" Type="http://schemas.openxmlformats.org/officeDocument/2006/relationships/image" Target="file:///C:\InventorySystem\qr\FP0146.png" TargetMode="External"/><Relationship Id="rId290" Type="http://schemas.openxmlformats.org/officeDocument/2006/relationships/image" Target="file:///C:\InventorySystem\qr\FP0297.png" TargetMode="External"/><Relationship Id="rId304" Type="http://schemas.openxmlformats.org/officeDocument/2006/relationships/image" Target="file:///C:\InventorySystem\qr\FP0311.png" TargetMode="External"/><Relationship Id="rId346" Type="http://schemas.openxmlformats.org/officeDocument/2006/relationships/image" Target="file:///C:\InventorySystem\qr\FP0353.png" TargetMode="External"/><Relationship Id="rId388" Type="http://schemas.openxmlformats.org/officeDocument/2006/relationships/image" Target="file:///C:\InventorySystem\qr\FP0395.png" TargetMode="External"/><Relationship Id="rId85" Type="http://schemas.openxmlformats.org/officeDocument/2006/relationships/image" Target="file:///C:\InventorySystem\qr\FP0092.png" TargetMode="External"/><Relationship Id="rId150" Type="http://schemas.openxmlformats.org/officeDocument/2006/relationships/image" Target="file:///C:\InventorySystem\qr\FP0157.png" TargetMode="External"/><Relationship Id="rId192" Type="http://schemas.openxmlformats.org/officeDocument/2006/relationships/image" Target="file:///C:\InventorySystem\qr\FP0199.png" TargetMode="External"/><Relationship Id="rId206" Type="http://schemas.openxmlformats.org/officeDocument/2006/relationships/image" Target="file:///C:\InventorySystem\qr\FP0213.png" TargetMode="External"/><Relationship Id="rId413" Type="http://schemas.openxmlformats.org/officeDocument/2006/relationships/image" Target="file:///C:\InventorySystem\qr\FP0420.png" TargetMode="External"/><Relationship Id="rId248" Type="http://schemas.openxmlformats.org/officeDocument/2006/relationships/image" Target="file:///C:\InventorySystem\qr\FP0255.png" TargetMode="External"/><Relationship Id="rId455" Type="http://schemas.openxmlformats.org/officeDocument/2006/relationships/image" Target="file:///C:\InventorySystem\qr\FP0462.png" TargetMode="External"/><Relationship Id="rId497" Type="http://schemas.openxmlformats.org/officeDocument/2006/relationships/image" Target="file:///C:\InventorySystem\qr\FP0003.png" TargetMode="External"/><Relationship Id="rId12" Type="http://schemas.openxmlformats.org/officeDocument/2006/relationships/image" Target="file:///C:\InventorySystem\qr\FP0018.png" TargetMode="External"/><Relationship Id="rId108" Type="http://schemas.openxmlformats.org/officeDocument/2006/relationships/image" Target="file:///C:\InventorySystem\qr\FP0115.png" TargetMode="External"/><Relationship Id="rId315" Type="http://schemas.openxmlformats.org/officeDocument/2006/relationships/image" Target="file:///C:\InventorySystem\qr\FP0322.png" TargetMode="External"/><Relationship Id="rId357" Type="http://schemas.openxmlformats.org/officeDocument/2006/relationships/image" Target="file:///C:\InventorySystem\qr\FP0364.png" TargetMode="External"/><Relationship Id="rId54" Type="http://schemas.openxmlformats.org/officeDocument/2006/relationships/image" Target="file:///C:\InventorySystem\qr\FP0061.png" TargetMode="External"/><Relationship Id="rId96" Type="http://schemas.openxmlformats.org/officeDocument/2006/relationships/image" Target="file:///C:\InventorySystem\qr\FP0103.png" TargetMode="External"/><Relationship Id="rId161" Type="http://schemas.openxmlformats.org/officeDocument/2006/relationships/image" Target="file:///C:\InventorySystem\qr\FP0168.png" TargetMode="External"/><Relationship Id="rId217" Type="http://schemas.openxmlformats.org/officeDocument/2006/relationships/image" Target="file:///C:\InventorySystem\qr\FP0224.png" TargetMode="External"/><Relationship Id="rId399" Type="http://schemas.openxmlformats.org/officeDocument/2006/relationships/image" Target="file:///C:\InventorySystem\qr\FP0406.png" TargetMode="External"/><Relationship Id="rId259" Type="http://schemas.openxmlformats.org/officeDocument/2006/relationships/image" Target="file:///C:\InventorySystem\qr\FP0266.png" TargetMode="External"/><Relationship Id="rId424" Type="http://schemas.openxmlformats.org/officeDocument/2006/relationships/image" Target="file:///C:\InventorySystem\qr\FP0431.png" TargetMode="External"/><Relationship Id="rId466" Type="http://schemas.openxmlformats.org/officeDocument/2006/relationships/image" Target="file:///C:\InventorySystem\qr\FP0473.png" TargetMode="External"/><Relationship Id="rId23" Type="http://schemas.openxmlformats.org/officeDocument/2006/relationships/image" Target="file:///C:\InventorySystem\qr\FP0029.png" TargetMode="External"/><Relationship Id="rId119" Type="http://schemas.openxmlformats.org/officeDocument/2006/relationships/image" Target="file:///C:\InventorySystem\qr\FP0126.png" TargetMode="External"/><Relationship Id="rId270" Type="http://schemas.openxmlformats.org/officeDocument/2006/relationships/image" Target="file:///C:\InventorySystem\qr\FP0277.png" TargetMode="External"/><Relationship Id="rId326" Type="http://schemas.openxmlformats.org/officeDocument/2006/relationships/image" Target="file:///C:\InventorySystem\qr\FP0333.png" TargetMode="External"/><Relationship Id="rId65" Type="http://schemas.openxmlformats.org/officeDocument/2006/relationships/image" Target="file:///C:\InventorySystem\qr\FP0072.png" TargetMode="External"/><Relationship Id="rId130" Type="http://schemas.openxmlformats.org/officeDocument/2006/relationships/image" Target="file:///C:\InventorySystem\qr\FP0137.png" TargetMode="External"/><Relationship Id="rId368" Type="http://schemas.openxmlformats.org/officeDocument/2006/relationships/image" Target="file:///C:\InventorySystem\qr\FP0375.png" TargetMode="External"/><Relationship Id="rId172" Type="http://schemas.openxmlformats.org/officeDocument/2006/relationships/image" Target="file:///C:\InventorySystem\qr\FP0179.png" TargetMode="External"/><Relationship Id="rId228" Type="http://schemas.openxmlformats.org/officeDocument/2006/relationships/image" Target="file:///C:\InventorySystem\qr\FP0235.png" TargetMode="External"/><Relationship Id="rId435" Type="http://schemas.openxmlformats.org/officeDocument/2006/relationships/image" Target="file:///C:\InventorySystem\qr\FP0442.png" TargetMode="External"/><Relationship Id="rId477" Type="http://schemas.openxmlformats.org/officeDocument/2006/relationships/image" Target="file:///C:\InventorySystem\qr\FP0484.png" TargetMode="External"/><Relationship Id="rId281" Type="http://schemas.openxmlformats.org/officeDocument/2006/relationships/image" Target="file:///C:\InventorySystem\qr\FP0288.png" TargetMode="External"/><Relationship Id="rId337" Type="http://schemas.openxmlformats.org/officeDocument/2006/relationships/image" Target="file:///C:\InventorySystem\qr\FP0344.png" TargetMode="External"/><Relationship Id="rId34" Type="http://schemas.openxmlformats.org/officeDocument/2006/relationships/image" Target="file:///C:\InventorySystem\qr\FP0041.png" TargetMode="External"/><Relationship Id="rId76" Type="http://schemas.openxmlformats.org/officeDocument/2006/relationships/image" Target="file:///C:\InventorySystem\qr\FP0083.png" TargetMode="External"/><Relationship Id="rId141" Type="http://schemas.openxmlformats.org/officeDocument/2006/relationships/image" Target="file:///C:\InventorySystem\qr\FP0148.png" TargetMode="External"/><Relationship Id="rId379" Type="http://schemas.openxmlformats.org/officeDocument/2006/relationships/image" Target="file:///C:\InventorySystem\qr\FP0386.png" TargetMode="External"/><Relationship Id="rId7" Type="http://schemas.openxmlformats.org/officeDocument/2006/relationships/image" Target="file:///C:\InventorySystem\qr\FP0013.png" TargetMode="External"/><Relationship Id="rId183" Type="http://schemas.openxmlformats.org/officeDocument/2006/relationships/image" Target="file:///C:\InventorySystem\qr\FP0190.png" TargetMode="External"/><Relationship Id="rId239" Type="http://schemas.openxmlformats.org/officeDocument/2006/relationships/image" Target="file:///C:\InventorySystem\qr\FP0246.png" TargetMode="External"/><Relationship Id="rId390" Type="http://schemas.openxmlformats.org/officeDocument/2006/relationships/image" Target="file:///C:\InventorySystem\qr\FP0397.png" TargetMode="External"/><Relationship Id="rId404" Type="http://schemas.openxmlformats.org/officeDocument/2006/relationships/image" Target="file:///C:\InventorySystem\qr\FP0411.png" TargetMode="External"/><Relationship Id="rId446" Type="http://schemas.openxmlformats.org/officeDocument/2006/relationships/image" Target="file:///C:\InventorySystem\qr\FP0453.png" TargetMode="External"/><Relationship Id="rId250" Type="http://schemas.openxmlformats.org/officeDocument/2006/relationships/image" Target="file:///C:\InventorySystem\qr\FP0257.png" TargetMode="External"/><Relationship Id="rId292" Type="http://schemas.openxmlformats.org/officeDocument/2006/relationships/image" Target="file:///C:\InventorySystem\qr\FP0299.png" TargetMode="External"/><Relationship Id="rId306" Type="http://schemas.openxmlformats.org/officeDocument/2006/relationships/image" Target="file:///C:\InventorySystem\qr\FP0313.png" TargetMode="External"/><Relationship Id="rId488" Type="http://schemas.openxmlformats.org/officeDocument/2006/relationships/image" Target="file:///C:\InventorySystem\qr\FP0495.png" TargetMode="External"/><Relationship Id="rId45" Type="http://schemas.openxmlformats.org/officeDocument/2006/relationships/image" Target="file:///C:\InventorySystem\qr\FP0052.png" TargetMode="External"/><Relationship Id="rId87" Type="http://schemas.openxmlformats.org/officeDocument/2006/relationships/image" Target="file:///C:\InventorySystem\qr\FP0094.png" TargetMode="External"/><Relationship Id="rId110" Type="http://schemas.openxmlformats.org/officeDocument/2006/relationships/image" Target="file:///C:\InventorySystem\qr\FP0117.png" TargetMode="External"/><Relationship Id="rId348" Type="http://schemas.openxmlformats.org/officeDocument/2006/relationships/image" Target="file:///C:\InventorySystem\qr\FP0355.png" TargetMode="External"/><Relationship Id="rId152" Type="http://schemas.openxmlformats.org/officeDocument/2006/relationships/image" Target="file:///C:\InventorySystem\qr\FP0159.png" TargetMode="External"/><Relationship Id="rId194" Type="http://schemas.openxmlformats.org/officeDocument/2006/relationships/image" Target="file:///C:\InventorySystem\qr\FP0201.png" TargetMode="External"/><Relationship Id="rId208" Type="http://schemas.openxmlformats.org/officeDocument/2006/relationships/image" Target="file:///C:\InventorySystem\qr\FP0215.png" TargetMode="External"/><Relationship Id="rId415" Type="http://schemas.openxmlformats.org/officeDocument/2006/relationships/image" Target="file:///C:\InventorySystem\qr\FP0422.png" TargetMode="External"/><Relationship Id="rId457" Type="http://schemas.openxmlformats.org/officeDocument/2006/relationships/image" Target="file:///C:\InventorySystem\qr\FP0464.png" TargetMode="External"/><Relationship Id="rId261" Type="http://schemas.openxmlformats.org/officeDocument/2006/relationships/image" Target="file:///C:\InventorySystem\qr\FP0268.png" TargetMode="External"/><Relationship Id="rId499" Type="http://schemas.openxmlformats.org/officeDocument/2006/relationships/image" Target="file:///C:\InventorySystem\qr\FP0009.png" TargetMode="External"/><Relationship Id="rId14" Type="http://schemas.openxmlformats.org/officeDocument/2006/relationships/image" Target="file:///C:\InventorySystem\qr\FP0020.png" TargetMode="External"/><Relationship Id="rId56" Type="http://schemas.openxmlformats.org/officeDocument/2006/relationships/image" Target="file:///C:\InventorySystem\qr\FP0063.png" TargetMode="External"/><Relationship Id="rId317" Type="http://schemas.openxmlformats.org/officeDocument/2006/relationships/image" Target="file:///C:\InventorySystem\qr\FP0324.png" TargetMode="External"/><Relationship Id="rId359" Type="http://schemas.openxmlformats.org/officeDocument/2006/relationships/image" Target="file:///C:\InventorySystem\qr\FP0366.png" TargetMode="External"/><Relationship Id="rId98" Type="http://schemas.openxmlformats.org/officeDocument/2006/relationships/image" Target="file:///C:\InventorySystem\qr\FP0105.png" TargetMode="External"/><Relationship Id="rId121" Type="http://schemas.openxmlformats.org/officeDocument/2006/relationships/image" Target="file:///C:\InventorySystem\qr\FP0128.png" TargetMode="External"/><Relationship Id="rId163" Type="http://schemas.openxmlformats.org/officeDocument/2006/relationships/image" Target="file:///C:\InventorySystem\qr\FP0170.png" TargetMode="External"/><Relationship Id="rId219" Type="http://schemas.openxmlformats.org/officeDocument/2006/relationships/image" Target="file:///C:\InventorySystem\qr\FP0226.png" TargetMode="External"/><Relationship Id="rId370" Type="http://schemas.openxmlformats.org/officeDocument/2006/relationships/image" Target="file:///C:\InventorySystem\qr\FP0377.png" TargetMode="External"/><Relationship Id="rId426" Type="http://schemas.openxmlformats.org/officeDocument/2006/relationships/image" Target="file:///C:\InventorySystem\qr\FP0433.png" TargetMode="External"/><Relationship Id="rId230" Type="http://schemas.openxmlformats.org/officeDocument/2006/relationships/image" Target="file:///C:\InventorySystem\qr\FP0237.png" TargetMode="External"/><Relationship Id="rId468" Type="http://schemas.openxmlformats.org/officeDocument/2006/relationships/image" Target="file:///C:\InventorySystem\qr\FP0475.png" TargetMode="External"/><Relationship Id="rId25" Type="http://schemas.openxmlformats.org/officeDocument/2006/relationships/image" Target="file:///C:\InventorySystem\qr\FP0031.png" TargetMode="External"/><Relationship Id="rId67" Type="http://schemas.openxmlformats.org/officeDocument/2006/relationships/image" Target="file:///C:\InventorySystem\qr\FP0074.png" TargetMode="External"/><Relationship Id="rId272" Type="http://schemas.openxmlformats.org/officeDocument/2006/relationships/image" Target="file:///C:\InventorySystem\qr\FP0279.png" TargetMode="External"/><Relationship Id="rId328" Type="http://schemas.openxmlformats.org/officeDocument/2006/relationships/image" Target="file:///C:\InventorySystem\qr\FP0335.png" TargetMode="External"/><Relationship Id="rId132" Type="http://schemas.openxmlformats.org/officeDocument/2006/relationships/image" Target="file:///C:\InventorySystem\qr\FP0139.png" TargetMode="External"/><Relationship Id="rId174" Type="http://schemas.openxmlformats.org/officeDocument/2006/relationships/image" Target="file:///C:\InventorySystem\qr\FP0181.png" TargetMode="External"/><Relationship Id="rId381" Type="http://schemas.openxmlformats.org/officeDocument/2006/relationships/image" Target="file:///C:\InventorySystem\qr\FP0388.png" TargetMode="External"/><Relationship Id="rId241" Type="http://schemas.openxmlformats.org/officeDocument/2006/relationships/image" Target="file:///C:\InventorySystem\qr\FP0248.png" TargetMode="External"/><Relationship Id="rId437" Type="http://schemas.openxmlformats.org/officeDocument/2006/relationships/image" Target="file:///C:\InventorySystem\qr\FP0444.png" TargetMode="External"/><Relationship Id="rId479" Type="http://schemas.openxmlformats.org/officeDocument/2006/relationships/image" Target="file:///C:\InventorySystem\qr\FP0486.png" TargetMode="External"/><Relationship Id="rId36" Type="http://schemas.openxmlformats.org/officeDocument/2006/relationships/image" Target="file:///C:\InventorySystem\qr\FP0043.png" TargetMode="External"/><Relationship Id="rId283" Type="http://schemas.openxmlformats.org/officeDocument/2006/relationships/image" Target="file:///C:\InventorySystem\qr\FP0290.png" TargetMode="External"/><Relationship Id="rId339" Type="http://schemas.openxmlformats.org/officeDocument/2006/relationships/image" Target="file:///C:\InventorySystem\qr\FP0346.png" TargetMode="External"/><Relationship Id="rId490" Type="http://schemas.openxmlformats.org/officeDocument/2006/relationships/image" Target="file:///C:\InventorySystem\qr\FP0497.png" TargetMode="External"/><Relationship Id="rId78" Type="http://schemas.openxmlformats.org/officeDocument/2006/relationships/image" Target="file:///C:\InventorySystem\qr\FP0085.png" TargetMode="External"/><Relationship Id="rId101" Type="http://schemas.openxmlformats.org/officeDocument/2006/relationships/image" Target="file:///C:\InventorySystem\qr\FP0108.png" TargetMode="External"/><Relationship Id="rId143" Type="http://schemas.openxmlformats.org/officeDocument/2006/relationships/image" Target="file:///C:\InventorySystem\qr\FP0150.png" TargetMode="External"/><Relationship Id="rId185" Type="http://schemas.openxmlformats.org/officeDocument/2006/relationships/image" Target="file:///C:\InventorySystem\qr\FP0192.png" TargetMode="External"/><Relationship Id="rId350" Type="http://schemas.openxmlformats.org/officeDocument/2006/relationships/image" Target="file:///C:\InventorySystem\qr\FP0357.png" TargetMode="External"/><Relationship Id="rId406" Type="http://schemas.openxmlformats.org/officeDocument/2006/relationships/image" Target="file:///C:\InventorySystem\qr\FP0413.png" TargetMode="External"/><Relationship Id="rId9" Type="http://schemas.openxmlformats.org/officeDocument/2006/relationships/image" Target="file:///C:\InventorySystem\qr\FP0015.png" TargetMode="External"/><Relationship Id="rId210" Type="http://schemas.openxmlformats.org/officeDocument/2006/relationships/image" Target="file:///C:\InventorySystem\qr\FP0217.png" TargetMode="External"/><Relationship Id="rId392" Type="http://schemas.openxmlformats.org/officeDocument/2006/relationships/image" Target="file:///C:\InventorySystem\qr\FP0399.png" TargetMode="External"/><Relationship Id="rId448" Type="http://schemas.openxmlformats.org/officeDocument/2006/relationships/image" Target="file:///C:\InventorySystem\qr\FP0455.png" TargetMode="External"/><Relationship Id="rId252" Type="http://schemas.openxmlformats.org/officeDocument/2006/relationships/image" Target="file:///C:\InventorySystem\qr\FP0259.png" TargetMode="External"/><Relationship Id="rId294" Type="http://schemas.openxmlformats.org/officeDocument/2006/relationships/image" Target="file:///C:\InventorySystem\qr\FP0301.png" TargetMode="External"/><Relationship Id="rId308" Type="http://schemas.openxmlformats.org/officeDocument/2006/relationships/image" Target="file:///C:\InventorySystem\qr\FP0315.png" TargetMode="External"/><Relationship Id="rId47" Type="http://schemas.openxmlformats.org/officeDocument/2006/relationships/image" Target="file:///C:\InventorySystem\qr\FP0054.png" TargetMode="External"/><Relationship Id="rId89" Type="http://schemas.openxmlformats.org/officeDocument/2006/relationships/image" Target="file:///C:\InventorySystem\qr\FP0096.png" TargetMode="External"/><Relationship Id="rId112" Type="http://schemas.openxmlformats.org/officeDocument/2006/relationships/image" Target="file:///C:\InventorySystem\qr\FP0119.png" TargetMode="External"/><Relationship Id="rId154" Type="http://schemas.openxmlformats.org/officeDocument/2006/relationships/image" Target="file:///C:\InventorySystem\qr\FP0161.png" TargetMode="External"/><Relationship Id="rId361" Type="http://schemas.openxmlformats.org/officeDocument/2006/relationships/image" Target="file:///C:\InventorySystem\qr\FP0368.png" TargetMode="External"/><Relationship Id="rId196" Type="http://schemas.openxmlformats.org/officeDocument/2006/relationships/image" Target="file:///C:\InventorySystem\qr\FP0203.png" TargetMode="External"/><Relationship Id="rId417" Type="http://schemas.openxmlformats.org/officeDocument/2006/relationships/image" Target="file:///C:\InventorySystem\qr\FP0424.png" TargetMode="External"/><Relationship Id="rId459" Type="http://schemas.openxmlformats.org/officeDocument/2006/relationships/image" Target="file:///C:\InventorySystem\qr\FP0466.png" TargetMode="External"/><Relationship Id="rId16" Type="http://schemas.openxmlformats.org/officeDocument/2006/relationships/image" Target="file:///C:\InventorySystem\qr\FP0022.png" TargetMode="External"/><Relationship Id="rId221" Type="http://schemas.openxmlformats.org/officeDocument/2006/relationships/image" Target="file:///C:\InventorySystem\qr\FP0228.png" TargetMode="External"/><Relationship Id="rId263" Type="http://schemas.openxmlformats.org/officeDocument/2006/relationships/image" Target="file:///C:\InventorySystem\qr\FP0270.png" TargetMode="External"/><Relationship Id="rId319" Type="http://schemas.openxmlformats.org/officeDocument/2006/relationships/image" Target="file:///C:\InventorySystem\qr\FP0326.png" TargetMode="External"/><Relationship Id="rId470" Type="http://schemas.openxmlformats.org/officeDocument/2006/relationships/image" Target="file:///C:\InventorySystem\qr\FP0477.png" TargetMode="External"/><Relationship Id="rId58" Type="http://schemas.openxmlformats.org/officeDocument/2006/relationships/image" Target="file:///C:\InventorySystem\qr\FP0065.png" TargetMode="External"/><Relationship Id="rId123" Type="http://schemas.openxmlformats.org/officeDocument/2006/relationships/image" Target="file:///C:\InventorySystem\qr\FP0130.png" TargetMode="External"/><Relationship Id="rId330" Type="http://schemas.openxmlformats.org/officeDocument/2006/relationships/image" Target="file:///C:\InventorySystem\qr\FP0337.png" TargetMode="External"/><Relationship Id="rId165" Type="http://schemas.openxmlformats.org/officeDocument/2006/relationships/image" Target="file:///C:\InventorySystem\qr\FP0172.png" TargetMode="External"/><Relationship Id="rId372" Type="http://schemas.openxmlformats.org/officeDocument/2006/relationships/image" Target="file:///C:\InventorySystem\qr\FP0379.png" TargetMode="External"/><Relationship Id="rId428" Type="http://schemas.openxmlformats.org/officeDocument/2006/relationships/image" Target="file:///C:\InventorySystem\qr\FP0435.png" TargetMode="External"/><Relationship Id="rId232" Type="http://schemas.openxmlformats.org/officeDocument/2006/relationships/image" Target="file:///C:\InventorySystem\qr\FP0239.png" TargetMode="External"/><Relationship Id="rId274" Type="http://schemas.openxmlformats.org/officeDocument/2006/relationships/image" Target="file:///C:\InventorySystem\qr\FP0281.png" TargetMode="External"/><Relationship Id="rId481" Type="http://schemas.openxmlformats.org/officeDocument/2006/relationships/image" Target="file:///C:\InventorySystem\qr\FP0488.png" TargetMode="External"/><Relationship Id="rId27" Type="http://schemas.openxmlformats.org/officeDocument/2006/relationships/image" Target="file:///C:\InventorySystem\qr\FP0034.png" TargetMode="External"/><Relationship Id="rId69" Type="http://schemas.openxmlformats.org/officeDocument/2006/relationships/image" Target="file:///C:\InventorySystem\qr\FP0076.png" TargetMode="External"/><Relationship Id="rId134" Type="http://schemas.openxmlformats.org/officeDocument/2006/relationships/image" Target="file:///C:\InventorySystem\qr\FP0141.png" TargetMode="External"/><Relationship Id="rId80" Type="http://schemas.openxmlformats.org/officeDocument/2006/relationships/image" Target="file:///C:\InventorySystem\qr\FP0087.png" TargetMode="External"/><Relationship Id="rId176" Type="http://schemas.openxmlformats.org/officeDocument/2006/relationships/image" Target="file:///C:\InventorySystem\qr\FP0183.png" TargetMode="External"/><Relationship Id="rId341" Type="http://schemas.openxmlformats.org/officeDocument/2006/relationships/image" Target="file:///C:\InventorySystem\qr\FP0348.png" TargetMode="External"/><Relationship Id="rId383" Type="http://schemas.openxmlformats.org/officeDocument/2006/relationships/image" Target="file:///C:\InventorySystem\qr\FP0390.png" TargetMode="External"/><Relationship Id="rId439" Type="http://schemas.openxmlformats.org/officeDocument/2006/relationships/image" Target="file:///C:\InventorySystem\qr\FP0446.png" TargetMode="External"/><Relationship Id="rId201" Type="http://schemas.openxmlformats.org/officeDocument/2006/relationships/image" Target="file:///C:\InventorySystem\qr\FP0208.png" TargetMode="External"/><Relationship Id="rId243" Type="http://schemas.openxmlformats.org/officeDocument/2006/relationships/image" Target="file:///C:\InventorySystem\qr\FP0250.png" TargetMode="External"/><Relationship Id="rId285" Type="http://schemas.openxmlformats.org/officeDocument/2006/relationships/image" Target="file:///C:\InventorySystem\qr\FP0292.png" TargetMode="External"/><Relationship Id="rId450" Type="http://schemas.openxmlformats.org/officeDocument/2006/relationships/image" Target="file:///C:\InventorySystem\qr\FP0457.png" TargetMode="External"/><Relationship Id="rId38" Type="http://schemas.openxmlformats.org/officeDocument/2006/relationships/image" Target="file:///C:\InventorySystem\qr\FP0045.png" TargetMode="External"/><Relationship Id="rId103" Type="http://schemas.openxmlformats.org/officeDocument/2006/relationships/image" Target="file:///C:\InventorySystem\qr\FP0110.png" TargetMode="External"/><Relationship Id="rId310" Type="http://schemas.openxmlformats.org/officeDocument/2006/relationships/image" Target="file:///C:\InventorySystem\qr\FP0317.png" TargetMode="External"/><Relationship Id="rId492" Type="http://schemas.openxmlformats.org/officeDocument/2006/relationships/image" Target="file:///C:\InventorySystem\qr\FP0499.png" TargetMode="External"/><Relationship Id="rId91" Type="http://schemas.openxmlformats.org/officeDocument/2006/relationships/image" Target="file:///C:\InventorySystem\qr\FP0098.png" TargetMode="External"/><Relationship Id="rId145" Type="http://schemas.openxmlformats.org/officeDocument/2006/relationships/image" Target="file:///C:\InventorySystem\qr\FP0152.png" TargetMode="External"/><Relationship Id="rId187" Type="http://schemas.openxmlformats.org/officeDocument/2006/relationships/image" Target="file:///C:\InventorySystem\qr\FP0194.png" TargetMode="External"/><Relationship Id="rId352" Type="http://schemas.openxmlformats.org/officeDocument/2006/relationships/image" Target="file:///C:\InventorySystem\qr\FP0359.png" TargetMode="External"/><Relationship Id="rId394" Type="http://schemas.openxmlformats.org/officeDocument/2006/relationships/image" Target="file:///C:\InventorySystem\qr\FP0401.png" TargetMode="External"/><Relationship Id="rId408" Type="http://schemas.openxmlformats.org/officeDocument/2006/relationships/image" Target="file:///C:\InventorySystem\qr\FP0415.png" TargetMode="External"/><Relationship Id="rId212" Type="http://schemas.openxmlformats.org/officeDocument/2006/relationships/image" Target="file:///C:\InventorySystem\qr\FP0219.png" TargetMode="External"/><Relationship Id="rId254" Type="http://schemas.openxmlformats.org/officeDocument/2006/relationships/image" Target="file:///C:\InventorySystem\qr\FP0261.png" TargetMode="External"/><Relationship Id="rId49" Type="http://schemas.openxmlformats.org/officeDocument/2006/relationships/image" Target="file:///C:\InventorySystem\qr\FP0056.png" TargetMode="External"/><Relationship Id="rId114" Type="http://schemas.openxmlformats.org/officeDocument/2006/relationships/image" Target="file:///C:\InventorySystem\qr\FP0121.png" TargetMode="External"/><Relationship Id="rId296" Type="http://schemas.openxmlformats.org/officeDocument/2006/relationships/image" Target="file:///C:\InventorySystem\qr\FP0303.png" TargetMode="External"/><Relationship Id="rId461" Type="http://schemas.openxmlformats.org/officeDocument/2006/relationships/image" Target="file:///C:\InventorySystem\qr\FP0468.png" TargetMode="External"/><Relationship Id="rId60" Type="http://schemas.openxmlformats.org/officeDocument/2006/relationships/image" Target="file:///C:\InventorySystem\qr\FP0067.png" TargetMode="External"/><Relationship Id="rId156" Type="http://schemas.openxmlformats.org/officeDocument/2006/relationships/image" Target="file:///C:\InventorySystem\qr\FP0163.png" TargetMode="External"/><Relationship Id="rId198" Type="http://schemas.openxmlformats.org/officeDocument/2006/relationships/image" Target="file:///C:\InventorySystem\qr\FP0205.png" TargetMode="External"/><Relationship Id="rId321" Type="http://schemas.openxmlformats.org/officeDocument/2006/relationships/image" Target="file:///C:\InventorySystem\qr\FP0328.png" TargetMode="External"/><Relationship Id="rId363" Type="http://schemas.openxmlformats.org/officeDocument/2006/relationships/image" Target="file:///C:\InventorySystem\qr\FP0370.png" TargetMode="External"/><Relationship Id="rId419" Type="http://schemas.openxmlformats.org/officeDocument/2006/relationships/image" Target="file:///C:\InventorySystem\qr\FP0426.png" TargetMode="External"/><Relationship Id="rId223" Type="http://schemas.openxmlformats.org/officeDocument/2006/relationships/image" Target="file:///C:\InventorySystem\qr\FP0230.png" TargetMode="External"/><Relationship Id="rId430" Type="http://schemas.openxmlformats.org/officeDocument/2006/relationships/image" Target="file:///C:\InventorySystem\qr\FP0437.png" TargetMode="External"/><Relationship Id="rId18" Type="http://schemas.openxmlformats.org/officeDocument/2006/relationships/image" Target="file:///C:\InventorySystem\qr\FP0024.png" TargetMode="External"/><Relationship Id="rId265" Type="http://schemas.openxmlformats.org/officeDocument/2006/relationships/image" Target="file:///C:\InventorySystem\qr\FP0272.png" TargetMode="External"/><Relationship Id="rId472" Type="http://schemas.openxmlformats.org/officeDocument/2006/relationships/image" Target="file:///C:\InventorySystem\qr\FP0479.png" TargetMode="External"/><Relationship Id="rId125" Type="http://schemas.openxmlformats.org/officeDocument/2006/relationships/image" Target="file:///C:\InventorySystem\qr\FP0132.png" TargetMode="External"/><Relationship Id="rId167" Type="http://schemas.openxmlformats.org/officeDocument/2006/relationships/image" Target="file:///C:\InventorySystem\qr\FP0174.png" TargetMode="External"/><Relationship Id="rId332" Type="http://schemas.openxmlformats.org/officeDocument/2006/relationships/image" Target="file:///C:\InventorySystem\qr\FP0339.png" TargetMode="External"/><Relationship Id="rId374" Type="http://schemas.openxmlformats.org/officeDocument/2006/relationships/image" Target="file:///C:\InventorySystem\qr\FP0381.png" TargetMode="External"/><Relationship Id="rId71" Type="http://schemas.openxmlformats.org/officeDocument/2006/relationships/image" Target="file:///C:\InventorySystem\qr\FP0078.png" TargetMode="External"/><Relationship Id="rId234" Type="http://schemas.openxmlformats.org/officeDocument/2006/relationships/image" Target="file:///C:\InventorySystem\qr\FP0241.png" TargetMode="External"/><Relationship Id="rId2" Type="http://schemas.openxmlformats.org/officeDocument/2006/relationships/image" Target="file:///C:\InventorySystem\qr\FP0007.png" TargetMode="External"/><Relationship Id="rId29" Type="http://schemas.openxmlformats.org/officeDocument/2006/relationships/image" Target="file:///C:\InventorySystem\qr\FP0036.png" TargetMode="External"/><Relationship Id="rId276" Type="http://schemas.openxmlformats.org/officeDocument/2006/relationships/image" Target="file:///C:\InventorySystem\qr\FP0283.png" TargetMode="External"/><Relationship Id="rId441" Type="http://schemas.openxmlformats.org/officeDocument/2006/relationships/image" Target="file:///C:\InventorySystem\qr\FP0448.png" TargetMode="External"/><Relationship Id="rId483" Type="http://schemas.openxmlformats.org/officeDocument/2006/relationships/image" Target="file:///C:\InventorySystem\qr\FP0490.png" TargetMode="External"/><Relationship Id="rId40" Type="http://schemas.openxmlformats.org/officeDocument/2006/relationships/image" Target="file:///C:\InventorySystem\qr\FP0047.png" TargetMode="External"/><Relationship Id="rId136" Type="http://schemas.openxmlformats.org/officeDocument/2006/relationships/image" Target="file:///C:\InventorySystem\qr\FP0143.png" TargetMode="External"/><Relationship Id="rId178" Type="http://schemas.openxmlformats.org/officeDocument/2006/relationships/image" Target="file:///C:\InventorySystem\qr\FP0185.png" TargetMode="External"/><Relationship Id="rId301" Type="http://schemas.openxmlformats.org/officeDocument/2006/relationships/image" Target="file:///C:\InventorySystem\qr\FP0308.png" TargetMode="External"/><Relationship Id="rId343" Type="http://schemas.openxmlformats.org/officeDocument/2006/relationships/image" Target="file:///C:\InventorySystem\qr\FP0350.png" TargetMode="External"/><Relationship Id="rId82" Type="http://schemas.openxmlformats.org/officeDocument/2006/relationships/image" Target="file:///C:\InventorySystem\qr\FP0089.png" TargetMode="External"/><Relationship Id="rId203" Type="http://schemas.openxmlformats.org/officeDocument/2006/relationships/image" Target="file:///C:\InventorySystem\qr\FP0210.png" TargetMode="External"/><Relationship Id="rId385" Type="http://schemas.openxmlformats.org/officeDocument/2006/relationships/image" Target="file:///C:\InventorySystem\qr\FP0392.png" TargetMode="External"/><Relationship Id="rId245" Type="http://schemas.openxmlformats.org/officeDocument/2006/relationships/image" Target="file:///C:\InventorySystem\qr\FP0252.png" TargetMode="External"/><Relationship Id="rId287" Type="http://schemas.openxmlformats.org/officeDocument/2006/relationships/image" Target="file:///C:\InventorySystem\qr\FP0294.png" TargetMode="External"/><Relationship Id="rId410" Type="http://schemas.openxmlformats.org/officeDocument/2006/relationships/image" Target="file:///C:\InventorySystem\qr\FP0417.png" TargetMode="External"/><Relationship Id="rId452" Type="http://schemas.openxmlformats.org/officeDocument/2006/relationships/image" Target="file:///C:\InventorySystem\qr\FP0459.png" TargetMode="External"/><Relationship Id="rId494" Type="http://schemas.openxmlformats.org/officeDocument/2006/relationships/image" Target="file:///C:\InventorySystem\qr\FP0032.png" TargetMode="External"/><Relationship Id="rId105" Type="http://schemas.openxmlformats.org/officeDocument/2006/relationships/image" Target="file:///C:\InventorySystem\qr\FP0112.png" TargetMode="External"/><Relationship Id="rId147" Type="http://schemas.openxmlformats.org/officeDocument/2006/relationships/image" Target="file:///C:\InventorySystem\qr\FP0154.png" TargetMode="External"/><Relationship Id="rId312" Type="http://schemas.openxmlformats.org/officeDocument/2006/relationships/image" Target="file:///C:\InventorySystem\qr\FP0319.png" TargetMode="External"/><Relationship Id="rId354" Type="http://schemas.openxmlformats.org/officeDocument/2006/relationships/image" Target="file:///C:\InventorySystem\qr\FP0361.png" TargetMode="External"/><Relationship Id="rId51" Type="http://schemas.openxmlformats.org/officeDocument/2006/relationships/image" Target="file:///C:\InventorySystem\qr\FP0058.png" TargetMode="External"/><Relationship Id="rId93" Type="http://schemas.openxmlformats.org/officeDocument/2006/relationships/image" Target="file:///C:\InventorySystem\qr\FP0100.png" TargetMode="External"/><Relationship Id="rId189" Type="http://schemas.openxmlformats.org/officeDocument/2006/relationships/image" Target="file:///C:\InventorySystem\qr\FP0196.png" TargetMode="External"/><Relationship Id="rId396" Type="http://schemas.openxmlformats.org/officeDocument/2006/relationships/image" Target="file:///C:\InventorySystem\qr\FP0403.png" TargetMode="External"/><Relationship Id="rId214" Type="http://schemas.openxmlformats.org/officeDocument/2006/relationships/image" Target="file:///C:\InventorySystem\qr\FP0221.png" TargetMode="External"/><Relationship Id="rId256" Type="http://schemas.openxmlformats.org/officeDocument/2006/relationships/image" Target="file:///C:\InventorySystem\qr\FP0263.png" TargetMode="External"/><Relationship Id="rId298" Type="http://schemas.openxmlformats.org/officeDocument/2006/relationships/image" Target="file:///C:\InventorySystem\qr\FP0305.png" TargetMode="External"/><Relationship Id="rId421" Type="http://schemas.openxmlformats.org/officeDocument/2006/relationships/image" Target="file:///C:\InventorySystem\qr\FP0428.png" TargetMode="External"/><Relationship Id="rId463" Type="http://schemas.openxmlformats.org/officeDocument/2006/relationships/image" Target="file:///C:\InventorySystem\qr\FP0470.png" TargetMode="External"/><Relationship Id="rId116" Type="http://schemas.openxmlformats.org/officeDocument/2006/relationships/image" Target="file:///C:\InventorySystem\qr\FP0123.png" TargetMode="External"/><Relationship Id="rId158" Type="http://schemas.openxmlformats.org/officeDocument/2006/relationships/image" Target="file:///C:\InventorySystem\qr\FP0165.png" TargetMode="External"/><Relationship Id="rId323" Type="http://schemas.openxmlformats.org/officeDocument/2006/relationships/image" Target="file:///C:\InventorySystem\qr\FP0330.png" TargetMode="External"/><Relationship Id="rId20" Type="http://schemas.openxmlformats.org/officeDocument/2006/relationships/image" Target="file:///C:\InventorySystem\qr\FP0026.png" TargetMode="External"/><Relationship Id="rId62" Type="http://schemas.openxmlformats.org/officeDocument/2006/relationships/image" Target="file:///C:\InventorySystem\qr\FP0069.png" TargetMode="External"/><Relationship Id="rId365" Type="http://schemas.openxmlformats.org/officeDocument/2006/relationships/image" Target="file:///C:\InventorySystem\qr\FP0372.png" TargetMode="External"/><Relationship Id="rId225" Type="http://schemas.openxmlformats.org/officeDocument/2006/relationships/image" Target="file:///C:\InventorySystem\qr\FP0232.png" TargetMode="External"/><Relationship Id="rId267" Type="http://schemas.openxmlformats.org/officeDocument/2006/relationships/image" Target="file:///C:\InventorySystem\qr\FP0274.png" TargetMode="External"/><Relationship Id="rId432" Type="http://schemas.openxmlformats.org/officeDocument/2006/relationships/image" Target="file:///C:\InventorySystem\qr\FP0439.png" TargetMode="External"/><Relationship Id="rId474" Type="http://schemas.openxmlformats.org/officeDocument/2006/relationships/image" Target="file:///C:\InventorySystem\qr\FP0481.png" TargetMode="External"/><Relationship Id="rId106" Type="http://schemas.openxmlformats.org/officeDocument/2006/relationships/image" Target="file:///C:\InventorySystem\qr\FP0113.png" TargetMode="External"/><Relationship Id="rId127" Type="http://schemas.openxmlformats.org/officeDocument/2006/relationships/image" Target="file:///C:\InventorySystem\qr\FP0134.png" TargetMode="External"/><Relationship Id="rId313" Type="http://schemas.openxmlformats.org/officeDocument/2006/relationships/image" Target="file:///C:\InventorySystem\qr\FP0320.png" TargetMode="External"/><Relationship Id="rId495" Type="http://schemas.openxmlformats.org/officeDocument/2006/relationships/image" Target="file:///C:\InventorySystem\qr\FP0002.png" TargetMode="External"/><Relationship Id="rId10" Type="http://schemas.openxmlformats.org/officeDocument/2006/relationships/image" Target="file:///C:\InventorySystem\qr\FP0016.png" TargetMode="External"/><Relationship Id="rId31" Type="http://schemas.openxmlformats.org/officeDocument/2006/relationships/image" Target="file:///C:\InventorySystem\qr\FP0038.png" TargetMode="External"/><Relationship Id="rId52" Type="http://schemas.openxmlformats.org/officeDocument/2006/relationships/image" Target="file:///C:\InventorySystem\qr\FP0059.png" TargetMode="External"/><Relationship Id="rId73" Type="http://schemas.openxmlformats.org/officeDocument/2006/relationships/image" Target="file:///C:\InventorySystem\qr\FP0080.png" TargetMode="External"/><Relationship Id="rId94" Type="http://schemas.openxmlformats.org/officeDocument/2006/relationships/image" Target="file:///C:\InventorySystem\qr\FP0101.png" TargetMode="External"/><Relationship Id="rId148" Type="http://schemas.openxmlformats.org/officeDocument/2006/relationships/image" Target="file:///C:\InventorySystem\qr\FP0155.png" TargetMode="External"/><Relationship Id="rId169" Type="http://schemas.openxmlformats.org/officeDocument/2006/relationships/image" Target="file:///C:\InventorySystem\qr\FP0176.png" TargetMode="External"/><Relationship Id="rId334" Type="http://schemas.openxmlformats.org/officeDocument/2006/relationships/image" Target="file:///C:\InventorySystem\qr\FP0341.png" TargetMode="External"/><Relationship Id="rId355" Type="http://schemas.openxmlformats.org/officeDocument/2006/relationships/image" Target="file:///C:\InventorySystem\qr\FP0362.png" TargetMode="External"/><Relationship Id="rId376" Type="http://schemas.openxmlformats.org/officeDocument/2006/relationships/image" Target="file:///C:\InventorySystem\qr\FP0383.png" TargetMode="External"/><Relationship Id="rId397" Type="http://schemas.openxmlformats.org/officeDocument/2006/relationships/image" Target="file:///C:\InventorySystem\qr\FP0404.png" TargetMode="External"/><Relationship Id="rId4" Type="http://schemas.openxmlformats.org/officeDocument/2006/relationships/image" Target="file:///C:\InventorySystem\qr\FP0010.png" TargetMode="External"/><Relationship Id="rId180" Type="http://schemas.openxmlformats.org/officeDocument/2006/relationships/image" Target="file:///C:\InventorySystem\qr\FP0187.png" TargetMode="External"/><Relationship Id="rId215" Type="http://schemas.openxmlformats.org/officeDocument/2006/relationships/image" Target="file:///C:\InventorySystem\qr\FP0222.png" TargetMode="External"/><Relationship Id="rId236" Type="http://schemas.openxmlformats.org/officeDocument/2006/relationships/image" Target="file:///C:\InventorySystem\qr\FP0243.png" TargetMode="External"/><Relationship Id="rId257" Type="http://schemas.openxmlformats.org/officeDocument/2006/relationships/image" Target="file:///C:\InventorySystem\qr\FP0264.png" TargetMode="External"/><Relationship Id="rId278" Type="http://schemas.openxmlformats.org/officeDocument/2006/relationships/image" Target="file:///C:\InventorySystem\qr\FP0285.png" TargetMode="External"/><Relationship Id="rId401" Type="http://schemas.openxmlformats.org/officeDocument/2006/relationships/image" Target="file:///C:\InventorySystem\qr\FP0408.png" TargetMode="External"/><Relationship Id="rId422" Type="http://schemas.openxmlformats.org/officeDocument/2006/relationships/image" Target="file:///C:\InventorySystem\qr\FP0429.png" TargetMode="External"/><Relationship Id="rId443" Type="http://schemas.openxmlformats.org/officeDocument/2006/relationships/image" Target="file:///C:\InventorySystem\qr\FP0450.png" TargetMode="External"/><Relationship Id="rId464" Type="http://schemas.openxmlformats.org/officeDocument/2006/relationships/image" Target="file:///C:\InventorySystem\qr\FP0471.png" TargetMode="External"/><Relationship Id="rId303" Type="http://schemas.openxmlformats.org/officeDocument/2006/relationships/image" Target="file:///C:\InventorySystem\qr\FP0310.png" TargetMode="External"/><Relationship Id="rId485" Type="http://schemas.openxmlformats.org/officeDocument/2006/relationships/image" Target="file:///C:\InventorySystem\qr\FP0492.png" TargetMode="External"/><Relationship Id="rId42" Type="http://schemas.openxmlformats.org/officeDocument/2006/relationships/image" Target="file:///C:\InventorySystem\qr\FP0049.png" TargetMode="External"/><Relationship Id="rId84" Type="http://schemas.openxmlformats.org/officeDocument/2006/relationships/image" Target="file:///C:\InventorySystem\qr\FP0091.png" TargetMode="External"/><Relationship Id="rId138" Type="http://schemas.openxmlformats.org/officeDocument/2006/relationships/image" Target="file:///C:\InventorySystem\qr\FP0145.png" TargetMode="External"/><Relationship Id="rId345" Type="http://schemas.openxmlformats.org/officeDocument/2006/relationships/image" Target="file:///C:\InventorySystem\qr\FP0352.png" TargetMode="External"/><Relationship Id="rId387" Type="http://schemas.openxmlformats.org/officeDocument/2006/relationships/image" Target="file:///C:\InventorySystem\qr\FP0394.png" TargetMode="External"/><Relationship Id="rId191" Type="http://schemas.openxmlformats.org/officeDocument/2006/relationships/image" Target="file:///C:\InventorySystem\qr\FP0198.png" TargetMode="External"/><Relationship Id="rId205" Type="http://schemas.openxmlformats.org/officeDocument/2006/relationships/image" Target="file:///C:\InventorySystem\qr\FP0212.png" TargetMode="External"/><Relationship Id="rId247" Type="http://schemas.openxmlformats.org/officeDocument/2006/relationships/image" Target="file:///C:\InventorySystem\qr\FP0254.png" TargetMode="External"/><Relationship Id="rId412" Type="http://schemas.openxmlformats.org/officeDocument/2006/relationships/image" Target="file:///C:\InventorySystem\qr\FP0419.png" TargetMode="External"/><Relationship Id="rId107" Type="http://schemas.openxmlformats.org/officeDocument/2006/relationships/image" Target="file:///C:\InventorySystem\qr\FP0114.png" TargetMode="External"/><Relationship Id="rId289" Type="http://schemas.openxmlformats.org/officeDocument/2006/relationships/image" Target="file:///C:\InventorySystem\qr\FP0296.png" TargetMode="External"/><Relationship Id="rId454" Type="http://schemas.openxmlformats.org/officeDocument/2006/relationships/image" Target="file:///C:\InventorySystem\qr\FP0461.png" TargetMode="External"/><Relationship Id="rId496" Type="http://schemas.openxmlformats.org/officeDocument/2006/relationships/image" Target="file:///C:\InventorySystem\qr\FP0005.png" TargetMode="External"/><Relationship Id="rId11" Type="http://schemas.openxmlformats.org/officeDocument/2006/relationships/image" Target="file:///C:\InventorySystem\qr\FP0017.png" TargetMode="External"/><Relationship Id="rId53" Type="http://schemas.openxmlformats.org/officeDocument/2006/relationships/image" Target="file:///C:\InventorySystem\qr\FP0060.png" TargetMode="External"/><Relationship Id="rId149" Type="http://schemas.openxmlformats.org/officeDocument/2006/relationships/image" Target="file:///C:\InventorySystem\qr\FP0156.png" TargetMode="External"/><Relationship Id="rId314" Type="http://schemas.openxmlformats.org/officeDocument/2006/relationships/image" Target="file:///C:\InventorySystem\qr\FP0321.png" TargetMode="External"/><Relationship Id="rId356" Type="http://schemas.openxmlformats.org/officeDocument/2006/relationships/image" Target="file:///C:\InventorySystem\qr\FP0363.png" TargetMode="External"/><Relationship Id="rId398" Type="http://schemas.openxmlformats.org/officeDocument/2006/relationships/image" Target="file:///C:\InventorySystem\qr\FP0405.png" TargetMode="External"/><Relationship Id="rId95" Type="http://schemas.openxmlformats.org/officeDocument/2006/relationships/image" Target="file:///C:\InventorySystem\qr\FP0102.png" TargetMode="External"/><Relationship Id="rId160" Type="http://schemas.openxmlformats.org/officeDocument/2006/relationships/image" Target="file:///C:\InventorySystem\qr\FP0167.png" TargetMode="External"/><Relationship Id="rId216" Type="http://schemas.openxmlformats.org/officeDocument/2006/relationships/image" Target="file:///C:\InventorySystem\qr\FP0223.png" TargetMode="External"/><Relationship Id="rId423" Type="http://schemas.openxmlformats.org/officeDocument/2006/relationships/image" Target="file:///C:\InventorySystem\qr\FP0430.png" TargetMode="External"/><Relationship Id="rId258" Type="http://schemas.openxmlformats.org/officeDocument/2006/relationships/image" Target="file:///C:\InventorySystem\qr\FP0265.png" TargetMode="External"/><Relationship Id="rId465" Type="http://schemas.openxmlformats.org/officeDocument/2006/relationships/image" Target="file:///C:\InventorySystem\qr\FP0472.png" TargetMode="External"/><Relationship Id="rId22" Type="http://schemas.openxmlformats.org/officeDocument/2006/relationships/image" Target="file:///C:\InventorySystem\qr\FP0028.png" TargetMode="External"/><Relationship Id="rId64" Type="http://schemas.openxmlformats.org/officeDocument/2006/relationships/image" Target="file:///C:\InventorySystem\qr\FP0071.png" TargetMode="External"/><Relationship Id="rId118" Type="http://schemas.openxmlformats.org/officeDocument/2006/relationships/image" Target="file:///C:\InventorySystem\qr\FP0125.png" TargetMode="External"/><Relationship Id="rId325" Type="http://schemas.openxmlformats.org/officeDocument/2006/relationships/image" Target="file:///C:\InventorySystem\qr\FP0332.png" TargetMode="External"/><Relationship Id="rId367" Type="http://schemas.openxmlformats.org/officeDocument/2006/relationships/image" Target="file:///C:\InventorySystem\qr\FP0374.png" TargetMode="External"/><Relationship Id="rId171" Type="http://schemas.openxmlformats.org/officeDocument/2006/relationships/image" Target="file:///C:\InventorySystem\qr\FP0178.png" TargetMode="External"/><Relationship Id="rId227" Type="http://schemas.openxmlformats.org/officeDocument/2006/relationships/image" Target="file:///C:\InventorySystem\qr\FP0234.png" TargetMode="External"/><Relationship Id="rId269" Type="http://schemas.openxmlformats.org/officeDocument/2006/relationships/image" Target="file:///C:\InventorySystem\qr\FP0276.png" TargetMode="External"/><Relationship Id="rId434" Type="http://schemas.openxmlformats.org/officeDocument/2006/relationships/image" Target="file:///C:\InventorySystem\qr\FP0441.png" TargetMode="External"/><Relationship Id="rId476" Type="http://schemas.openxmlformats.org/officeDocument/2006/relationships/image" Target="file:///C:\InventorySystem\qr\FP0483.png" TargetMode="External"/><Relationship Id="rId33" Type="http://schemas.openxmlformats.org/officeDocument/2006/relationships/image" Target="file:///C:\InventorySystem\qr\FP0040.png" TargetMode="External"/><Relationship Id="rId129" Type="http://schemas.openxmlformats.org/officeDocument/2006/relationships/image" Target="file:///C:\InventorySystem\qr\FP0136.png" TargetMode="External"/><Relationship Id="rId280" Type="http://schemas.openxmlformats.org/officeDocument/2006/relationships/image" Target="file:///C:\InventorySystem\qr\FP0287.png" TargetMode="External"/><Relationship Id="rId336" Type="http://schemas.openxmlformats.org/officeDocument/2006/relationships/image" Target="file:///C:\InventorySystem\qr\FP0343.png" TargetMode="External"/><Relationship Id="rId75" Type="http://schemas.openxmlformats.org/officeDocument/2006/relationships/image" Target="file:///C:\InventorySystem\qr\FP0082.png" TargetMode="External"/><Relationship Id="rId140" Type="http://schemas.openxmlformats.org/officeDocument/2006/relationships/image" Target="file:///C:\InventorySystem\qr\FP0147.png" TargetMode="External"/><Relationship Id="rId182" Type="http://schemas.openxmlformats.org/officeDocument/2006/relationships/image" Target="file:///C:\InventorySystem\qr\FP0189.png" TargetMode="External"/><Relationship Id="rId378" Type="http://schemas.openxmlformats.org/officeDocument/2006/relationships/image" Target="file:///C:\InventorySystem\qr\FP0385.png" TargetMode="External"/><Relationship Id="rId403" Type="http://schemas.openxmlformats.org/officeDocument/2006/relationships/image" Target="file:///C:\InventorySystem\qr\FP0410.png" TargetMode="External"/><Relationship Id="rId6" Type="http://schemas.openxmlformats.org/officeDocument/2006/relationships/image" Target="file:///C:\InventorySystem\qr\FP0012.png" TargetMode="External"/><Relationship Id="rId238" Type="http://schemas.openxmlformats.org/officeDocument/2006/relationships/image" Target="file:///C:\InventorySystem\qr\FP0245.png" TargetMode="External"/><Relationship Id="rId445" Type="http://schemas.openxmlformats.org/officeDocument/2006/relationships/image" Target="file:///C:\InventorySystem\qr\FP0452.png" TargetMode="External"/><Relationship Id="rId487" Type="http://schemas.openxmlformats.org/officeDocument/2006/relationships/image" Target="file:///C:\InventorySystem\qr\FP0494.png" TargetMode="External"/><Relationship Id="rId291" Type="http://schemas.openxmlformats.org/officeDocument/2006/relationships/image" Target="file:///C:\InventorySystem\qr\FP0298.png" TargetMode="External"/><Relationship Id="rId305" Type="http://schemas.openxmlformats.org/officeDocument/2006/relationships/image" Target="file:///C:\InventorySystem\qr\FP0312.png" TargetMode="External"/><Relationship Id="rId347" Type="http://schemas.openxmlformats.org/officeDocument/2006/relationships/image" Target="file:///C:\InventorySystem\qr\FP0354.png" TargetMode="External"/><Relationship Id="rId44" Type="http://schemas.openxmlformats.org/officeDocument/2006/relationships/image" Target="file:///C:\InventorySystem\qr\FP0051.png" TargetMode="External"/><Relationship Id="rId86" Type="http://schemas.openxmlformats.org/officeDocument/2006/relationships/image" Target="file:///C:\InventorySystem\qr\FP0093.png" TargetMode="External"/><Relationship Id="rId151" Type="http://schemas.openxmlformats.org/officeDocument/2006/relationships/image" Target="file:///C:\InventorySystem\qr\FP0158.png" TargetMode="External"/><Relationship Id="rId389" Type="http://schemas.openxmlformats.org/officeDocument/2006/relationships/image" Target="file:///C:\InventorySystem\qr\FP0396.png" TargetMode="External"/><Relationship Id="rId193" Type="http://schemas.openxmlformats.org/officeDocument/2006/relationships/image" Target="file:///C:\InventorySystem\qr\FP0200.png" TargetMode="External"/><Relationship Id="rId207" Type="http://schemas.openxmlformats.org/officeDocument/2006/relationships/image" Target="file:///C:\InventorySystem\qr\FP0214.png" TargetMode="External"/><Relationship Id="rId249" Type="http://schemas.openxmlformats.org/officeDocument/2006/relationships/image" Target="file:///C:\InventorySystem\qr\FP0256.png" TargetMode="External"/><Relationship Id="rId414" Type="http://schemas.openxmlformats.org/officeDocument/2006/relationships/image" Target="file:///C:\InventorySystem\qr\FP0421.png" TargetMode="External"/><Relationship Id="rId456" Type="http://schemas.openxmlformats.org/officeDocument/2006/relationships/image" Target="file:///C:\InventorySystem\qr\FP0463.png" TargetMode="External"/><Relationship Id="rId498" Type="http://schemas.openxmlformats.org/officeDocument/2006/relationships/image" Target="file:///C:\InventorySystem\qr\FP0004.png" TargetMode="External"/><Relationship Id="rId13" Type="http://schemas.openxmlformats.org/officeDocument/2006/relationships/image" Target="file:///C:\InventorySystem\qr\FP0019.png" TargetMode="External"/><Relationship Id="rId109" Type="http://schemas.openxmlformats.org/officeDocument/2006/relationships/image" Target="file:///C:\InventorySystem\qr\FP0116.png" TargetMode="External"/><Relationship Id="rId260" Type="http://schemas.openxmlformats.org/officeDocument/2006/relationships/image" Target="file:///C:\InventorySystem\qr\FP0267.png" TargetMode="External"/><Relationship Id="rId316" Type="http://schemas.openxmlformats.org/officeDocument/2006/relationships/image" Target="file:///C:\InventorySystem\qr\FP0323.png" TargetMode="External"/><Relationship Id="rId55" Type="http://schemas.openxmlformats.org/officeDocument/2006/relationships/image" Target="file:///C:\InventorySystem\qr\FP0062.png" TargetMode="External"/><Relationship Id="rId97" Type="http://schemas.openxmlformats.org/officeDocument/2006/relationships/image" Target="file:///C:\InventorySystem\qr\FP0104.png" TargetMode="External"/><Relationship Id="rId120" Type="http://schemas.openxmlformats.org/officeDocument/2006/relationships/image" Target="file:///C:\InventorySystem\qr\FP0127.png" TargetMode="External"/><Relationship Id="rId358" Type="http://schemas.openxmlformats.org/officeDocument/2006/relationships/image" Target="file:///C:\InventorySystem\qr\FP0365.png" TargetMode="External"/><Relationship Id="rId162" Type="http://schemas.openxmlformats.org/officeDocument/2006/relationships/image" Target="file:///C:\InventorySystem\qr\FP0169.png" TargetMode="External"/><Relationship Id="rId218" Type="http://schemas.openxmlformats.org/officeDocument/2006/relationships/image" Target="file:///C:\InventorySystem\qr\FP0225.png" TargetMode="External"/><Relationship Id="rId425" Type="http://schemas.openxmlformats.org/officeDocument/2006/relationships/image" Target="file:///C:\InventorySystem\qr\FP0432.png" TargetMode="External"/><Relationship Id="rId467" Type="http://schemas.openxmlformats.org/officeDocument/2006/relationships/image" Target="file:///C:\InventorySystem\qr\FP0474.png" TargetMode="External"/><Relationship Id="rId271" Type="http://schemas.openxmlformats.org/officeDocument/2006/relationships/image" Target="file:///C:\InventorySystem\qr\FP0278.png" TargetMode="External"/><Relationship Id="rId24" Type="http://schemas.openxmlformats.org/officeDocument/2006/relationships/image" Target="file:///C:\InventorySystem\qr\FP0030.png" TargetMode="External"/><Relationship Id="rId66" Type="http://schemas.openxmlformats.org/officeDocument/2006/relationships/image" Target="file:///C:\InventorySystem\qr\FP0073.png" TargetMode="External"/><Relationship Id="rId131" Type="http://schemas.openxmlformats.org/officeDocument/2006/relationships/image" Target="file:///C:\InventorySystem\qr\FP0138.png" TargetMode="External"/><Relationship Id="rId327" Type="http://schemas.openxmlformats.org/officeDocument/2006/relationships/image" Target="file:///C:\InventorySystem\qr\FP0334.png" TargetMode="External"/><Relationship Id="rId369" Type="http://schemas.openxmlformats.org/officeDocument/2006/relationships/image" Target="file:///C:\InventorySystem\qr\FP0376.png" TargetMode="External"/><Relationship Id="rId173" Type="http://schemas.openxmlformats.org/officeDocument/2006/relationships/image" Target="file:///C:\InventorySystem\qr\FP0180.png" TargetMode="External"/><Relationship Id="rId229" Type="http://schemas.openxmlformats.org/officeDocument/2006/relationships/image" Target="file:///C:\InventorySystem\qr\FP0236.png" TargetMode="External"/><Relationship Id="rId380" Type="http://schemas.openxmlformats.org/officeDocument/2006/relationships/image" Target="file:///C:\InventorySystem\qr\FP0387.png" TargetMode="External"/><Relationship Id="rId436" Type="http://schemas.openxmlformats.org/officeDocument/2006/relationships/image" Target="file:///C:\InventorySystem\qr\FP0443.png" TargetMode="External"/><Relationship Id="rId240" Type="http://schemas.openxmlformats.org/officeDocument/2006/relationships/image" Target="file:///C:\InventorySystem\qr\FP0247.png" TargetMode="External"/><Relationship Id="rId478" Type="http://schemas.openxmlformats.org/officeDocument/2006/relationships/image" Target="file:///C:\InventorySystem\qr\FP0485.png" TargetMode="External"/><Relationship Id="rId35" Type="http://schemas.openxmlformats.org/officeDocument/2006/relationships/image" Target="file:///C:\InventorySystem\qr\FP0042.png" TargetMode="External"/><Relationship Id="rId77" Type="http://schemas.openxmlformats.org/officeDocument/2006/relationships/image" Target="file:///C:\InventorySystem\qr\FP0084.png" TargetMode="External"/><Relationship Id="rId100" Type="http://schemas.openxmlformats.org/officeDocument/2006/relationships/image" Target="file:///C:\InventorySystem\qr\FP0107.png" TargetMode="External"/><Relationship Id="rId282" Type="http://schemas.openxmlformats.org/officeDocument/2006/relationships/image" Target="file:///C:\InventorySystem\qr\FP0289.png" TargetMode="External"/><Relationship Id="rId338" Type="http://schemas.openxmlformats.org/officeDocument/2006/relationships/image" Target="file:///C:\InventorySystem\qr\FP0345.png" TargetMode="External"/><Relationship Id="rId8" Type="http://schemas.openxmlformats.org/officeDocument/2006/relationships/image" Target="file:///C:\InventorySystem\qr\FP0014.png" TargetMode="External"/><Relationship Id="rId142" Type="http://schemas.openxmlformats.org/officeDocument/2006/relationships/image" Target="file:///C:\InventorySystem\qr\FP0149.png" TargetMode="External"/><Relationship Id="rId184" Type="http://schemas.openxmlformats.org/officeDocument/2006/relationships/image" Target="file:///C:\InventorySystem\qr\FP0191.png" TargetMode="External"/><Relationship Id="rId391" Type="http://schemas.openxmlformats.org/officeDocument/2006/relationships/image" Target="file:///C:\InventorySystem\qr\FP0398.png" TargetMode="External"/><Relationship Id="rId405" Type="http://schemas.openxmlformats.org/officeDocument/2006/relationships/image" Target="file:///C:\InventorySystem\qr\FP0412.png" TargetMode="External"/><Relationship Id="rId447" Type="http://schemas.openxmlformats.org/officeDocument/2006/relationships/image" Target="file:///C:\InventorySystem\qr\FP0454.png" TargetMode="External"/><Relationship Id="rId251" Type="http://schemas.openxmlformats.org/officeDocument/2006/relationships/image" Target="file:///C:\InventorySystem\qr\FP0258.png" TargetMode="External"/><Relationship Id="rId489" Type="http://schemas.openxmlformats.org/officeDocument/2006/relationships/image" Target="file:///C:\InventorySystem\qr\FP0496.png" TargetMode="External"/><Relationship Id="rId46" Type="http://schemas.openxmlformats.org/officeDocument/2006/relationships/image" Target="file:///C:\InventorySystem\qr\FP0053.png" TargetMode="External"/><Relationship Id="rId293" Type="http://schemas.openxmlformats.org/officeDocument/2006/relationships/image" Target="file:///C:\InventorySystem\qr\FP0300.png" TargetMode="External"/><Relationship Id="rId307" Type="http://schemas.openxmlformats.org/officeDocument/2006/relationships/image" Target="file:///C:\InventorySystem\qr\FP0314.png" TargetMode="External"/><Relationship Id="rId349" Type="http://schemas.openxmlformats.org/officeDocument/2006/relationships/image" Target="file:///C:\InventorySystem\qr\FP0356.png" TargetMode="External"/><Relationship Id="rId88" Type="http://schemas.openxmlformats.org/officeDocument/2006/relationships/image" Target="file:///C:\InventorySystem\qr\FP0095.png" TargetMode="External"/><Relationship Id="rId111" Type="http://schemas.openxmlformats.org/officeDocument/2006/relationships/image" Target="file:///C:\InventorySystem\qr\FP0118.png" TargetMode="External"/><Relationship Id="rId153" Type="http://schemas.openxmlformats.org/officeDocument/2006/relationships/image" Target="file:///C:\InventorySystem\qr\FP0160.png" TargetMode="External"/><Relationship Id="rId195" Type="http://schemas.openxmlformats.org/officeDocument/2006/relationships/image" Target="file:///C:\InventorySystem\qr\FP0202.png" TargetMode="External"/><Relationship Id="rId209" Type="http://schemas.openxmlformats.org/officeDocument/2006/relationships/image" Target="file:///C:\InventorySystem\qr\FP0216.png" TargetMode="External"/><Relationship Id="rId360" Type="http://schemas.openxmlformats.org/officeDocument/2006/relationships/image" Target="file:///C:\InventorySystem\qr\FP0367.png" TargetMode="External"/><Relationship Id="rId416" Type="http://schemas.openxmlformats.org/officeDocument/2006/relationships/image" Target="file:///C:\InventorySystem\qr\FP0423.png" TargetMode="External"/><Relationship Id="rId220" Type="http://schemas.openxmlformats.org/officeDocument/2006/relationships/image" Target="file:///C:\InventorySystem\qr\FP0227.png" TargetMode="External"/><Relationship Id="rId458" Type="http://schemas.openxmlformats.org/officeDocument/2006/relationships/image" Target="file:///C:\InventorySystem\qr\FP0465.png" TargetMode="External"/><Relationship Id="rId15" Type="http://schemas.openxmlformats.org/officeDocument/2006/relationships/image" Target="file:///C:\InventorySystem\qr\FP0021.png" TargetMode="External"/><Relationship Id="rId57" Type="http://schemas.openxmlformats.org/officeDocument/2006/relationships/image" Target="file:///C:\InventorySystem\qr\FP0064.png" TargetMode="External"/><Relationship Id="rId262" Type="http://schemas.openxmlformats.org/officeDocument/2006/relationships/image" Target="file:///C:\InventorySystem\qr\FP0269.png" TargetMode="External"/><Relationship Id="rId318" Type="http://schemas.openxmlformats.org/officeDocument/2006/relationships/image" Target="file:///C:\InventorySystem\qr\FP0325.png" TargetMode="External"/><Relationship Id="rId99" Type="http://schemas.openxmlformats.org/officeDocument/2006/relationships/image" Target="file:///C:\InventorySystem\qr\FP0106.png" TargetMode="External"/><Relationship Id="rId122" Type="http://schemas.openxmlformats.org/officeDocument/2006/relationships/image" Target="file:///C:\InventorySystem\qr\FP0129.png" TargetMode="External"/><Relationship Id="rId164" Type="http://schemas.openxmlformats.org/officeDocument/2006/relationships/image" Target="file:///C:\InventorySystem\qr\FP0171.png" TargetMode="External"/><Relationship Id="rId371" Type="http://schemas.openxmlformats.org/officeDocument/2006/relationships/image" Target="file:///C:\InventorySystem\qr\FP0378.png" TargetMode="External"/><Relationship Id="rId427" Type="http://schemas.openxmlformats.org/officeDocument/2006/relationships/image" Target="file:///C:\InventorySystem\qr\FP0434.png" TargetMode="External"/><Relationship Id="rId469" Type="http://schemas.openxmlformats.org/officeDocument/2006/relationships/image" Target="file:///C:\InventorySystem\qr\FP0476.png" TargetMode="External"/><Relationship Id="rId26" Type="http://schemas.openxmlformats.org/officeDocument/2006/relationships/image" Target="file:///C:\InventorySystem\qr\FP0033.png" TargetMode="External"/><Relationship Id="rId231" Type="http://schemas.openxmlformats.org/officeDocument/2006/relationships/image" Target="file:///C:\InventorySystem\qr\FP0238.png" TargetMode="External"/><Relationship Id="rId273" Type="http://schemas.openxmlformats.org/officeDocument/2006/relationships/image" Target="file:///C:\InventorySystem\qr\FP0280.png" TargetMode="External"/><Relationship Id="rId329" Type="http://schemas.openxmlformats.org/officeDocument/2006/relationships/image" Target="file:///C:\InventorySystem\qr\FP0336.png" TargetMode="External"/><Relationship Id="rId480" Type="http://schemas.openxmlformats.org/officeDocument/2006/relationships/image" Target="file:///C:\InventorySystem\qr\FP0487.png" TargetMode="External"/><Relationship Id="rId68" Type="http://schemas.openxmlformats.org/officeDocument/2006/relationships/image" Target="file:///C:\InventorySystem\qr\FP0075.png" TargetMode="External"/><Relationship Id="rId133" Type="http://schemas.openxmlformats.org/officeDocument/2006/relationships/image" Target="file:///C:\InventorySystem\qr\FP0140.png" TargetMode="External"/><Relationship Id="rId175" Type="http://schemas.openxmlformats.org/officeDocument/2006/relationships/image" Target="file:///C:\InventorySystem\qr\FP0182.png" TargetMode="External"/><Relationship Id="rId340" Type="http://schemas.openxmlformats.org/officeDocument/2006/relationships/image" Target="file:///C:\InventorySystem\qr\FP0347.png" TargetMode="External"/><Relationship Id="rId200" Type="http://schemas.openxmlformats.org/officeDocument/2006/relationships/image" Target="file:///C:\InventorySystem\qr\FP0207.png" TargetMode="External"/><Relationship Id="rId382" Type="http://schemas.openxmlformats.org/officeDocument/2006/relationships/image" Target="file:///C:\InventorySystem\qr\FP0389.png" TargetMode="External"/><Relationship Id="rId438" Type="http://schemas.openxmlformats.org/officeDocument/2006/relationships/image" Target="file:///C:\InventorySystem\qr\FP0445.png" TargetMode="External"/><Relationship Id="rId242" Type="http://schemas.openxmlformats.org/officeDocument/2006/relationships/image" Target="file:///C:\InventorySystem\qr\FP0249.png" TargetMode="External"/><Relationship Id="rId284" Type="http://schemas.openxmlformats.org/officeDocument/2006/relationships/image" Target="file:///C:\InventorySystem\qr\FP0291.png" TargetMode="External"/><Relationship Id="rId491" Type="http://schemas.openxmlformats.org/officeDocument/2006/relationships/image" Target="file:///C:\InventorySystem\qr\FP0498.png" TargetMode="External"/><Relationship Id="rId37" Type="http://schemas.openxmlformats.org/officeDocument/2006/relationships/image" Target="file:///C:\InventorySystem\qr\FP0044.png" TargetMode="External"/><Relationship Id="rId79" Type="http://schemas.openxmlformats.org/officeDocument/2006/relationships/image" Target="file:///C:\InventorySystem\qr\FP0086.png" TargetMode="External"/><Relationship Id="rId102" Type="http://schemas.openxmlformats.org/officeDocument/2006/relationships/image" Target="file:///C:\InventorySystem\qr\FP0109.png" TargetMode="External"/><Relationship Id="rId144" Type="http://schemas.openxmlformats.org/officeDocument/2006/relationships/image" Target="file:///C:\InventorySystem\qr\FP0151.png" TargetMode="External"/><Relationship Id="rId90" Type="http://schemas.openxmlformats.org/officeDocument/2006/relationships/image" Target="file:///C:\InventorySystem\qr\FP0097.png" TargetMode="External"/><Relationship Id="rId186" Type="http://schemas.openxmlformats.org/officeDocument/2006/relationships/image" Target="file:///C:\InventorySystem\qr\FP0193.png" TargetMode="External"/><Relationship Id="rId351" Type="http://schemas.openxmlformats.org/officeDocument/2006/relationships/image" Target="file:///C:\InventorySystem\qr\FP0358.png" TargetMode="External"/><Relationship Id="rId393" Type="http://schemas.openxmlformats.org/officeDocument/2006/relationships/image" Target="file:///C:\InventorySystem\qr\FP0400.png" TargetMode="External"/><Relationship Id="rId407" Type="http://schemas.openxmlformats.org/officeDocument/2006/relationships/image" Target="file:///C:\InventorySystem\qr\FP0414.png" TargetMode="External"/><Relationship Id="rId449" Type="http://schemas.openxmlformats.org/officeDocument/2006/relationships/image" Target="file:///C:\InventorySystem\qr\FP0456.png" TargetMode="External"/><Relationship Id="rId211" Type="http://schemas.openxmlformats.org/officeDocument/2006/relationships/image" Target="file:///C:\InventorySystem\qr\FP0218.png" TargetMode="External"/><Relationship Id="rId253" Type="http://schemas.openxmlformats.org/officeDocument/2006/relationships/image" Target="file:///C:\InventorySystem\qr\FP0260.png" TargetMode="External"/><Relationship Id="rId295" Type="http://schemas.openxmlformats.org/officeDocument/2006/relationships/image" Target="file:///C:\InventorySystem\qr\FP0302.png" TargetMode="External"/><Relationship Id="rId309" Type="http://schemas.openxmlformats.org/officeDocument/2006/relationships/image" Target="file:///C:\InventorySystem\qr\FP0316.png" TargetMode="External"/><Relationship Id="rId460" Type="http://schemas.openxmlformats.org/officeDocument/2006/relationships/image" Target="file:///C:\InventorySystem\qr\FP0467.png" TargetMode="External"/><Relationship Id="rId48" Type="http://schemas.openxmlformats.org/officeDocument/2006/relationships/image" Target="file:///C:\InventorySystem\qr\FP0055.png" TargetMode="External"/><Relationship Id="rId113" Type="http://schemas.openxmlformats.org/officeDocument/2006/relationships/image" Target="file:///C:\InventorySystem\qr\FP0120.png" TargetMode="External"/><Relationship Id="rId320" Type="http://schemas.openxmlformats.org/officeDocument/2006/relationships/image" Target="file:///C:\InventorySystem\qr\FP0327.png" TargetMode="External"/><Relationship Id="rId155" Type="http://schemas.openxmlformats.org/officeDocument/2006/relationships/image" Target="file:///C:\InventorySystem\qr\FP0162.png" TargetMode="External"/><Relationship Id="rId197" Type="http://schemas.openxmlformats.org/officeDocument/2006/relationships/image" Target="file:///C:\InventorySystem\qr\FP0204.png" TargetMode="External"/><Relationship Id="rId362" Type="http://schemas.openxmlformats.org/officeDocument/2006/relationships/image" Target="file:///C:\InventorySystem\qr\FP0369.png" TargetMode="External"/><Relationship Id="rId418" Type="http://schemas.openxmlformats.org/officeDocument/2006/relationships/image" Target="file:///C:\InventorySystem\qr\FP0425.png" TargetMode="External"/><Relationship Id="rId222" Type="http://schemas.openxmlformats.org/officeDocument/2006/relationships/image" Target="file:///C:\InventorySystem\qr\FP0229.png" TargetMode="External"/><Relationship Id="rId264" Type="http://schemas.openxmlformats.org/officeDocument/2006/relationships/image" Target="file:///C:\InventorySystem\qr\FP0271.png" TargetMode="External"/><Relationship Id="rId471" Type="http://schemas.openxmlformats.org/officeDocument/2006/relationships/image" Target="file:///C:\InventorySystem\qr\FP0478.png" TargetMode="External"/><Relationship Id="rId17" Type="http://schemas.openxmlformats.org/officeDocument/2006/relationships/image" Target="file:///C:\InventorySystem\qr\FP0023.png" TargetMode="External"/><Relationship Id="rId59" Type="http://schemas.openxmlformats.org/officeDocument/2006/relationships/image" Target="file:///C:\InventorySystem\qr\FP0066.png" TargetMode="External"/><Relationship Id="rId124" Type="http://schemas.openxmlformats.org/officeDocument/2006/relationships/image" Target="file:///C:\InventorySystem\qr\FP0131.png" TargetMode="External"/><Relationship Id="rId70" Type="http://schemas.openxmlformats.org/officeDocument/2006/relationships/image" Target="file:///C:\InventorySystem\qr\FP0077.png" TargetMode="External"/><Relationship Id="rId166" Type="http://schemas.openxmlformats.org/officeDocument/2006/relationships/image" Target="file:///C:\InventorySystem\qr\FP0173.png" TargetMode="External"/><Relationship Id="rId331" Type="http://schemas.openxmlformats.org/officeDocument/2006/relationships/image" Target="file:///C:\InventorySystem\qr\FP0338.png" TargetMode="External"/><Relationship Id="rId373" Type="http://schemas.openxmlformats.org/officeDocument/2006/relationships/image" Target="file:///C:\InventorySystem\qr\FP0380.png" TargetMode="External"/><Relationship Id="rId429" Type="http://schemas.openxmlformats.org/officeDocument/2006/relationships/image" Target="file:///C:\InventorySystem\qr\FP0436.png" TargetMode="External"/><Relationship Id="rId1" Type="http://schemas.openxmlformats.org/officeDocument/2006/relationships/image" Target="file:///C:\InventorySystem\qr\FP0006.png" TargetMode="External"/><Relationship Id="rId233" Type="http://schemas.openxmlformats.org/officeDocument/2006/relationships/image" Target="file:///C:\InventorySystem\qr\FP0240.png" TargetMode="External"/><Relationship Id="rId440" Type="http://schemas.openxmlformats.org/officeDocument/2006/relationships/image" Target="file:///C:\InventorySystem\qr\FP0447.png" TargetMode="External"/><Relationship Id="rId28" Type="http://schemas.openxmlformats.org/officeDocument/2006/relationships/image" Target="file:///C:\InventorySystem\qr\FP0035.png" TargetMode="External"/><Relationship Id="rId275" Type="http://schemas.openxmlformats.org/officeDocument/2006/relationships/image" Target="file:///C:\InventorySystem\qr\FP0282.png" TargetMode="External"/><Relationship Id="rId300" Type="http://schemas.openxmlformats.org/officeDocument/2006/relationships/image" Target="file:///C:\InventorySystem\qr\FP0307.png" TargetMode="External"/><Relationship Id="rId482" Type="http://schemas.openxmlformats.org/officeDocument/2006/relationships/image" Target="file:///C:\InventorySystem\qr\FP0489.png" TargetMode="External"/><Relationship Id="rId81" Type="http://schemas.openxmlformats.org/officeDocument/2006/relationships/image" Target="file:///C:\InventorySystem\qr\FP0088.png" TargetMode="External"/><Relationship Id="rId135" Type="http://schemas.openxmlformats.org/officeDocument/2006/relationships/image" Target="file:///C:\InventorySystem\qr\FP0142.png" TargetMode="External"/><Relationship Id="rId177" Type="http://schemas.openxmlformats.org/officeDocument/2006/relationships/image" Target="file:///C:\InventorySystem\qr\FP0184.png" TargetMode="External"/><Relationship Id="rId342" Type="http://schemas.openxmlformats.org/officeDocument/2006/relationships/image" Target="file:///C:\InventorySystem\qr\FP0349.png" TargetMode="External"/><Relationship Id="rId384" Type="http://schemas.openxmlformats.org/officeDocument/2006/relationships/image" Target="file:///C:\InventorySystem\qr\FP0391.png" TargetMode="External"/><Relationship Id="rId202" Type="http://schemas.openxmlformats.org/officeDocument/2006/relationships/image" Target="file:///C:\InventorySystem\qr\FP0209.png" TargetMode="External"/><Relationship Id="rId244" Type="http://schemas.openxmlformats.org/officeDocument/2006/relationships/image" Target="file:///C:\InventorySystem\qr\FP0251.png" TargetMode="External"/><Relationship Id="rId39" Type="http://schemas.openxmlformats.org/officeDocument/2006/relationships/image" Target="file:///C:\InventorySystem\qr\FP0046.png" TargetMode="External"/><Relationship Id="rId286" Type="http://schemas.openxmlformats.org/officeDocument/2006/relationships/image" Target="file:///C:\InventorySystem\qr\FP0293.png" TargetMode="External"/><Relationship Id="rId451" Type="http://schemas.openxmlformats.org/officeDocument/2006/relationships/image" Target="file:///C:\InventorySystem\qr\FP0458.png" TargetMode="External"/><Relationship Id="rId493" Type="http://schemas.openxmlformats.org/officeDocument/2006/relationships/image" Target="file:///C:\InventorySystem\qr\FP0500.png" TargetMode="External"/><Relationship Id="rId50" Type="http://schemas.openxmlformats.org/officeDocument/2006/relationships/image" Target="file:///C:\InventorySystem\qr\FP0057.png" TargetMode="External"/><Relationship Id="rId104" Type="http://schemas.openxmlformats.org/officeDocument/2006/relationships/image" Target="file:///C:\InventorySystem\qr\FP0111.png" TargetMode="External"/><Relationship Id="rId146" Type="http://schemas.openxmlformats.org/officeDocument/2006/relationships/image" Target="file:///C:\InventorySystem\qr\FP0153.png" TargetMode="External"/><Relationship Id="rId188" Type="http://schemas.openxmlformats.org/officeDocument/2006/relationships/image" Target="file:///C:\InventorySystem\qr\FP0195.png" TargetMode="External"/><Relationship Id="rId311" Type="http://schemas.openxmlformats.org/officeDocument/2006/relationships/image" Target="file:///C:\InventorySystem\qr\FP0318.png" TargetMode="External"/><Relationship Id="rId353" Type="http://schemas.openxmlformats.org/officeDocument/2006/relationships/image" Target="file:///C:\InventorySystem\qr\FP0360.png" TargetMode="External"/><Relationship Id="rId395" Type="http://schemas.openxmlformats.org/officeDocument/2006/relationships/image" Target="file:///C:\InventorySystem\qr\FP0402.png" TargetMode="External"/><Relationship Id="rId409" Type="http://schemas.openxmlformats.org/officeDocument/2006/relationships/image" Target="file:///C:\InventorySystem\qr\FP0416.png" TargetMode="External"/><Relationship Id="rId92" Type="http://schemas.openxmlformats.org/officeDocument/2006/relationships/image" Target="file:///C:\InventorySystem\qr\FP0099.png" TargetMode="External"/><Relationship Id="rId213" Type="http://schemas.openxmlformats.org/officeDocument/2006/relationships/image" Target="file:///C:\InventorySystem\qr\FP0220.png" TargetMode="External"/><Relationship Id="rId420" Type="http://schemas.openxmlformats.org/officeDocument/2006/relationships/image" Target="file:///C:\InventorySystem\qr\FP0427.png" TargetMode="External"/><Relationship Id="rId255" Type="http://schemas.openxmlformats.org/officeDocument/2006/relationships/image" Target="file:///C:\InventorySystem\qr\FP0262.png" TargetMode="External"/><Relationship Id="rId297" Type="http://schemas.openxmlformats.org/officeDocument/2006/relationships/image" Target="file:///C:\InventorySystem\qr\FP0304.png" TargetMode="External"/><Relationship Id="rId462" Type="http://schemas.openxmlformats.org/officeDocument/2006/relationships/image" Target="file:///C:\InventorySystem\qr\FP0469.png" TargetMode="External"/><Relationship Id="rId115" Type="http://schemas.openxmlformats.org/officeDocument/2006/relationships/image" Target="file:///C:\InventorySystem\qr\FP0122.png" TargetMode="External"/><Relationship Id="rId157" Type="http://schemas.openxmlformats.org/officeDocument/2006/relationships/image" Target="file:///C:\InventorySystem\qr\FP0164.png" TargetMode="External"/><Relationship Id="rId322" Type="http://schemas.openxmlformats.org/officeDocument/2006/relationships/image" Target="file:///C:\InventorySystem\qr\FP0329.png" TargetMode="External"/><Relationship Id="rId364" Type="http://schemas.openxmlformats.org/officeDocument/2006/relationships/image" Target="file:///C:\InventorySystem\qr\FP0371.png" TargetMode="External"/><Relationship Id="rId61" Type="http://schemas.openxmlformats.org/officeDocument/2006/relationships/image" Target="file:///C:\InventorySystem\qr\FP0068.png" TargetMode="External"/><Relationship Id="rId199" Type="http://schemas.openxmlformats.org/officeDocument/2006/relationships/image" Target="file:///C:\InventorySystem\qr\FP0206.png" TargetMode="External"/><Relationship Id="rId19" Type="http://schemas.openxmlformats.org/officeDocument/2006/relationships/image" Target="file:///C:\InventorySystem\qr\FP0025.png" TargetMode="External"/><Relationship Id="rId224" Type="http://schemas.openxmlformats.org/officeDocument/2006/relationships/image" Target="file:///C:\InventorySystem\qr\FP0231.png" TargetMode="External"/><Relationship Id="rId266" Type="http://schemas.openxmlformats.org/officeDocument/2006/relationships/image" Target="file:///C:\InventorySystem\qr\FP0273.png" TargetMode="External"/><Relationship Id="rId431" Type="http://schemas.openxmlformats.org/officeDocument/2006/relationships/image" Target="file:///C:\InventorySystem\qr\FP0438.png" TargetMode="External"/><Relationship Id="rId473" Type="http://schemas.openxmlformats.org/officeDocument/2006/relationships/image" Target="file:///C:\InventorySystem\qr\FP0480.png" TargetMode="External"/><Relationship Id="rId30" Type="http://schemas.openxmlformats.org/officeDocument/2006/relationships/image" Target="file:///C:\InventorySystem\qr\FP0037.png" TargetMode="External"/><Relationship Id="rId126" Type="http://schemas.openxmlformats.org/officeDocument/2006/relationships/image" Target="file:///C:\InventorySystem\qr\FP0133.png" TargetMode="External"/><Relationship Id="rId168" Type="http://schemas.openxmlformats.org/officeDocument/2006/relationships/image" Target="file:///C:\InventorySystem\qr\FP0175.png" TargetMode="External"/><Relationship Id="rId333" Type="http://schemas.openxmlformats.org/officeDocument/2006/relationships/image" Target="file:///C:\InventorySystem\qr\FP0340.png" TargetMode="External"/><Relationship Id="rId72" Type="http://schemas.openxmlformats.org/officeDocument/2006/relationships/image" Target="file:///C:\InventorySystem\qr\FP0079.png" TargetMode="External"/><Relationship Id="rId375" Type="http://schemas.openxmlformats.org/officeDocument/2006/relationships/image" Target="file:///C:\InventorySystem\qr\FP0382.png" TargetMode="External"/><Relationship Id="rId3" Type="http://schemas.openxmlformats.org/officeDocument/2006/relationships/image" Target="file:///C:\InventorySystem\qr\FP0008.png" TargetMode="External"/><Relationship Id="rId235" Type="http://schemas.openxmlformats.org/officeDocument/2006/relationships/image" Target="file:///C:\InventorySystem\qr\FP0242.png" TargetMode="External"/><Relationship Id="rId277" Type="http://schemas.openxmlformats.org/officeDocument/2006/relationships/image" Target="file:///C:\InventorySystem\qr\FP0284.png" TargetMode="External"/><Relationship Id="rId400" Type="http://schemas.openxmlformats.org/officeDocument/2006/relationships/image" Target="file:///C:\InventorySystem\qr\FP0407.png" TargetMode="External"/><Relationship Id="rId442" Type="http://schemas.openxmlformats.org/officeDocument/2006/relationships/image" Target="file:///C:\InventorySystem\qr\FP0449.png" TargetMode="External"/><Relationship Id="rId484" Type="http://schemas.openxmlformats.org/officeDocument/2006/relationships/image" Target="file:///C:\InventorySystem\qr\FP0491.png" TargetMode="External"/><Relationship Id="rId137" Type="http://schemas.openxmlformats.org/officeDocument/2006/relationships/image" Target="file:///C:\InventorySystem\qr\FP0144.png" TargetMode="External"/><Relationship Id="rId302" Type="http://schemas.openxmlformats.org/officeDocument/2006/relationships/image" Target="file:///C:\InventorySystem\qr\FP0309.png" TargetMode="External"/><Relationship Id="rId344" Type="http://schemas.openxmlformats.org/officeDocument/2006/relationships/image" Target="file:///C:\InventorySystem\qr\FP0351.png" TargetMode="External"/><Relationship Id="rId41" Type="http://schemas.openxmlformats.org/officeDocument/2006/relationships/image" Target="file:///C:\InventorySystem\qr\FP0048.png" TargetMode="External"/><Relationship Id="rId83" Type="http://schemas.openxmlformats.org/officeDocument/2006/relationships/image" Target="file:///C:\InventorySystem\qr\FP0090.png" TargetMode="External"/><Relationship Id="rId179" Type="http://schemas.openxmlformats.org/officeDocument/2006/relationships/image" Target="file:///C:\InventorySystem\qr\FP0186.png" TargetMode="External"/><Relationship Id="rId386" Type="http://schemas.openxmlformats.org/officeDocument/2006/relationships/image" Target="file:///C:\InventorySystem\qr\FP0393.png" TargetMode="External"/><Relationship Id="rId190" Type="http://schemas.openxmlformats.org/officeDocument/2006/relationships/image" Target="file:///C:\InventorySystem\qr\FP0197.png" TargetMode="External"/><Relationship Id="rId204" Type="http://schemas.openxmlformats.org/officeDocument/2006/relationships/image" Target="file:///C:\InventorySystem\qr\FP0211.png" TargetMode="External"/><Relationship Id="rId246" Type="http://schemas.openxmlformats.org/officeDocument/2006/relationships/image" Target="file:///C:\InventorySystem\qr\FP0253.png" TargetMode="External"/><Relationship Id="rId288" Type="http://schemas.openxmlformats.org/officeDocument/2006/relationships/image" Target="file:///C:\InventorySystem\qr\FP0295.png" TargetMode="External"/><Relationship Id="rId411" Type="http://schemas.openxmlformats.org/officeDocument/2006/relationships/image" Target="file:///C:\InventorySystem\qr\FP0418.png" TargetMode="External"/><Relationship Id="rId453" Type="http://schemas.openxmlformats.org/officeDocument/2006/relationships/image" Target="file:///C:\InventorySystem\qr\FP0460.png" TargetMode="External"/></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12</xdr:col>
      <xdr:colOff>684508</xdr:colOff>
      <xdr:row>6</xdr:row>
      <xdr:rowOff>206643</xdr:rowOff>
    </xdr:from>
    <xdr:to>
      <xdr:col>12</xdr:col>
      <xdr:colOff>1653152</xdr:colOff>
      <xdr:row>6</xdr:row>
      <xdr:rowOff>1177395</xdr:rowOff>
    </xdr:to>
    <xdr:pic>
      <xdr:nvPicPr>
        <xdr:cNvPr id="15" name="Picture 14">
          <a:extLst>
            <a:ext uri="{FF2B5EF4-FFF2-40B4-BE49-F238E27FC236}">
              <a16:creationId xmlns:a16="http://schemas.microsoft.com/office/drawing/2014/main" id="{B9FBC922-F0B0-F06E-6093-41141C40AB49}"/>
            </a:ext>
          </a:extLst>
        </xdr:cNvPr>
        <xdr:cNvPicPr>
          <a:picLocks noChangeAspect="1"/>
        </xdr:cNvPicPr>
      </xdr:nvPicPr>
      <xdr:blipFill>
        <a:blip xmlns:r="http://schemas.openxmlformats.org/officeDocument/2006/relationships" r:link="rId1"/>
        <a:stretch>
          <a:fillRect/>
        </a:stretch>
      </xdr:blipFill>
      <xdr:spPr>
        <a:xfrm>
          <a:off x="28452305" y="8575728"/>
          <a:ext cx="968644" cy="970752"/>
        </a:xfrm>
        <a:prstGeom prst="rect">
          <a:avLst/>
        </a:prstGeom>
      </xdr:spPr>
    </xdr:pic>
    <xdr:clientData/>
  </xdr:twoCellAnchor>
  <xdr:twoCellAnchor editAs="oneCell">
    <xdr:from>
      <xdr:col>12</xdr:col>
      <xdr:colOff>684508</xdr:colOff>
      <xdr:row>7</xdr:row>
      <xdr:rowOff>206643</xdr:rowOff>
    </xdr:from>
    <xdr:to>
      <xdr:col>12</xdr:col>
      <xdr:colOff>1653152</xdr:colOff>
      <xdr:row>7</xdr:row>
      <xdr:rowOff>1177395</xdr:rowOff>
    </xdr:to>
    <xdr:pic>
      <xdr:nvPicPr>
        <xdr:cNvPr id="17" name="Picture 16">
          <a:extLst>
            <a:ext uri="{FF2B5EF4-FFF2-40B4-BE49-F238E27FC236}">
              <a16:creationId xmlns:a16="http://schemas.microsoft.com/office/drawing/2014/main" id="{3D5563AA-30BF-CE2F-5799-A10B728E54A3}"/>
            </a:ext>
          </a:extLst>
        </xdr:cNvPr>
        <xdr:cNvPicPr>
          <a:picLocks noChangeAspect="1"/>
        </xdr:cNvPicPr>
      </xdr:nvPicPr>
      <xdr:blipFill>
        <a:blip xmlns:r="http://schemas.openxmlformats.org/officeDocument/2006/relationships" r:link="rId2"/>
        <a:stretch>
          <a:fillRect/>
        </a:stretch>
      </xdr:blipFill>
      <xdr:spPr>
        <a:xfrm>
          <a:off x="28452305" y="9970575"/>
          <a:ext cx="968644" cy="970752"/>
        </a:xfrm>
        <a:prstGeom prst="rect">
          <a:avLst/>
        </a:prstGeom>
      </xdr:spPr>
    </xdr:pic>
    <xdr:clientData/>
  </xdr:twoCellAnchor>
  <xdr:twoCellAnchor editAs="oneCell">
    <xdr:from>
      <xdr:col>12</xdr:col>
      <xdr:colOff>684508</xdr:colOff>
      <xdr:row>8</xdr:row>
      <xdr:rowOff>206643</xdr:rowOff>
    </xdr:from>
    <xdr:to>
      <xdr:col>12</xdr:col>
      <xdr:colOff>1653152</xdr:colOff>
      <xdr:row>8</xdr:row>
      <xdr:rowOff>1177395</xdr:rowOff>
    </xdr:to>
    <xdr:pic>
      <xdr:nvPicPr>
        <xdr:cNvPr id="19" name="Picture 18">
          <a:extLst>
            <a:ext uri="{FF2B5EF4-FFF2-40B4-BE49-F238E27FC236}">
              <a16:creationId xmlns:a16="http://schemas.microsoft.com/office/drawing/2014/main" id="{512F4238-216C-62CB-8921-F17D2E4E02F1}"/>
            </a:ext>
          </a:extLst>
        </xdr:cNvPr>
        <xdr:cNvPicPr>
          <a:picLocks noChangeAspect="1"/>
        </xdr:cNvPicPr>
      </xdr:nvPicPr>
      <xdr:blipFill>
        <a:blip xmlns:r="http://schemas.openxmlformats.org/officeDocument/2006/relationships" r:link="rId3"/>
        <a:stretch>
          <a:fillRect/>
        </a:stretch>
      </xdr:blipFill>
      <xdr:spPr>
        <a:xfrm>
          <a:off x="28452305" y="11365423"/>
          <a:ext cx="968644" cy="970752"/>
        </a:xfrm>
        <a:prstGeom prst="rect">
          <a:avLst/>
        </a:prstGeom>
      </xdr:spPr>
    </xdr:pic>
    <xdr:clientData/>
  </xdr:twoCellAnchor>
  <xdr:twoCellAnchor editAs="oneCell">
    <xdr:from>
      <xdr:col>12</xdr:col>
      <xdr:colOff>684508</xdr:colOff>
      <xdr:row>10</xdr:row>
      <xdr:rowOff>206643</xdr:rowOff>
    </xdr:from>
    <xdr:to>
      <xdr:col>12</xdr:col>
      <xdr:colOff>1653152</xdr:colOff>
      <xdr:row>10</xdr:row>
      <xdr:rowOff>1177395</xdr:rowOff>
    </xdr:to>
    <xdr:pic>
      <xdr:nvPicPr>
        <xdr:cNvPr id="23" name="Picture 22">
          <a:extLst>
            <a:ext uri="{FF2B5EF4-FFF2-40B4-BE49-F238E27FC236}">
              <a16:creationId xmlns:a16="http://schemas.microsoft.com/office/drawing/2014/main" id="{F1649B02-355A-6ED5-FDE4-45512E1F7E55}"/>
            </a:ext>
          </a:extLst>
        </xdr:cNvPr>
        <xdr:cNvPicPr>
          <a:picLocks noChangeAspect="1"/>
        </xdr:cNvPicPr>
      </xdr:nvPicPr>
      <xdr:blipFill>
        <a:blip xmlns:r="http://schemas.openxmlformats.org/officeDocument/2006/relationships" r:link="rId4"/>
        <a:stretch>
          <a:fillRect/>
        </a:stretch>
      </xdr:blipFill>
      <xdr:spPr>
        <a:xfrm>
          <a:off x="28452305" y="14155118"/>
          <a:ext cx="968644" cy="970752"/>
        </a:xfrm>
        <a:prstGeom prst="rect">
          <a:avLst/>
        </a:prstGeom>
      </xdr:spPr>
    </xdr:pic>
    <xdr:clientData/>
  </xdr:twoCellAnchor>
  <xdr:twoCellAnchor editAs="oneCell">
    <xdr:from>
      <xdr:col>12</xdr:col>
      <xdr:colOff>684508</xdr:colOff>
      <xdr:row>11</xdr:row>
      <xdr:rowOff>206644</xdr:rowOff>
    </xdr:from>
    <xdr:to>
      <xdr:col>12</xdr:col>
      <xdr:colOff>1653152</xdr:colOff>
      <xdr:row>11</xdr:row>
      <xdr:rowOff>1177396</xdr:rowOff>
    </xdr:to>
    <xdr:pic>
      <xdr:nvPicPr>
        <xdr:cNvPr id="25" name="Picture 24">
          <a:extLst>
            <a:ext uri="{FF2B5EF4-FFF2-40B4-BE49-F238E27FC236}">
              <a16:creationId xmlns:a16="http://schemas.microsoft.com/office/drawing/2014/main" id="{1057CADA-91AF-8205-1869-42C898B9C3CA}"/>
            </a:ext>
          </a:extLst>
        </xdr:cNvPr>
        <xdr:cNvPicPr>
          <a:picLocks noChangeAspect="1"/>
        </xdr:cNvPicPr>
      </xdr:nvPicPr>
      <xdr:blipFill>
        <a:blip xmlns:r="http://schemas.openxmlformats.org/officeDocument/2006/relationships" r:link="rId5"/>
        <a:stretch>
          <a:fillRect/>
        </a:stretch>
      </xdr:blipFill>
      <xdr:spPr>
        <a:xfrm>
          <a:off x="28452305" y="15549966"/>
          <a:ext cx="968644" cy="970752"/>
        </a:xfrm>
        <a:prstGeom prst="rect">
          <a:avLst/>
        </a:prstGeom>
      </xdr:spPr>
    </xdr:pic>
    <xdr:clientData/>
  </xdr:twoCellAnchor>
  <xdr:twoCellAnchor editAs="oneCell">
    <xdr:from>
      <xdr:col>12</xdr:col>
      <xdr:colOff>684508</xdr:colOff>
      <xdr:row>12</xdr:row>
      <xdr:rowOff>206643</xdr:rowOff>
    </xdr:from>
    <xdr:to>
      <xdr:col>12</xdr:col>
      <xdr:colOff>1653152</xdr:colOff>
      <xdr:row>12</xdr:row>
      <xdr:rowOff>1177395</xdr:rowOff>
    </xdr:to>
    <xdr:pic>
      <xdr:nvPicPr>
        <xdr:cNvPr id="27" name="Picture 26">
          <a:extLst>
            <a:ext uri="{FF2B5EF4-FFF2-40B4-BE49-F238E27FC236}">
              <a16:creationId xmlns:a16="http://schemas.microsoft.com/office/drawing/2014/main" id="{BC8533EB-28FC-8B69-CBFF-A17F758E97B3}"/>
            </a:ext>
          </a:extLst>
        </xdr:cNvPr>
        <xdr:cNvPicPr>
          <a:picLocks noChangeAspect="1"/>
        </xdr:cNvPicPr>
      </xdr:nvPicPr>
      <xdr:blipFill>
        <a:blip xmlns:r="http://schemas.openxmlformats.org/officeDocument/2006/relationships" r:link="rId6"/>
        <a:stretch>
          <a:fillRect/>
        </a:stretch>
      </xdr:blipFill>
      <xdr:spPr>
        <a:xfrm>
          <a:off x="28452305" y="16944812"/>
          <a:ext cx="968644" cy="970752"/>
        </a:xfrm>
        <a:prstGeom prst="rect">
          <a:avLst/>
        </a:prstGeom>
      </xdr:spPr>
    </xdr:pic>
    <xdr:clientData/>
  </xdr:twoCellAnchor>
  <xdr:twoCellAnchor editAs="oneCell">
    <xdr:from>
      <xdr:col>12</xdr:col>
      <xdr:colOff>684508</xdr:colOff>
      <xdr:row>13</xdr:row>
      <xdr:rowOff>206643</xdr:rowOff>
    </xdr:from>
    <xdr:to>
      <xdr:col>12</xdr:col>
      <xdr:colOff>1653152</xdr:colOff>
      <xdr:row>13</xdr:row>
      <xdr:rowOff>1177395</xdr:rowOff>
    </xdr:to>
    <xdr:pic>
      <xdr:nvPicPr>
        <xdr:cNvPr id="29" name="Picture 28">
          <a:extLst>
            <a:ext uri="{FF2B5EF4-FFF2-40B4-BE49-F238E27FC236}">
              <a16:creationId xmlns:a16="http://schemas.microsoft.com/office/drawing/2014/main" id="{9DAAE39C-C27C-D6BB-2E94-154ADF5C9331}"/>
            </a:ext>
          </a:extLst>
        </xdr:cNvPr>
        <xdr:cNvPicPr>
          <a:picLocks noChangeAspect="1"/>
        </xdr:cNvPicPr>
      </xdr:nvPicPr>
      <xdr:blipFill>
        <a:blip xmlns:r="http://schemas.openxmlformats.org/officeDocument/2006/relationships" r:link="rId7"/>
        <a:stretch>
          <a:fillRect/>
        </a:stretch>
      </xdr:blipFill>
      <xdr:spPr>
        <a:xfrm>
          <a:off x="28452305" y="18339660"/>
          <a:ext cx="968644" cy="970752"/>
        </a:xfrm>
        <a:prstGeom prst="rect">
          <a:avLst/>
        </a:prstGeom>
      </xdr:spPr>
    </xdr:pic>
    <xdr:clientData/>
  </xdr:twoCellAnchor>
  <xdr:twoCellAnchor editAs="oneCell">
    <xdr:from>
      <xdr:col>12</xdr:col>
      <xdr:colOff>684508</xdr:colOff>
      <xdr:row>14</xdr:row>
      <xdr:rowOff>206255</xdr:rowOff>
    </xdr:from>
    <xdr:to>
      <xdr:col>12</xdr:col>
      <xdr:colOff>1653152</xdr:colOff>
      <xdr:row>14</xdr:row>
      <xdr:rowOff>1177599</xdr:rowOff>
    </xdr:to>
    <xdr:pic>
      <xdr:nvPicPr>
        <xdr:cNvPr id="31" name="Picture 30">
          <a:extLst>
            <a:ext uri="{FF2B5EF4-FFF2-40B4-BE49-F238E27FC236}">
              <a16:creationId xmlns:a16="http://schemas.microsoft.com/office/drawing/2014/main" id="{B994149C-FFD8-09DD-D075-9672A47CF932}"/>
            </a:ext>
          </a:extLst>
        </xdr:cNvPr>
        <xdr:cNvPicPr>
          <a:picLocks noChangeAspect="1"/>
        </xdr:cNvPicPr>
      </xdr:nvPicPr>
      <xdr:blipFill>
        <a:blip xmlns:r="http://schemas.openxmlformats.org/officeDocument/2006/relationships" r:link="rId8"/>
        <a:stretch>
          <a:fillRect/>
        </a:stretch>
      </xdr:blipFill>
      <xdr:spPr>
        <a:xfrm>
          <a:off x="28452305" y="19734119"/>
          <a:ext cx="968644" cy="971344"/>
        </a:xfrm>
        <a:prstGeom prst="rect">
          <a:avLst/>
        </a:prstGeom>
      </xdr:spPr>
    </xdr:pic>
    <xdr:clientData/>
  </xdr:twoCellAnchor>
  <xdr:twoCellAnchor editAs="oneCell">
    <xdr:from>
      <xdr:col>12</xdr:col>
      <xdr:colOff>684508</xdr:colOff>
      <xdr:row>15</xdr:row>
      <xdr:rowOff>206643</xdr:rowOff>
    </xdr:from>
    <xdr:to>
      <xdr:col>12</xdr:col>
      <xdr:colOff>1653152</xdr:colOff>
      <xdr:row>15</xdr:row>
      <xdr:rowOff>1177395</xdr:rowOff>
    </xdr:to>
    <xdr:pic>
      <xdr:nvPicPr>
        <xdr:cNvPr id="33" name="Picture 32">
          <a:extLst>
            <a:ext uri="{FF2B5EF4-FFF2-40B4-BE49-F238E27FC236}">
              <a16:creationId xmlns:a16="http://schemas.microsoft.com/office/drawing/2014/main" id="{AFECB735-8A21-24A5-BC09-CB8AE06E763D}"/>
            </a:ext>
          </a:extLst>
        </xdr:cNvPr>
        <xdr:cNvPicPr>
          <a:picLocks noChangeAspect="1"/>
        </xdr:cNvPicPr>
      </xdr:nvPicPr>
      <xdr:blipFill>
        <a:blip xmlns:r="http://schemas.openxmlformats.org/officeDocument/2006/relationships" r:link="rId9"/>
        <a:stretch>
          <a:fillRect/>
        </a:stretch>
      </xdr:blipFill>
      <xdr:spPr>
        <a:xfrm>
          <a:off x="28452305" y="21129355"/>
          <a:ext cx="968644" cy="970752"/>
        </a:xfrm>
        <a:prstGeom prst="rect">
          <a:avLst/>
        </a:prstGeom>
      </xdr:spPr>
    </xdr:pic>
    <xdr:clientData/>
  </xdr:twoCellAnchor>
  <xdr:twoCellAnchor editAs="oneCell">
    <xdr:from>
      <xdr:col>12</xdr:col>
      <xdr:colOff>684508</xdr:colOff>
      <xdr:row>16</xdr:row>
      <xdr:rowOff>206644</xdr:rowOff>
    </xdr:from>
    <xdr:to>
      <xdr:col>12</xdr:col>
      <xdr:colOff>1653152</xdr:colOff>
      <xdr:row>16</xdr:row>
      <xdr:rowOff>1177396</xdr:rowOff>
    </xdr:to>
    <xdr:pic>
      <xdr:nvPicPr>
        <xdr:cNvPr id="35" name="Picture 34">
          <a:extLst>
            <a:ext uri="{FF2B5EF4-FFF2-40B4-BE49-F238E27FC236}">
              <a16:creationId xmlns:a16="http://schemas.microsoft.com/office/drawing/2014/main" id="{3784A48A-B714-4B39-F268-62A18614C1A2}"/>
            </a:ext>
          </a:extLst>
        </xdr:cNvPr>
        <xdr:cNvPicPr>
          <a:picLocks noChangeAspect="1"/>
        </xdr:cNvPicPr>
      </xdr:nvPicPr>
      <xdr:blipFill>
        <a:blip xmlns:r="http://schemas.openxmlformats.org/officeDocument/2006/relationships" r:link="rId10"/>
        <a:stretch>
          <a:fillRect/>
        </a:stretch>
      </xdr:blipFill>
      <xdr:spPr>
        <a:xfrm>
          <a:off x="28452305" y="22524203"/>
          <a:ext cx="968644" cy="970752"/>
        </a:xfrm>
        <a:prstGeom prst="rect">
          <a:avLst/>
        </a:prstGeom>
      </xdr:spPr>
    </xdr:pic>
    <xdr:clientData/>
  </xdr:twoCellAnchor>
  <xdr:twoCellAnchor editAs="oneCell">
    <xdr:from>
      <xdr:col>12</xdr:col>
      <xdr:colOff>684508</xdr:colOff>
      <xdr:row>17</xdr:row>
      <xdr:rowOff>206643</xdr:rowOff>
    </xdr:from>
    <xdr:to>
      <xdr:col>12</xdr:col>
      <xdr:colOff>1653152</xdr:colOff>
      <xdr:row>17</xdr:row>
      <xdr:rowOff>1177395</xdr:rowOff>
    </xdr:to>
    <xdr:pic>
      <xdr:nvPicPr>
        <xdr:cNvPr id="37" name="Picture 36">
          <a:extLst>
            <a:ext uri="{FF2B5EF4-FFF2-40B4-BE49-F238E27FC236}">
              <a16:creationId xmlns:a16="http://schemas.microsoft.com/office/drawing/2014/main" id="{6491C95A-4E4E-FE51-ABCF-35CC8A2FEF93}"/>
            </a:ext>
          </a:extLst>
        </xdr:cNvPr>
        <xdr:cNvPicPr>
          <a:picLocks noChangeAspect="1"/>
        </xdr:cNvPicPr>
      </xdr:nvPicPr>
      <xdr:blipFill>
        <a:blip xmlns:r="http://schemas.openxmlformats.org/officeDocument/2006/relationships" r:link="rId11"/>
        <a:stretch>
          <a:fillRect/>
        </a:stretch>
      </xdr:blipFill>
      <xdr:spPr>
        <a:xfrm>
          <a:off x="28452305" y="23919050"/>
          <a:ext cx="968644" cy="970752"/>
        </a:xfrm>
        <a:prstGeom prst="rect">
          <a:avLst/>
        </a:prstGeom>
      </xdr:spPr>
    </xdr:pic>
    <xdr:clientData/>
  </xdr:twoCellAnchor>
  <xdr:twoCellAnchor editAs="oneCell">
    <xdr:from>
      <xdr:col>12</xdr:col>
      <xdr:colOff>684508</xdr:colOff>
      <xdr:row>18</xdr:row>
      <xdr:rowOff>206643</xdr:rowOff>
    </xdr:from>
    <xdr:to>
      <xdr:col>12</xdr:col>
      <xdr:colOff>1653152</xdr:colOff>
      <xdr:row>18</xdr:row>
      <xdr:rowOff>1177395</xdr:rowOff>
    </xdr:to>
    <xdr:pic>
      <xdr:nvPicPr>
        <xdr:cNvPr id="39" name="Picture 38">
          <a:extLst>
            <a:ext uri="{FF2B5EF4-FFF2-40B4-BE49-F238E27FC236}">
              <a16:creationId xmlns:a16="http://schemas.microsoft.com/office/drawing/2014/main" id="{7D3EF667-9662-BB42-BC53-432520C09F28}"/>
            </a:ext>
          </a:extLst>
        </xdr:cNvPr>
        <xdr:cNvPicPr>
          <a:picLocks noChangeAspect="1"/>
        </xdr:cNvPicPr>
      </xdr:nvPicPr>
      <xdr:blipFill>
        <a:blip xmlns:r="http://schemas.openxmlformats.org/officeDocument/2006/relationships" r:link="rId12"/>
        <a:stretch>
          <a:fillRect/>
        </a:stretch>
      </xdr:blipFill>
      <xdr:spPr>
        <a:xfrm>
          <a:off x="28452305" y="25313897"/>
          <a:ext cx="968644" cy="970752"/>
        </a:xfrm>
        <a:prstGeom prst="rect">
          <a:avLst/>
        </a:prstGeom>
      </xdr:spPr>
    </xdr:pic>
    <xdr:clientData/>
  </xdr:twoCellAnchor>
  <xdr:twoCellAnchor editAs="oneCell">
    <xdr:from>
      <xdr:col>12</xdr:col>
      <xdr:colOff>684508</xdr:colOff>
      <xdr:row>19</xdr:row>
      <xdr:rowOff>206253</xdr:rowOff>
    </xdr:from>
    <xdr:to>
      <xdr:col>12</xdr:col>
      <xdr:colOff>1653152</xdr:colOff>
      <xdr:row>19</xdr:row>
      <xdr:rowOff>1177598</xdr:rowOff>
    </xdr:to>
    <xdr:pic>
      <xdr:nvPicPr>
        <xdr:cNvPr id="41" name="Picture 40">
          <a:extLst>
            <a:ext uri="{FF2B5EF4-FFF2-40B4-BE49-F238E27FC236}">
              <a16:creationId xmlns:a16="http://schemas.microsoft.com/office/drawing/2014/main" id="{F864B16B-3902-71A1-8EEA-2F641F6F4708}"/>
            </a:ext>
          </a:extLst>
        </xdr:cNvPr>
        <xdr:cNvPicPr>
          <a:picLocks noChangeAspect="1"/>
        </xdr:cNvPicPr>
      </xdr:nvPicPr>
      <xdr:blipFill>
        <a:blip xmlns:r="http://schemas.openxmlformats.org/officeDocument/2006/relationships" r:link="rId13"/>
        <a:stretch>
          <a:fillRect/>
        </a:stretch>
      </xdr:blipFill>
      <xdr:spPr>
        <a:xfrm>
          <a:off x="28452305" y="26708355"/>
          <a:ext cx="968644" cy="971345"/>
        </a:xfrm>
        <a:prstGeom prst="rect">
          <a:avLst/>
        </a:prstGeom>
      </xdr:spPr>
    </xdr:pic>
    <xdr:clientData/>
  </xdr:twoCellAnchor>
  <xdr:twoCellAnchor editAs="oneCell">
    <xdr:from>
      <xdr:col>12</xdr:col>
      <xdr:colOff>684508</xdr:colOff>
      <xdr:row>20</xdr:row>
      <xdr:rowOff>206643</xdr:rowOff>
    </xdr:from>
    <xdr:to>
      <xdr:col>12</xdr:col>
      <xdr:colOff>1653152</xdr:colOff>
      <xdr:row>20</xdr:row>
      <xdr:rowOff>1177395</xdr:rowOff>
    </xdr:to>
    <xdr:pic>
      <xdr:nvPicPr>
        <xdr:cNvPr id="43" name="Picture 42">
          <a:extLst>
            <a:ext uri="{FF2B5EF4-FFF2-40B4-BE49-F238E27FC236}">
              <a16:creationId xmlns:a16="http://schemas.microsoft.com/office/drawing/2014/main" id="{93DC1C78-3382-B94E-0C08-339CE25B1CAE}"/>
            </a:ext>
          </a:extLst>
        </xdr:cNvPr>
        <xdr:cNvPicPr>
          <a:picLocks noChangeAspect="1"/>
        </xdr:cNvPicPr>
      </xdr:nvPicPr>
      <xdr:blipFill>
        <a:blip xmlns:r="http://schemas.openxmlformats.org/officeDocument/2006/relationships" r:link="rId14"/>
        <a:stretch>
          <a:fillRect/>
        </a:stretch>
      </xdr:blipFill>
      <xdr:spPr>
        <a:xfrm>
          <a:off x="28452305" y="28103592"/>
          <a:ext cx="968644" cy="970752"/>
        </a:xfrm>
        <a:prstGeom prst="rect">
          <a:avLst/>
        </a:prstGeom>
      </xdr:spPr>
    </xdr:pic>
    <xdr:clientData/>
  </xdr:twoCellAnchor>
  <xdr:twoCellAnchor editAs="oneCell">
    <xdr:from>
      <xdr:col>12</xdr:col>
      <xdr:colOff>684508</xdr:colOff>
      <xdr:row>21</xdr:row>
      <xdr:rowOff>206644</xdr:rowOff>
    </xdr:from>
    <xdr:to>
      <xdr:col>12</xdr:col>
      <xdr:colOff>1653152</xdr:colOff>
      <xdr:row>21</xdr:row>
      <xdr:rowOff>1177396</xdr:rowOff>
    </xdr:to>
    <xdr:pic>
      <xdr:nvPicPr>
        <xdr:cNvPr id="45" name="Picture 44">
          <a:extLst>
            <a:ext uri="{FF2B5EF4-FFF2-40B4-BE49-F238E27FC236}">
              <a16:creationId xmlns:a16="http://schemas.microsoft.com/office/drawing/2014/main" id="{40220D9D-4EF3-C291-EE11-0AC619C3F770}"/>
            </a:ext>
          </a:extLst>
        </xdr:cNvPr>
        <xdr:cNvPicPr>
          <a:picLocks noChangeAspect="1"/>
        </xdr:cNvPicPr>
      </xdr:nvPicPr>
      <xdr:blipFill>
        <a:blip xmlns:r="http://schemas.openxmlformats.org/officeDocument/2006/relationships" r:link="rId15"/>
        <a:stretch>
          <a:fillRect/>
        </a:stretch>
      </xdr:blipFill>
      <xdr:spPr>
        <a:xfrm>
          <a:off x="28452305" y="29498441"/>
          <a:ext cx="968644" cy="970752"/>
        </a:xfrm>
        <a:prstGeom prst="rect">
          <a:avLst/>
        </a:prstGeom>
      </xdr:spPr>
    </xdr:pic>
    <xdr:clientData/>
  </xdr:twoCellAnchor>
  <xdr:twoCellAnchor editAs="oneCell">
    <xdr:from>
      <xdr:col>12</xdr:col>
      <xdr:colOff>684508</xdr:colOff>
      <xdr:row>22</xdr:row>
      <xdr:rowOff>206644</xdr:rowOff>
    </xdr:from>
    <xdr:to>
      <xdr:col>12</xdr:col>
      <xdr:colOff>1653152</xdr:colOff>
      <xdr:row>22</xdr:row>
      <xdr:rowOff>1177396</xdr:rowOff>
    </xdr:to>
    <xdr:pic>
      <xdr:nvPicPr>
        <xdr:cNvPr id="47" name="Picture 46">
          <a:extLst>
            <a:ext uri="{FF2B5EF4-FFF2-40B4-BE49-F238E27FC236}">
              <a16:creationId xmlns:a16="http://schemas.microsoft.com/office/drawing/2014/main" id="{58C68F29-8CFC-16A9-2AFC-DB4373B55D9D}"/>
            </a:ext>
          </a:extLst>
        </xdr:cNvPr>
        <xdr:cNvPicPr>
          <a:picLocks noChangeAspect="1"/>
        </xdr:cNvPicPr>
      </xdr:nvPicPr>
      <xdr:blipFill>
        <a:blip xmlns:r="http://schemas.openxmlformats.org/officeDocument/2006/relationships" r:link="rId16"/>
        <a:stretch>
          <a:fillRect/>
        </a:stretch>
      </xdr:blipFill>
      <xdr:spPr>
        <a:xfrm>
          <a:off x="28452305" y="30893288"/>
          <a:ext cx="968644" cy="970752"/>
        </a:xfrm>
        <a:prstGeom prst="rect">
          <a:avLst/>
        </a:prstGeom>
      </xdr:spPr>
    </xdr:pic>
    <xdr:clientData/>
  </xdr:twoCellAnchor>
  <xdr:twoCellAnchor editAs="oneCell">
    <xdr:from>
      <xdr:col>12</xdr:col>
      <xdr:colOff>684508</xdr:colOff>
      <xdr:row>23</xdr:row>
      <xdr:rowOff>206253</xdr:rowOff>
    </xdr:from>
    <xdr:to>
      <xdr:col>12</xdr:col>
      <xdr:colOff>1653152</xdr:colOff>
      <xdr:row>23</xdr:row>
      <xdr:rowOff>1177598</xdr:rowOff>
    </xdr:to>
    <xdr:pic>
      <xdr:nvPicPr>
        <xdr:cNvPr id="49" name="Picture 48">
          <a:extLst>
            <a:ext uri="{FF2B5EF4-FFF2-40B4-BE49-F238E27FC236}">
              <a16:creationId xmlns:a16="http://schemas.microsoft.com/office/drawing/2014/main" id="{9851369C-E837-51FF-F77F-21684400D300}"/>
            </a:ext>
          </a:extLst>
        </xdr:cNvPr>
        <xdr:cNvPicPr>
          <a:picLocks noChangeAspect="1"/>
        </xdr:cNvPicPr>
      </xdr:nvPicPr>
      <xdr:blipFill>
        <a:blip xmlns:r="http://schemas.openxmlformats.org/officeDocument/2006/relationships" r:link="rId17"/>
        <a:stretch>
          <a:fillRect/>
        </a:stretch>
      </xdr:blipFill>
      <xdr:spPr>
        <a:xfrm>
          <a:off x="28452305" y="32287745"/>
          <a:ext cx="968644" cy="971345"/>
        </a:xfrm>
        <a:prstGeom prst="rect">
          <a:avLst/>
        </a:prstGeom>
      </xdr:spPr>
    </xdr:pic>
    <xdr:clientData/>
  </xdr:twoCellAnchor>
  <xdr:twoCellAnchor editAs="oneCell">
    <xdr:from>
      <xdr:col>12</xdr:col>
      <xdr:colOff>684508</xdr:colOff>
      <xdr:row>24</xdr:row>
      <xdr:rowOff>206255</xdr:rowOff>
    </xdr:from>
    <xdr:to>
      <xdr:col>12</xdr:col>
      <xdr:colOff>1653152</xdr:colOff>
      <xdr:row>24</xdr:row>
      <xdr:rowOff>1177599</xdr:rowOff>
    </xdr:to>
    <xdr:pic>
      <xdr:nvPicPr>
        <xdr:cNvPr id="51" name="Picture 50">
          <a:extLst>
            <a:ext uri="{FF2B5EF4-FFF2-40B4-BE49-F238E27FC236}">
              <a16:creationId xmlns:a16="http://schemas.microsoft.com/office/drawing/2014/main" id="{645A2656-5B81-D1CA-207E-CC50B11AC0E4}"/>
            </a:ext>
          </a:extLst>
        </xdr:cNvPr>
        <xdr:cNvPicPr>
          <a:picLocks noChangeAspect="1"/>
        </xdr:cNvPicPr>
      </xdr:nvPicPr>
      <xdr:blipFill>
        <a:blip xmlns:r="http://schemas.openxmlformats.org/officeDocument/2006/relationships" r:link="rId18"/>
        <a:stretch>
          <a:fillRect/>
        </a:stretch>
      </xdr:blipFill>
      <xdr:spPr>
        <a:xfrm>
          <a:off x="28452305" y="33682594"/>
          <a:ext cx="968644" cy="971344"/>
        </a:xfrm>
        <a:prstGeom prst="rect">
          <a:avLst/>
        </a:prstGeom>
      </xdr:spPr>
    </xdr:pic>
    <xdr:clientData/>
  </xdr:twoCellAnchor>
  <xdr:twoCellAnchor editAs="oneCell">
    <xdr:from>
      <xdr:col>12</xdr:col>
      <xdr:colOff>684508</xdr:colOff>
      <xdr:row>25</xdr:row>
      <xdr:rowOff>206643</xdr:rowOff>
    </xdr:from>
    <xdr:to>
      <xdr:col>12</xdr:col>
      <xdr:colOff>1653152</xdr:colOff>
      <xdr:row>25</xdr:row>
      <xdr:rowOff>1177395</xdr:rowOff>
    </xdr:to>
    <xdr:pic>
      <xdr:nvPicPr>
        <xdr:cNvPr id="53" name="Picture 52">
          <a:extLst>
            <a:ext uri="{FF2B5EF4-FFF2-40B4-BE49-F238E27FC236}">
              <a16:creationId xmlns:a16="http://schemas.microsoft.com/office/drawing/2014/main" id="{60F3707A-BF99-4ABE-764D-8C5BE0B18639}"/>
            </a:ext>
          </a:extLst>
        </xdr:cNvPr>
        <xdr:cNvPicPr>
          <a:picLocks noChangeAspect="1"/>
        </xdr:cNvPicPr>
      </xdr:nvPicPr>
      <xdr:blipFill>
        <a:blip xmlns:r="http://schemas.openxmlformats.org/officeDocument/2006/relationships" r:link="rId19"/>
        <a:stretch>
          <a:fillRect/>
        </a:stretch>
      </xdr:blipFill>
      <xdr:spPr>
        <a:xfrm>
          <a:off x="28452305" y="35077829"/>
          <a:ext cx="968644" cy="970752"/>
        </a:xfrm>
        <a:prstGeom prst="rect">
          <a:avLst/>
        </a:prstGeom>
      </xdr:spPr>
    </xdr:pic>
    <xdr:clientData/>
  </xdr:twoCellAnchor>
  <xdr:twoCellAnchor editAs="oneCell">
    <xdr:from>
      <xdr:col>12</xdr:col>
      <xdr:colOff>684508</xdr:colOff>
      <xdr:row>26</xdr:row>
      <xdr:rowOff>206644</xdr:rowOff>
    </xdr:from>
    <xdr:to>
      <xdr:col>12</xdr:col>
      <xdr:colOff>1653152</xdr:colOff>
      <xdr:row>26</xdr:row>
      <xdr:rowOff>1177396</xdr:rowOff>
    </xdr:to>
    <xdr:pic>
      <xdr:nvPicPr>
        <xdr:cNvPr id="55" name="Picture 54">
          <a:extLst>
            <a:ext uri="{FF2B5EF4-FFF2-40B4-BE49-F238E27FC236}">
              <a16:creationId xmlns:a16="http://schemas.microsoft.com/office/drawing/2014/main" id="{40679A08-7A7A-DBFE-8E24-ADCF608C97E5}"/>
            </a:ext>
          </a:extLst>
        </xdr:cNvPr>
        <xdr:cNvPicPr>
          <a:picLocks noChangeAspect="1"/>
        </xdr:cNvPicPr>
      </xdr:nvPicPr>
      <xdr:blipFill>
        <a:blip xmlns:r="http://schemas.openxmlformats.org/officeDocument/2006/relationships" r:link="rId20"/>
        <a:stretch>
          <a:fillRect/>
        </a:stretch>
      </xdr:blipFill>
      <xdr:spPr>
        <a:xfrm>
          <a:off x="28452305" y="36472678"/>
          <a:ext cx="968644" cy="970752"/>
        </a:xfrm>
        <a:prstGeom prst="rect">
          <a:avLst/>
        </a:prstGeom>
      </xdr:spPr>
    </xdr:pic>
    <xdr:clientData/>
  </xdr:twoCellAnchor>
  <xdr:twoCellAnchor editAs="oneCell">
    <xdr:from>
      <xdr:col>12</xdr:col>
      <xdr:colOff>684508</xdr:colOff>
      <xdr:row>27</xdr:row>
      <xdr:rowOff>206644</xdr:rowOff>
    </xdr:from>
    <xdr:to>
      <xdr:col>12</xdr:col>
      <xdr:colOff>1653152</xdr:colOff>
      <xdr:row>27</xdr:row>
      <xdr:rowOff>1177396</xdr:rowOff>
    </xdr:to>
    <xdr:pic>
      <xdr:nvPicPr>
        <xdr:cNvPr id="57" name="Picture 56">
          <a:extLst>
            <a:ext uri="{FF2B5EF4-FFF2-40B4-BE49-F238E27FC236}">
              <a16:creationId xmlns:a16="http://schemas.microsoft.com/office/drawing/2014/main" id="{51D27E4A-AF9F-B605-5C6F-455BDDB2A73D}"/>
            </a:ext>
          </a:extLst>
        </xdr:cNvPr>
        <xdr:cNvPicPr>
          <a:picLocks noChangeAspect="1"/>
        </xdr:cNvPicPr>
      </xdr:nvPicPr>
      <xdr:blipFill>
        <a:blip xmlns:r="http://schemas.openxmlformats.org/officeDocument/2006/relationships" r:link="rId21"/>
        <a:stretch>
          <a:fillRect/>
        </a:stretch>
      </xdr:blipFill>
      <xdr:spPr>
        <a:xfrm>
          <a:off x="28452305" y="37867525"/>
          <a:ext cx="968644" cy="970752"/>
        </a:xfrm>
        <a:prstGeom prst="rect">
          <a:avLst/>
        </a:prstGeom>
      </xdr:spPr>
    </xdr:pic>
    <xdr:clientData/>
  </xdr:twoCellAnchor>
  <xdr:twoCellAnchor editAs="oneCell">
    <xdr:from>
      <xdr:col>12</xdr:col>
      <xdr:colOff>684508</xdr:colOff>
      <xdr:row>28</xdr:row>
      <xdr:rowOff>206253</xdr:rowOff>
    </xdr:from>
    <xdr:to>
      <xdr:col>12</xdr:col>
      <xdr:colOff>1653152</xdr:colOff>
      <xdr:row>28</xdr:row>
      <xdr:rowOff>1177598</xdr:rowOff>
    </xdr:to>
    <xdr:pic>
      <xdr:nvPicPr>
        <xdr:cNvPr id="59" name="Picture 58">
          <a:extLst>
            <a:ext uri="{FF2B5EF4-FFF2-40B4-BE49-F238E27FC236}">
              <a16:creationId xmlns:a16="http://schemas.microsoft.com/office/drawing/2014/main" id="{B4E4696E-BD2B-5220-8EBA-5276C80867CA}"/>
            </a:ext>
          </a:extLst>
        </xdr:cNvPr>
        <xdr:cNvPicPr>
          <a:picLocks noChangeAspect="1"/>
        </xdr:cNvPicPr>
      </xdr:nvPicPr>
      <xdr:blipFill>
        <a:blip xmlns:r="http://schemas.openxmlformats.org/officeDocument/2006/relationships" r:link="rId22"/>
        <a:stretch>
          <a:fillRect/>
        </a:stretch>
      </xdr:blipFill>
      <xdr:spPr>
        <a:xfrm>
          <a:off x="28452305" y="39261982"/>
          <a:ext cx="968644" cy="971345"/>
        </a:xfrm>
        <a:prstGeom prst="rect">
          <a:avLst/>
        </a:prstGeom>
      </xdr:spPr>
    </xdr:pic>
    <xdr:clientData/>
  </xdr:twoCellAnchor>
  <xdr:twoCellAnchor editAs="oneCell">
    <xdr:from>
      <xdr:col>12</xdr:col>
      <xdr:colOff>684508</xdr:colOff>
      <xdr:row>29</xdr:row>
      <xdr:rowOff>206255</xdr:rowOff>
    </xdr:from>
    <xdr:to>
      <xdr:col>12</xdr:col>
      <xdr:colOff>1653152</xdr:colOff>
      <xdr:row>29</xdr:row>
      <xdr:rowOff>1177599</xdr:rowOff>
    </xdr:to>
    <xdr:pic>
      <xdr:nvPicPr>
        <xdr:cNvPr id="61" name="Picture 60">
          <a:extLst>
            <a:ext uri="{FF2B5EF4-FFF2-40B4-BE49-F238E27FC236}">
              <a16:creationId xmlns:a16="http://schemas.microsoft.com/office/drawing/2014/main" id="{FB6723D8-077B-E39F-A4A2-9527D3389895}"/>
            </a:ext>
          </a:extLst>
        </xdr:cNvPr>
        <xdr:cNvPicPr>
          <a:picLocks noChangeAspect="1"/>
        </xdr:cNvPicPr>
      </xdr:nvPicPr>
      <xdr:blipFill>
        <a:blip xmlns:r="http://schemas.openxmlformats.org/officeDocument/2006/relationships" r:link="rId23"/>
        <a:stretch>
          <a:fillRect/>
        </a:stretch>
      </xdr:blipFill>
      <xdr:spPr>
        <a:xfrm>
          <a:off x="28452305" y="40656831"/>
          <a:ext cx="968644" cy="971344"/>
        </a:xfrm>
        <a:prstGeom prst="rect">
          <a:avLst/>
        </a:prstGeom>
      </xdr:spPr>
    </xdr:pic>
    <xdr:clientData/>
  </xdr:twoCellAnchor>
  <xdr:twoCellAnchor editAs="oneCell">
    <xdr:from>
      <xdr:col>12</xdr:col>
      <xdr:colOff>684508</xdr:colOff>
      <xdr:row>30</xdr:row>
      <xdr:rowOff>206643</xdr:rowOff>
    </xdr:from>
    <xdr:to>
      <xdr:col>12</xdr:col>
      <xdr:colOff>1653152</xdr:colOff>
      <xdr:row>30</xdr:row>
      <xdr:rowOff>1177395</xdr:rowOff>
    </xdr:to>
    <xdr:pic>
      <xdr:nvPicPr>
        <xdr:cNvPr id="63" name="Picture 62">
          <a:extLst>
            <a:ext uri="{FF2B5EF4-FFF2-40B4-BE49-F238E27FC236}">
              <a16:creationId xmlns:a16="http://schemas.microsoft.com/office/drawing/2014/main" id="{2C31E1F3-179B-0D96-E07A-508E38266B48}"/>
            </a:ext>
          </a:extLst>
        </xdr:cNvPr>
        <xdr:cNvPicPr>
          <a:picLocks noChangeAspect="1"/>
        </xdr:cNvPicPr>
      </xdr:nvPicPr>
      <xdr:blipFill>
        <a:blip xmlns:r="http://schemas.openxmlformats.org/officeDocument/2006/relationships" r:link="rId24"/>
        <a:stretch>
          <a:fillRect/>
        </a:stretch>
      </xdr:blipFill>
      <xdr:spPr>
        <a:xfrm>
          <a:off x="28452305" y="42052067"/>
          <a:ext cx="968644" cy="970752"/>
        </a:xfrm>
        <a:prstGeom prst="rect">
          <a:avLst/>
        </a:prstGeom>
      </xdr:spPr>
    </xdr:pic>
    <xdr:clientData/>
  </xdr:twoCellAnchor>
  <xdr:twoCellAnchor editAs="oneCell">
    <xdr:from>
      <xdr:col>12</xdr:col>
      <xdr:colOff>684508</xdr:colOff>
      <xdr:row>31</xdr:row>
      <xdr:rowOff>206644</xdr:rowOff>
    </xdr:from>
    <xdr:to>
      <xdr:col>12</xdr:col>
      <xdr:colOff>1653152</xdr:colOff>
      <xdr:row>31</xdr:row>
      <xdr:rowOff>1177396</xdr:rowOff>
    </xdr:to>
    <xdr:pic>
      <xdr:nvPicPr>
        <xdr:cNvPr id="65" name="Picture 64">
          <a:extLst>
            <a:ext uri="{FF2B5EF4-FFF2-40B4-BE49-F238E27FC236}">
              <a16:creationId xmlns:a16="http://schemas.microsoft.com/office/drawing/2014/main" id="{E7DC19E4-0633-FB2F-70B9-08742C00A5AE}"/>
            </a:ext>
          </a:extLst>
        </xdr:cNvPr>
        <xdr:cNvPicPr>
          <a:picLocks noChangeAspect="1"/>
        </xdr:cNvPicPr>
      </xdr:nvPicPr>
      <xdr:blipFill>
        <a:blip xmlns:r="http://schemas.openxmlformats.org/officeDocument/2006/relationships" r:link="rId25"/>
        <a:stretch>
          <a:fillRect/>
        </a:stretch>
      </xdr:blipFill>
      <xdr:spPr>
        <a:xfrm>
          <a:off x="28452305" y="43446915"/>
          <a:ext cx="968644" cy="970752"/>
        </a:xfrm>
        <a:prstGeom prst="rect">
          <a:avLst/>
        </a:prstGeom>
      </xdr:spPr>
    </xdr:pic>
    <xdr:clientData/>
  </xdr:twoCellAnchor>
  <xdr:twoCellAnchor editAs="oneCell">
    <xdr:from>
      <xdr:col>12</xdr:col>
      <xdr:colOff>684508</xdr:colOff>
      <xdr:row>33</xdr:row>
      <xdr:rowOff>206255</xdr:rowOff>
    </xdr:from>
    <xdr:to>
      <xdr:col>12</xdr:col>
      <xdr:colOff>1653152</xdr:colOff>
      <xdr:row>33</xdr:row>
      <xdr:rowOff>1177599</xdr:rowOff>
    </xdr:to>
    <xdr:pic>
      <xdr:nvPicPr>
        <xdr:cNvPr id="69" name="Picture 68">
          <a:extLst>
            <a:ext uri="{FF2B5EF4-FFF2-40B4-BE49-F238E27FC236}">
              <a16:creationId xmlns:a16="http://schemas.microsoft.com/office/drawing/2014/main" id="{FFC0512F-04F4-977F-2F33-F812A7C342C7}"/>
            </a:ext>
          </a:extLst>
        </xdr:cNvPr>
        <xdr:cNvPicPr>
          <a:picLocks noChangeAspect="1"/>
        </xdr:cNvPicPr>
      </xdr:nvPicPr>
      <xdr:blipFill>
        <a:blip xmlns:r="http://schemas.openxmlformats.org/officeDocument/2006/relationships" r:link="rId26"/>
        <a:stretch>
          <a:fillRect/>
        </a:stretch>
      </xdr:blipFill>
      <xdr:spPr>
        <a:xfrm>
          <a:off x="28452305" y="46236221"/>
          <a:ext cx="968644" cy="971344"/>
        </a:xfrm>
        <a:prstGeom prst="rect">
          <a:avLst/>
        </a:prstGeom>
      </xdr:spPr>
    </xdr:pic>
    <xdr:clientData/>
  </xdr:twoCellAnchor>
  <xdr:twoCellAnchor editAs="oneCell">
    <xdr:from>
      <xdr:col>12</xdr:col>
      <xdr:colOff>684508</xdr:colOff>
      <xdr:row>34</xdr:row>
      <xdr:rowOff>206253</xdr:rowOff>
    </xdr:from>
    <xdr:to>
      <xdr:col>12</xdr:col>
      <xdr:colOff>1653152</xdr:colOff>
      <xdr:row>34</xdr:row>
      <xdr:rowOff>1177598</xdr:rowOff>
    </xdr:to>
    <xdr:pic>
      <xdr:nvPicPr>
        <xdr:cNvPr id="71" name="Picture 70">
          <a:extLst>
            <a:ext uri="{FF2B5EF4-FFF2-40B4-BE49-F238E27FC236}">
              <a16:creationId xmlns:a16="http://schemas.microsoft.com/office/drawing/2014/main" id="{3B2D6BA9-BF71-E5DD-4698-811A1D128CE6}"/>
            </a:ext>
          </a:extLst>
        </xdr:cNvPr>
        <xdr:cNvPicPr>
          <a:picLocks noChangeAspect="1"/>
        </xdr:cNvPicPr>
      </xdr:nvPicPr>
      <xdr:blipFill>
        <a:blip xmlns:r="http://schemas.openxmlformats.org/officeDocument/2006/relationships" r:link="rId27"/>
        <a:stretch>
          <a:fillRect/>
        </a:stretch>
      </xdr:blipFill>
      <xdr:spPr>
        <a:xfrm>
          <a:off x="28452305" y="47631067"/>
          <a:ext cx="968644" cy="971345"/>
        </a:xfrm>
        <a:prstGeom prst="rect">
          <a:avLst/>
        </a:prstGeom>
      </xdr:spPr>
    </xdr:pic>
    <xdr:clientData/>
  </xdr:twoCellAnchor>
  <xdr:twoCellAnchor editAs="oneCell">
    <xdr:from>
      <xdr:col>12</xdr:col>
      <xdr:colOff>684508</xdr:colOff>
      <xdr:row>35</xdr:row>
      <xdr:rowOff>206643</xdr:rowOff>
    </xdr:from>
    <xdr:to>
      <xdr:col>12</xdr:col>
      <xdr:colOff>1653152</xdr:colOff>
      <xdr:row>35</xdr:row>
      <xdr:rowOff>1177395</xdr:rowOff>
    </xdr:to>
    <xdr:pic>
      <xdr:nvPicPr>
        <xdr:cNvPr id="73" name="Picture 72">
          <a:extLst>
            <a:ext uri="{FF2B5EF4-FFF2-40B4-BE49-F238E27FC236}">
              <a16:creationId xmlns:a16="http://schemas.microsoft.com/office/drawing/2014/main" id="{77C6817F-5127-00B4-4014-A85C35B0C3E2}"/>
            </a:ext>
          </a:extLst>
        </xdr:cNvPr>
        <xdr:cNvPicPr>
          <a:picLocks noChangeAspect="1"/>
        </xdr:cNvPicPr>
      </xdr:nvPicPr>
      <xdr:blipFill>
        <a:blip xmlns:r="http://schemas.openxmlformats.org/officeDocument/2006/relationships" r:link="rId28"/>
        <a:stretch>
          <a:fillRect/>
        </a:stretch>
      </xdr:blipFill>
      <xdr:spPr>
        <a:xfrm>
          <a:off x="28452305" y="49026304"/>
          <a:ext cx="968644" cy="970752"/>
        </a:xfrm>
        <a:prstGeom prst="rect">
          <a:avLst/>
        </a:prstGeom>
      </xdr:spPr>
    </xdr:pic>
    <xdr:clientData/>
  </xdr:twoCellAnchor>
  <xdr:twoCellAnchor editAs="oneCell">
    <xdr:from>
      <xdr:col>12</xdr:col>
      <xdr:colOff>684508</xdr:colOff>
      <xdr:row>36</xdr:row>
      <xdr:rowOff>206644</xdr:rowOff>
    </xdr:from>
    <xdr:to>
      <xdr:col>12</xdr:col>
      <xdr:colOff>1653152</xdr:colOff>
      <xdr:row>36</xdr:row>
      <xdr:rowOff>1177396</xdr:rowOff>
    </xdr:to>
    <xdr:pic>
      <xdr:nvPicPr>
        <xdr:cNvPr id="75" name="Picture 74">
          <a:extLst>
            <a:ext uri="{FF2B5EF4-FFF2-40B4-BE49-F238E27FC236}">
              <a16:creationId xmlns:a16="http://schemas.microsoft.com/office/drawing/2014/main" id="{2121612D-A1C7-FC03-E95C-7E69CFB94AB3}"/>
            </a:ext>
          </a:extLst>
        </xdr:cNvPr>
        <xdr:cNvPicPr>
          <a:picLocks noChangeAspect="1"/>
        </xdr:cNvPicPr>
      </xdr:nvPicPr>
      <xdr:blipFill>
        <a:blip xmlns:r="http://schemas.openxmlformats.org/officeDocument/2006/relationships" r:link="rId29"/>
        <a:stretch>
          <a:fillRect/>
        </a:stretch>
      </xdr:blipFill>
      <xdr:spPr>
        <a:xfrm>
          <a:off x="28452305" y="50421152"/>
          <a:ext cx="968644" cy="970752"/>
        </a:xfrm>
        <a:prstGeom prst="rect">
          <a:avLst/>
        </a:prstGeom>
      </xdr:spPr>
    </xdr:pic>
    <xdr:clientData/>
  </xdr:twoCellAnchor>
  <xdr:twoCellAnchor editAs="oneCell">
    <xdr:from>
      <xdr:col>12</xdr:col>
      <xdr:colOff>684508</xdr:colOff>
      <xdr:row>37</xdr:row>
      <xdr:rowOff>206644</xdr:rowOff>
    </xdr:from>
    <xdr:to>
      <xdr:col>12</xdr:col>
      <xdr:colOff>1653152</xdr:colOff>
      <xdr:row>37</xdr:row>
      <xdr:rowOff>1177396</xdr:rowOff>
    </xdr:to>
    <xdr:pic>
      <xdr:nvPicPr>
        <xdr:cNvPr id="77" name="Picture 76">
          <a:extLst>
            <a:ext uri="{FF2B5EF4-FFF2-40B4-BE49-F238E27FC236}">
              <a16:creationId xmlns:a16="http://schemas.microsoft.com/office/drawing/2014/main" id="{EFCC5267-CFF8-10AF-BFDD-7593EFCE1C21}"/>
            </a:ext>
          </a:extLst>
        </xdr:cNvPr>
        <xdr:cNvPicPr>
          <a:picLocks noChangeAspect="1"/>
        </xdr:cNvPicPr>
      </xdr:nvPicPr>
      <xdr:blipFill>
        <a:blip xmlns:r="http://schemas.openxmlformats.org/officeDocument/2006/relationships" r:link="rId30"/>
        <a:stretch>
          <a:fillRect/>
        </a:stretch>
      </xdr:blipFill>
      <xdr:spPr>
        <a:xfrm>
          <a:off x="28452305" y="51816000"/>
          <a:ext cx="968644" cy="970752"/>
        </a:xfrm>
        <a:prstGeom prst="rect">
          <a:avLst/>
        </a:prstGeom>
      </xdr:spPr>
    </xdr:pic>
    <xdr:clientData/>
  </xdr:twoCellAnchor>
  <xdr:twoCellAnchor editAs="oneCell">
    <xdr:from>
      <xdr:col>12</xdr:col>
      <xdr:colOff>684508</xdr:colOff>
      <xdr:row>38</xdr:row>
      <xdr:rowOff>206255</xdr:rowOff>
    </xdr:from>
    <xdr:to>
      <xdr:col>12</xdr:col>
      <xdr:colOff>1653152</xdr:colOff>
      <xdr:row>38</xdr:row>
      <xdr:rowOff>1177599</xdr:rowOff>
    </xdr:to>
    <xdr:pic>
      <xdr:nvPicPr>
        <xdr:cNvPr id="79" name="Picture 78">
          <a:extLst>
            <a:ext uri="{FF2B5EF4-FFF2-40B4-BE49-F238E27FC236}">
              <a16:creationId xmlns:a16="http://schemas.microsoft.com/office/drawing/2014/main" id="{7DBEEC2D-35EC-5055-0174-4F4DE7026C28}"/>
            </a:ext>
          </a:extLst>
        </xdr:cNvPr>
        <xdr:cNvPicPr>
          <a:picLocks noChangeAspect="1"/>
        </xdr:cNvPicPr>
      </xdr:nvPicPr>
      <xdr:blipFill>
        <a:blip xmlns:r="http://schemas.openxmlformats.org/officeDocument/2006/relationships" r:link="rId31"/>
        <a:stretch>
          <a:fillRect/>
        </a:stretch>
      </xdr:blipFill>
      <xdr:spPr>
        <a:xfrm>
          <a:off x="28452305" y="53210458"/>
          <a:ext cx="968644" cy="971344"/>
        </a:xfrm>
        <a:prstGeom prst="rect">
          <a:avLst/>
        </a:prstGeom>
      </xdr:spPr>
    </xdr:pic>
    <xdr:clientData/>
  </xdr:twoCellAnchor>
  <xdr:twoCellAnchor editAs="oneCell">
    <xdr:from>
      <xdr:col>12</xdr:col>
      <xdr:colOff>684508</xdr:colOff>
      <xdr:row>39</xdr:row>
      <xdr:rowOff>206645</xdr:rowOff>
    </xdr:from>
    <xdr:to>
      <xdr:col>12</xdr:col>
      <xdr:colOff>1653152</xdr:colOff>
      <xdr:row>39</xdr:row>
      <xdr:rowOff>1177397</xdr:rowOff>
    </xdr:to>
    <xdr:pic>
      <xdr:nvPicPr>
        <xdr:cNvPr id="81" name="Picture 80">
          <a:extLst>
            <a:ext uri="{FF2B5EF4-FFF2-40B4-BE49-F238E27FC236}">
              <a16:creationId xmlns:a16="http://schemas.microsoft.com/office/drawing/2014/main" id="{12E15CDF-D3E3-D473-105E-BDC42B78DB3E}"/>
            </a:ext>
          </a:extLst>
        </xdr:cNvPr>
        <xdr:cNvPicPr>
          <a:picLocks noChangeAspect="1"/>
        </xdr:cNvPicPr>
      </xdr:nvPicPr>
      <xdr:blipFill>
        <a:blip xmlns:r="http://schemas.openxmlformats.org/officeDocument/2006/relationships" r:link="rId32"/>
        <a:stretch>
          <a:fillRect/>
        </a:stretch>
      </xdr:blipFill>
      <xdr:spPr>
        <a:xfrm>
          <a:off x="28452305" y="54605696"/>
          <a:ext cx="968644" cy="970752"/>
        </a:xfrm>
        <a:prstGeom prst="rect">
          <a:avLst/>
        </a:prstGeom>
      </xdr:spPr>
    </xdr:pic>
    <xdr:clientData/>
  </xdr:twoCellAnchor>
  <xdr:twoCellAnchor editAs="oneCell">
    <xdr:from>
      <xdr:col>12</xdr:col>
      <xdr:colOff>684508</xdr:colOff>
      <xdr:row>40</xdr:row>
      <xdr:rowOff>206643</xdr:rowOff>
    </xdr:from>
    <xdr:to>
      <xdr:col>12</xdr:col>
      <xdr:colOff>1653152</xdr:colOff>
      <xdr:row>40</xdr:row>
      <xdr:rowOff>1177395</xdr:rowOff>
    </xdr:to>
    <xdr:pic>
      <xdr:nvPicPr>
        <xdr:cNvPr id="83" name="Picture 82">
          <a:extLst>
            <a:ext uri="{FF2B5EF4-FFF2-40B4-BE49-F238E27FC236}">
              <a16:creationId xmlns:a16="http://schemas.microsoft.com/office/drawing/2014/main" id="{E30AFE57-8FAF-4F8B-331E-57CA753ED660}"/>
            </a:ext>
          </a:extLst>
        </xdr:cNvPr>
        <xdr:cNvPicPr>
          <a:picLocks noChangeAspect="1"/>
        </xdr:cNvPicPr>
      </xdr:nvPicPr>
      <xdr:blipFill>
        <a:blip xmlns:r="http://schemas.openxmlformats.org/officeDocument/2006/relationships" r:link="rId33"/>
        <a:stretch>
          <a:fillRect/>
        </a:stretch>
      </xdr:blipFill>
      <xdr:spPr>
        <a:xfrm>
          <a:off x="28452305" y="56000541"/>
          <a:ext cx="968644" cy="970752"/>
        </a:xfrm>
        <a:prstGeom prst="rect">
          <a:avLst/>
        </a:prstGeom>
      </xdr:spPr>
    </xdr:pic>
    <xdr:clientData/>
  </xdr:twoCellAnchor>
  <xdr:twoCellAnchor editAs="oneCell">
    <xdr:from>
      <xdr:col>12</xdr:col>
      <xdr:colOff>684508</xdr:colOff>
      <xdr:row>41</xdr:row>
      <xdr:rowOff>206252</xdr:rowOff>
    </xdr:from>
    <xdr:to>
      <xdr:col>12</xdr:col>
      <xdr:colOff>1653152</xdr:colOff>
      <xdr:row>41</xdr:row>
      <xdr:rowOff>1177597</xdr:rowOff>
    </xdr:to>
    <xdr:pic>
      <xdr:nvPicPr>
        <xdr:cNvPr id="85" name="Picture 84">
          <a:extLst>
            <a:ext uri="{FF2B5EF4-FFF2-40B4-BE49-F238E27FC236}">
              <a16:creationId xmlns:a16="http://schemas.microsoft.com/office/drawing/2014/main" id="{C01B01D9-CB85-4CD0-512C-7CDB97DB4A2F}"/>
            </a:ext>
          </a:extLst>
        </xdr:cNvPr>
        <xdr:cNvPicPr>
          <a:picLocks noChangeAspect="1"/>
        </xdr:cNvPicPr>
      </xdr:nvPicPr>
      <xdr:blipFill>
        <a:blip xmlns:r="http://schemas.openxmlformats.org/officeDocument/2006/relationships" r:link="rId34"/>
        <a:stretch>
          <a:fillRect/>
        </a:stretch>
      </xdr:blipFill>
      <xdr:spPr>
        <a:xfrm>
          <a:off x="28452305" y="57394998"/>
          <a:ext cx="968644" cy="971345"/>
        </a:xfrm>
        <a:prstGeom prst="rect">
          <a:avLst/>
        </a:prstGeom>
      </xdr:spPr>
    </xdr:pic>
    <xdr:clientData/>
  </xdr:twoCellAnchor>
  <xdr:twoCellAnchor editAs="oneCell">
    <xdr:from>
      <xdr:col>12</xdr:col>
      <xdr:colOff>684508</xdr:colOff>
      <xdr:row>42</xdr:row>
      <xdr:rowOff>206644</xdr:rowOff>
    </xdr:from>
    <xdr:to>
      <xdr:col>12</xdr:col>
      <xdr:colOff>1653152</xdr:colOff>
      <xdr:row>42</xdr:row>
      <xdr:rowOff>1177396</xdr:rowOff>
    </xdr:to>
    <xdr:pic>
      <xdr:nvPicPr>
        <xdr:cNvPr id="87" name="Picture 86">
          <a:extLst>
            <a:ext uri="{FF2B5EF4-FFF2-40B4-BE49-F238E27FC236}">
              <a16:creationId xmlns:a16="http://schemas.microsoft.com/office/drawing/2014/main" id="{B4492E94-6BCA-5B42-8564-06B562142029}"/>
            </a:ext>
          </a:extLst>
        </xdr:cNvPr>
        <xdr:cNvPicPr>
          <a:picLocks noChangeAspect="1"/>
        </xdr:cNvPicPr>
      </xdr:nvPicPr>
      <xdr:blipFill>
        <a:blip xmlns:r="http://schemas.openxmlformats.org/officeDocument/2006/relationships" r:link="rId35"/>
        <a:stretch>
          <a:fillRect/>
        </a:stretch>
      </xdr:blipFill>
      <xdr:spPr>
        <a:xfrm>
          <a:off x="28452305" y="58790237"/>
          <a:ext cx="968644" cy="970752"/>
        </a:xfrm>
        <a:prstGeom prst="rect">
          <a:avLst/>
        </a:prstGeom>
      </xdr:spPr>
    </xdr:pic>
    <xdr:clientData/>
  </xdr:twoCellAnchor>
  <xdr:twoCellAnchor editAs="oneCell">
    <xdr:from>
      <xdr:col>12</xdr:col>
      <xdr:colOff>684508</xdr:colOff>
      <xdr:row>43</xdr:row>
      <xdr:rowOff>206253</xdr:rowOff>
    </xdr:from>
    <xdr:to>
      <xdr:col>12</xdr:col>
      <xdr:colOff>1653152</xdr:colOff>
      <xdr:row>43</xdr:row>
      <xdr:rowOff>1177598</xdr:rowOff>
    </xdr:to>
    <xdr:pic>
      <xdr:nvPicPr>
        <xdr:cNvPr id="89" name="Picture 88">
          <a:extLst>
            <a:ext uri="{FF2B5EF4-FFF2-40B4-BE49-F238E27FC236}">
              <a16:creationId xmlns:a16="http://schemas.microsoft.com/office/drawing/2014/main" id="{F9D0F752-CF51-284D-903C-5007130B758E}"/>
            </a:ext>
          </a:extLst>
        </xdr:cNvPr>
        <xdr:cNvPicPr>
          <a:picLocks noChangeAspect="1"/>
        </xdr:cNvPicPr>
      </xdr:nvPicPr>
      <xdr:blipFill>
        <a:blip xmlns:r="http://schemas.openxmlformats.org/officeDocument/2006/relationships" r:link="rId36"/>
        <a:stretch>
          <a:fillRect/>
        </a:stretch>
      </xdr:blipFill>
      <xdr:spPr>
        <a:xfrm>
          <a:off x="28452305" y="60184694"/>
          <a:ext cx="968644" cy="971345"/>
        </a:xfrm>
        <a:prstGeom prst="rect">
          <a:avLst/>
        </a:prstGeom>
      </xdr:spPr>
    </xdr:pic>
    <xdr:clientData/>
  </xdr:twoCellAnchor>
  <xdr:twoCellAnchor editAs="oneCell">
    <xdr:from>
      <xdr:col>12</xdr:col>
      <xdr:colOff>684508</xdr:colOff>
      <xdr:row>44</xdr:row>
      <xdr:rowOff>206645</xdr:rowOff>
    </xdr:from>
    <xdr:to>
      <xdr:col>12</xdr:col>
      <xdr:colOff>1653152</xdr:colOff>
      <xdr:row>44</xdr:row>
      <xdr:rowOff>1177397</xdr:rowOff>
    </xdr:to>
    <xdr:pic>
      <xdr:nvPicPr>
        <xdr:cNvPr id="91" name="Picture 90">
          <a:extLst>
            <a:ext uri="{FF2B5EF4-FFF2-40B4-BE49-F238E27FC236}">
              <a16:creationId xmlns:a16="http://schemas.microsoft.com/office/drawing/2014/main" id="{26C9B5AC-DD64-B4C2-E2A8-14D7DDF75E8F}"/>
            </a:ext>
          </a:extLst>
        </xdr:cNvPr>
        <xdr:cNvPicPr>
          <a:picLocks noChangeAspect="1"/>
        </xdr:cNvPicPr>
      </xdr:nvPicPr>
      <xdr:blipFill>
        <a:blip xmlns:r="http://schemas.openxmlformats.org/officeDocument/2006/relationships" r:link="rId37"/>
        <a:stretch>
          <a:fillRect/>
        </a:stretch>
      </xdr:blipFill>
      <xdr:spPr>
        <a:xfrm>
          <a:off x="28452305" y="61579933"/>
          <a:ext cx="968644" cy="970752"/>
        </a:xfrm>
        <a:prstGeom prst="rect">
          <a:avLst/>
        </a:prstGeom>
      </xdr:spPr>
    </xdr:pic>
    <xdr:clientData/>
  </xdr:twoCellAnchor>
  <xdr:twoCellAnchor editAs="oneCell">
    <xdr:from>
      <xdr:col>12</xdr:col>
      <xdr:colOff>684508</xdr:colOff>
      <xdr:row>45</xdr:row>
      <xdr:rowOff>206643</xdr:rowOff>
    </xdr:from>
    <xdr:to>
      <xdr:col>12</xdr:col>
      <xdr:colOff>1653152</xdr:colOff>
      <xdr:row>45</xdr:row>
      <xdr:rowOff>1177395</xdr:rowOff>
    </xdr:to>
    <xdr:pic>
      <xdr:nvPicPr>
        <xdr:cNvPr id="93" name="Picture 92">
          <a:extLst>
            <a:ext uri="{FF2B5EF4-FFF2-40B4-BE49-F238E27FC236}">
              <a16:creationId xmlns:a16="http://schemas.microsoft.com/office/drawing/2014/main" id="{5D0BD5BB-7DEE-636F-725D-C224B4C0E12C}"/>
            </a:ext>
          </a:extLst>
        </xdr:cNvPr>
        <xdr:cNvPicPr>
          <a:picLocks noChangeAspect="1"/>
        </xdr:cNvPicPr>
      </xdr:nvPicPr>
      <xdr:blipFill>
        <a:blip xmlns:r="http://schemas.openxmlformats.org/officeDocument/2006/relationships" r:link="rId38"/>
        <a:stretch>
          <a:fillRect/>
        </a:stretch>
      </xdr:blipFill>
      <xdr:spPr>
        <a:xfrm>
          <a:off x="28452305" y="62974779"/>
          <a:ext cx="968644" cy="970752"/>
        </a:xfrm>
        <a:prstGeom prst="rect">
          <a:avLst/>
        </a:prstGeom>
      </xdr:spPr>
    </xdr:pic>
    <xdr:clientData/>
  </xdr:twoCellAnchor>
  <xdr:twoCellAnchor editAs="oneCell">
    <xdr:from>
      <xdr:col>12</xdr:col>
      <xdr:colOff>684508</xdr:colOff>
      <xdr:row>46</xdr:row>
      <xdr:rowOff>206254</xdr:rowOff>
    </xdr:from>
    <xdr:to>
      <xdr:col>12</xdr:col>
      <xdr:colOff>1653152</xdr:colOff>
      <xdr:row>46</xdr:row>
      <xdr:rowOff>1177598</xdr:rowOff>
    </xdr:to>
    <xdr:pic>
      <xdr:nvPicPr>
        <xdr:cNvPr id="95" name="Picture 94">
          <a:extLst>
            <a:ext uri="{FF2B5EF4-FFF2-40B4-BE49-F238E27FC236}">
              <a16:creationId xmlns:a16="http://schemas.microsoft.com/office/drawing/2014/main" id="{92A8A3F0-CD7B-FE63-D234-06AF2B6BA359}"/>
            </a:ext>
          </a:extLst>
        </xdr:cNvPr>
        <xdr:cNvPicPr>
          <a:picLocks noChangeAspect="1"/>
        </xdr:cNvPicPr>
      </xdr:nvPicPr>
      <xdr:blipFill>
        <a:blip xmlns:r="http://schemas.openxmlformats.org/officeDocument/2006/relationships" r:link="rId39"/>
        <a:stretch>
          <a:fillRect/>
        </a:stretch>
      </xdr:blipFill>
      <xdr:spPr>
        <a:xfrm>
          <a:off x="28452305" y="64369237"/>
          <a:ext cx="968644" cy="971344"/>
        </a:xfrm>
        <a:prstGeom prst="rect">
          <a:avLst/>
        </a:prstGeom>
      </xdr:spPr>
    </xdr:pic>
    <xdr:clientData/>
  </xdr:twoCellAnchor>
  <xdr:twoCellAnchor editAs="oneCell">
    <xdr:from>
      <xdr:col>12</xdr:col>
      <xdr:colOff>684508</xdr:colOff>
      <xdr:row>47</xdr:row>
      <xdr:rowOff>206644</xdr:rowOff>
    </xdr:from>
    <xdr:to>
      <xdr:col>12</xdr:col>
      <xdr:colOff>1653152</xdr:colOff>
      <xdr:row>47</xdr:row>
      <xdr:rowOff>1177396</xdr:rowOff>
    </xdr:to>
    <xdr:pic>
      <xdr:nvPicPr>
        <xdr:cNvPr id="97" name="Picture 96">
          <a:extLst>
            <a:ext uri="{FF2B5EF4-FFF2-40B4-BE49-F238E27FC236}">
              <a16:creationId xmlns:a16="http://schemas.microsoft.com/office/drawing/2014/main" id="{EC0A888F-5F78-37E9-7712-B7E587C2EA6F}"/>
            </a:ext>
          </a:extLst>
        </xdr:cNvPr>
        <xdr:cNvPicPr>
          <a:picLocks noChangeAspect="1"/>
        </xdr:cNvPicPr>
      </xdr:nvPicPr>
      <xdr:blipFill>
        <a:blip xmlns:r="http://schemas.openxmlformats.org/officeDocument/2006/relationships" r:link="rId40"/>
        <a:stretch>
          <a:fillRect/>
        </a:stretch>
      </xdr:blipFill>
      <xdr:spPr>
        <a:xfrm>
          <a:off x="28452305" y="65764475"/>
          <a:ext cx="968644" cy="970752"/>
        </a:xfrm>
        <a:prstGeom prst="rect">
          <a:avLst/>
        </a:prstGeom>
      </xdr:spPr>
    </xdr:pic>
    <xdr:clientData/>
  </xdr:twoCellAnchor>
  <xdr:twoCellAnchor editAs="oneCell">
    <xdr:from>
      <xdr:col>12</xdr:col>
      <xdr:colOff>684508</xdr:colOff>
      <xdr:row>48</xdr:row>
      <xdr:rowOff>206255</xdr:rowOff>
    </xdr:from>
    <xdr:to>
      <xdr:col>12</xdr:col>
      <xdr:colOff>1653152</xdr:colOff>
      <xdr:row>48</xdr:row>
      <xdr:rowOff>1177599</xdr:rowOff>
    </xdr:to>
    <xdr:pic>
      <xdr:nvPicPr>
        <xdr:cNvPr id="99" name="Picture 98">
          <a:extLst>
            <a:ext uri="{FF2B5EF4-FFF2-40B4-BE49-F238E27FC236}">
              <a16:creationId xmlns:a16="http://schemas.microsoft.com/office/drawing/2014/main" id="{2641A170-2E73-AD27-39EC-20FCABF65287}"/>
            </a:ext>
          </a:extLst>
        </xdr:cNvPr>
        <xdr:cNvPicPr>
          <a:picLocks noChangeAspect="1"/>
        </xdr:cNvPicPr>
      </xdr:nvPicPr>
      <xdr:blipFill>
        <a:blip xmlns:r="http://schemas.openxmlformats.org/officeDocument/2006/relationships" r:link="rId41"/>
        <a:stretch>
          <a:fillRect/>
        </a:stretch>
      </xdr:blipFill>
      <xdr:spPr>
        <a:xfrm>
          <a:off x="28452305" y="67158933"/>
          <a:ext cx="968644" cy="971344"/>
        </a:xfrm>
        <a:prstGeom prst="rect">
          <a:avLst/>
        </a:prstGeom>
      </xdr:spPr>
    </xdr:pic>
    <xdr:clientData/>
  </xdr:twoCellAnchor>
  <xdr:twoCellAnchor editAs="oneCell">
    <xdr:from>
      <xdr:col>12</xdr:col>
      <xdr:colOff>684508</xdr:colOff>
      <xdr:row>49</xdr:row>
      <xdr:rowOff>206645</xdr:rowOff>
    </xdr:from>
    <xdr:to>
      <xdr:col>12</xdr:col>
      <xdr:colOff>1653152</xdr:colOff>
      <xdr:row>49</xdr:row>
      <xdr:rowOff>1177397</xdr:rowOff>
    </xdr:to>
    <xdr:pic>
      <xdr:nvPicPr>
        <xdr:cNvPr id="101" name="Picture 100">
          <a:extLst>
            <a:ext uri="{FF2B5EF4-FFF2-40B4-BE49-F238E27FC236}">
              <a16:creationId xmlns:a16="http://schemas.microsoft.com/office/drawing/2014/main" id="{6B7FEE80-C0AC-E0FE-DBE9-94FCA92DC4A9}"/>
            </a:ext>
          </a:extLst>
        </xdr:cNvPr>
        <xdr:cNvPicPr>
          <a:picLocks noChangeAspect="1"/>
        </xdr:cNvPicPr>
      </xdr:nvPicPr>
      <xdr:blipFill>
        <a:blip xmlns:r="http://schemas.openxmlformats.org/officeDocument/2006/relationships" r:link="rId42"/>
        <a:stretch>
          <a:fillRect/>
        </a:stretch>
      </xdr:blipFill>
      <xdr:spPr>
        <a:xfrm>
          <a:off x="28452305" y="68554170"/>
          <a:ext cx="968644" cy="970752"/>
        </a:xfrm>
        <a:prstGeom prst="rect">
          <a:avLst/>
        </a:prstGeom>
      </xdr:spPr>
    </xdr:pic>
    <xdr:clientData/>
  </xdr:twoCellAnchor>
  <xdr:twoCellAnchor editAs="oneCell">
    <xdr:from>
      <xdr:col>12</xdr:col>
      <xdr:colOff>684508</xdr:colOff>
      <xdr:row>50</xdr:row>
      <xdr:rowOff>206643</xdr:rowOff>
    </xdr:from>
    <xdr:to>
      <xdr:col>12</xdr:col>
      <xdr:colOff>1653152</xdr:colOff>
      <xdr:row>50</xdr:row>
      <xdr:rowOff>1177395</xdr:rowOff>
    </xdr:to>
    <xdr:pic>
      <xdr:nvPicPr>
        <xdr:cNvPr id="103" name="Picture 102">
          <a:extLst>
            <a:ext uri="{FF2B5EF4-FFF2-40B4-BE49-F238E27FC236}">
              <a16:creationId xmlns:a16="http://schemas.microsoft.com/office/drawing/2014/main" id="{0819B938-6A30-06DC-A360-D7F481CC5010}"/>
            </a:ext>
          </a:extLst>
        </xdr:cNvPr>
        <xdr:cNvPicPr>
          <a:picLocks noChangeAspect="1"/>
        </xdr:cNvPicPr>
      </xdr:nvPicPr>
      <xdr:blipFill>
        <a:blip xmlns:r="http://schemas.openxmlformats.org/officeDocument/2006/relationships" r:link="rId43"/>
        <a:stretch>
          <a:fillRect/>
        </a:stretch>
      </xdr:blipFill>
      <xdr:spPr>
        <a:xfrm>
          <a:off x="28452305" y="69949016"/>
          <a:ext cx="968644" cy="970752"/>
        </a:xfrm>
        <a:prstGeom prst="rect">
          <a:avLst/>
        </a:prstGeom>
      </xdr:spPr>
    </xdr:pic>
    <xdr:clientData/>
  </xdr:twoCellAnchor>
  <xdr:twoCellAnchor editAs="oneCell">
    <xdr:from>
      <xdr:col>12</xdr:col>
      <xdr:colOff>684508</xdr:colOff>
      <xdr:row>51</xdr:row>
      <xdr:rowOff>206254</xdr:rowOff>
    </xdr:from>
    <xdr:to>
      <xdr:col>12</xdr:col>
      <xdr:colOff>1653152</xdr:colOff>
      <xdr:row>51</xdr:row>
      <xdr:rowOff>1177598</xdr:rowOff>
    </xdr:to>
    <xdr:pic>
      <xdr:nvPicPr>
        <xdr:cNvPr id="105" name="Picture 104">
          <a:extLst>
            <a:ext uri="{FF2B5EF4-FFF2-40B4-BE49-F238E27FC236}">
              <a16:creationId xmlns:a16="http://schemas.microsoft.com/office/drawing/2014/main" id="{1BFE2218-63C4-789E-B0CE-A1C2FD79A3A3}"/>
            </a:ext>
          </a:extLst>
        </xdr:cNvPr>
        <xdr:cNvPicPr>
          <a:picLocks noChangeAspect="1"/>
        </xdr:cNvPicPr>
      </xdr:nvPicPr>
      <xdr:blipFill>
        <a:blip xmlns:r="http://schemas.openxmlformats.org/officeDocument/2006/relationships" r:link="rId44"/>
        <a:stretch>
          <a:fillRect/>
        </a:stretch>
      </xdr:blipFill>
      <xdr:spPr>
        <a:xfrm>
          <a:off x="28452305" y="71343474"/>
          <a:ext cx="968644" cy="971344"/>
        </a:xfrm>
        <a:prstGeom prst="rect">
          <a:avLst/>
        </a:prstGeom>
      </xdr:spPr>
    </xdr:pic>
    <xdr:clientData/>
  </xdr:twoCellAnchor>
  <xdr:twoCellAnchor editAs="oneCell">
    <xdr:from>
      <xdr:col>12</xdr:col>
      <xdr:colOff>684508</xdr:colOff>
      <xdr:row>52</xdr:row>
      <xdr:rowOff>206644</xdr:rowOff>
    </xdr:from>
    <xdr:to>
      <xdr:col>12</xdr:col>
      <xdr:colOff>1653152</xdr:colOff>
      <xdr:row>52</xdr:row>
      <xdr:rowOff>1177396</xdr:rowOff>
    </xdr:to>
    <xdr:pic>
      <xdr:nvPicPr>
        <xdr:cNvPr id="107" name="Picture 106">
          <a:extLst>
            <a:ext uri="{FF2B5EF4-FFF2-40B4-BE49-F238E27FC236}">
              <a16:creationId xmlns:a16="http://schemas.microsoft.com/office/drawing/2014/main" id="{C9AACF93-371C-D8E0-0BB9-5C63CAB303D3}"/>
            </a:ext>
          </a:extLst>
        </xdr:cNvPr>
        <xdr:cNvPicPr>
          <a:picLocks noChangeAspect="1"/>
        </xdr:cNvPicPr>
      </xdr:nvPicPr>
      <xdr:blipFill>
        <a:blip xmlns:r="http://schemas.openxmlformats.org/officeDocument/2006/relationships" r:link="rId45"/>
        <a:stretch>
          <a:fillRect/>
        </a:stretch>
      </xdr:blipFill>
      <xdr:spPr>
        <a:xfrm>
          <a:off x="28452305" y="72738712"/>
          <a:ext cx="968644" cy="970752"/>
        </a:xfrm>
        <a:prstGeom prst="rect">
          <a:avLst/>
        </a:prstGeom>
      </xdr:spPr>
    </xdr:pic>
    <xdr:clientData/>
  </xdr:twoCellAnchor>
  <xdr:twoCellAnchor editAs="oneCell">
    <xdr:from>
      <xdr:col>12</xdr:col>
      <xdr:colOff>684508</xdr:colOff>
      <xdr:row>53</xdr:row>
      <xdr:rowOff>206255</xdr:rowOff>
    </xdr:from>
    <xdr:to>
      <xdr:col>12</xdr:col>
      <xdr:colOff>1653152</xdr:colOff>
      <xdr:row>53</xdr:row>
      <xdr:rowOff>1177599</xdr:rowOff>
    </xdr:to>
    <xdr:pic>
      <xdr:nvPicPr>
        <xdr:cNvPr id="109" name="Picture 108">
          <a:extLst>
            <a:ext uri="{FF2B5EF4-FFF2-40B4-BE49-F238E27FC236}">
              <a16:creationId xmlns:a16="http://schemas.microsoft.com/office/drawing/2014/main" id="{06939D1F-8BFA-CA47-95AF-21511AC3D7B0}"/>
            </a:ext>
          </a:extLst>
        </xdr:cNvPr>
        <xdr:cNvPicPr>
          <a:picLocks noChangeAspect="1"/>
        </xdr:cNvPicPr>
      </xdr:nvPicPr>
      <xdr:blipFill>
        <a:blip xmlns:r="http://schemas.openxmlformats.org/officeDocument/2006/relationships" r:link="rId46"/>
        <a:stretch>
          <a:fillRect/>
        </a:stretch>
      </xdr:blipFill>
      <xdr:spPr>
        <a:xfrm>
          <a:off x="28452305" y="74133170"/>
          <a:ext cx="968644" cy="971344"/>
        </a:xfrm>
        <a:prstGeom prst="rect">
          <a:avLst/>
        </a:prstGeom>
      </xdr:spPr>
    </xdr:pic>
    <xdr:clientData/>
  </xdr:twoCellAnchor>
  <xdr:twoCellAnchor editAs="oneCell">
    <xdr:from>
      <xdr:col>12</xdr:col>
      <xdr:colOff>684508</xdr:colOff>
      <xdr:row>54</xdr:row>
      <xdr:rowOff>206645</xdr:rowOff>
    </xdr:from>
    <xdr:to>
      <xdr:col>12</xdr:col>
      <xdr:colOff>1653152</xdr:colOff>
      <xdr:row>54</xdr:row>
      <xdr:rowOff>1177397</xdr:rowOff>
    </xdr:to>
    <xdr:pic>
      <xdr:nvPicPr>
        <xdr:cNvPr id="111" name="Picture 110">
          <a:extLst>
            <a:ext uri="{FF2B5EF4-FFF2-40B4-BE49-F238E27FC236}">
              <a16:creationId xmlns:a16="http://schemas.microsoft.com/office/drawing/2014/main" id="{D38FFA94-FC22-1DE8-421D-3B84A46B2EC2}"/>
            </a:ext>
          </a:extLst>
        </xdr:cNvPr>
        <xdr:cNvPicPr>
          <a:picLocks noChangeAspect="1"/>
        </xdr:cNvPicPr>
      </xdr:nvPicPr>
      <xdr:blipFill>
        <a:blip xmlns:r="http://schemas.openxmlformats.org/officeDocument/2006/relationships" r:link="rId47"/>
        <a:stretch>
          <a:fillRect/>
        </a:stretch>
      </xdr:blipFill>
      <xdr:spPr>
        <a:xfrm>
          <a:off x="28452305" y="75528408"/>
          <a:ext cx="968644" cy="970752"/>
        </a:xfrm>
        <a:prstGeom prst="rect">
          <a:avLst/>
        </a:prstGeom>
      </xdr:spPr>
    </xdr:pic>
    <xdr:clientData/>
  </xdr:twoCellAnchor>
  <xdr:twoCellAnchor editAs="oneCell">
    <xdr:from>
      <xdr:col>12</xdr:col>
      <xdr:colOff>684508</xdr:colOff>
      <xdr:row>55</xdr:row>
      <xdr:rowOff>206643</xdr:rowOff>
    </xdr:from>
    <xdr:to>
      <xdr:col>12</xdr:col>
      <xdr:colOff>1653152</xdr:colOff>
      <xdr:row>55</xdr:row>
      <xdr:rowOff>1177395</xdr:rowOff>
    </xdr:to>
    <xdr:pic>
      <xdr:nvPicPr>
        <xdr:cNvPr id="113" name="Picture 112">
          <a:extLst>
            <a:ext uri="{FF2B5EF4-FFF2-40B4-BE49-F238E27FC236}">
              <a16:creationId xmlns:a16="http://schemas.microsoft.com/office/drawing/2014/main" id="{BBCBBC07-EBBD-D4A5-47CF-85A08E8DBB64}"/>
            </a:ext>
          </a:extLst>
        </xdr:cNvPr>
        <xdr:cNvPicPr>
          <a:picLocks noChangeAspect="1"/>
        </xdr:cNvPicPr>
      </xdr:nvPicPr>
      <xdr:blipFill>
        <a:blip xmlns:r="http://schemas.openxmlformats.org/officeDocument/2006/relationships" r:link="rId48"/>
        <a:stretch>
          <a:fillRect/>
        </a:stretch>
      </xdr:blipFill>
      <xdr:spPr>
        <a:xfrm>
          <a:off x="28452305" y="76923253"/>
          <a:ext cx="968644" cy="970752"/>
        </a:xfrm>
        <a:prstGeom prst="rect">
          <a:avLst/>
        </a:prstGeom>
      </xdr:spPr>
    </xdr:pic>
    <xdr:clientData/>
  </xdr:twoCellAnchor>
  <xdr:twoCellAnchor editAs="oneCell">
    <xdr:from>
      <xdr:col>12</xdr:col>
      <xdr:colOff>684508</xdr:colOff>
      <xdr:row>56</xdr:row>
      <xdr:rowOff>206252</xdr:rowOff>
    </xdr:from>
    <xdr:to>
      <xdr:col>12</xdr:col>
      <xdr:colOff>1653152</xdr:colOff>
      <xdr:row>56</xdr:row>
      <xdr:rowOff>1177597</xdr:rowOff>
    </xdr:to>
    <xdr:pic>
      <xdr:nvPicPr>
        <xdr:cNvPr id="115" name="Picture 114">
          <a:extLst>
            <a:ext uri="{FF2B5EF4-FFF2-40B4-BE49-F238E27FC236}">
              <a16:creationId xmlns:a16="http://schemas.microsoft.com/office/drawing/2014/main" id="{E936407A-18B1-492F-FAA2-9B3D7ABB0C70}"/>
            </a:ext>
          </a:extLst>
        </xdr:cNvPr>
        <xdr:cNvPicPr>
          <a:picLocks noChangeAspect="1"/>
        </xdr:cNvPicPr>
      </xdr:nvPicPr>
      <xdr:blipFill>
        <a:blip xmlns:r="http://schemas.openxmlformats.org/officeDocument/2006/relationships" r:link="rId49"/>
        <a:stretch>
          <a:fillRect/>
        </a:stretch>
      </xdr:blipFill>
      <xdr:spPr>
        <a:xfrm>
          <a:off x="28452305" y="78317710"/>
          <a:ext cx="968644" cy="971345"/>
        </a:xfrm>
        <a:prstGeom prst="rect">
          <a:avLst/>
        </a:prstGeom>
      </xdr:spPr>
    </xdr:pic>
    <xdr:clientData/>
  </xdr:twoCellAnchor>
  <xdr:twoCellAnchor editAs="oneCell">
    <xdr:from>
      <xdr:col>12</xdr:col>
      <xdr:colOff>684508</xdr:colOff>
      <xdr:row>57</xdr:row>
      <xdr:rowOff>206644</xdr:rowOff>
    </xdr:from>
    <xdr:to>
      <xdr:col>12</xdr:col>
      <xdr:colOff>1653152</xdr:colOff>
      <xdr:row>57</xdr:row>
      <xdr:rowOff>1177396</xdr:rowOff>
    </xdr:to>
    <xdr:pic>
      <xdr:nvPicPr>
        <xdr:cNvPr id="117" name="Picture 116">
          <a:extLst>
            <a:ext uri="{FF2B5EF4-FFF2-40B4-BE49-F238E27FC236}">
              <a16:creationId xmlns:a16="http://schemas.microsoft.com/office/drawing/2014/main" id="{C67E4EAD-37DC-436D-5224-F4222B905DE6}"/>
            </a:ext>
          </a:extLst>
        </xdr:cNvPr>
        <xdr:cNvPicPr>
          <a:picLocks noChangeAspect="1"/>
        </xdr:cNvPicPr>
      </xdr:nvPicPr>
      <xdr:blipFill>
        <a:blip xmlns:r="http://schemas.openxmlformats.org/officeDocument/2006/relationships" r:link="rId50"/>
        <a:stretch>
          <a:fillRect/>
        </a:stretch>
      </xdr:blipFill>
      <xdr:spPr>
        <a:xfrm>
          <a:off x="28452305" y="79712949"/>
          <a:ext cx="968644" cy="970752"/>
        </a:xfrm>
        <a:prstGeom prst="rect">
          <a:avLst/>
        </a:prstGeom>
      </xdr:spPr>
    </xdr:pic>
    <xdr:clientData/>
  </xdr:twoCellAnchor>
  <xdr:twoCellAnchor editAs="oneCell">
    <xdr:from>
      <xdr:col>12</xdr:col>
      <xdr:colOff>684508</xdr:colOff>
      <xdr:row>58</xdr:row>
      <xdr:rowOff>206253</xdr:rowOff>
    </xdr:from>
    <xdr:to>
      <xdr:col>12</xdr:col>
      <xdr:colOff>1653152</xdr:colOff>
      <xdr:row>58</xdr:row>
      <xdr:rowOff>1177598</xdr:rowOff>
    </xdr:to>
    <xdr:pic>
      <xdr:nvPicPr>
        <xdr:cNvPr id="119" name="Picture 118">
          <a:extLst>
            <a:ext uri="{FF2B5EF4-FFF2-40B4-BE49-F238E27FC236}">
              <a16:creationId xmlns:a16="http://schemas.microsoft.com/office/drawing/2014/main" id="{8823ECF7-2B70-DA8B-C8C9-8A8583DB31B5}"/>
            </a:ext>
          </a:extLst>
        </xdr:cNvPr>
        <xdr:cNvPicPr>
          <a:picLocks noChangeAspect="1"/>
        </xdr:cNvPicPr>
      </xdr:nvPicPr>
      <xdr:blipFill>
        <a:blip xmlns:r="http://schemas.openxmlformats.org/officeDocument/2006/relationships" r:link="rId51"/>
        <a:stretch>
          <a:fillRect/>
        </a:stretch>
      </xdr:blipFill>
      <xdr:spPr>
        <a:xfrm>
          <a:off x="28452305" y="81107406"/>
          <a:ext cx="968644" cy="971345"/>
        </a:xfrm>
        <a:prstGeom prst="rect">
          <a:avLst/>
        </a:prstGeom>
      </xdr:spPr>
    </xdr:pic>
    <xdr:clientData/>
  </xdr:twoCellAnchor>
  <xdr:twoCellAnchor editAs="oneCell">
    <xdr:from>
      <xdr:col>12</xdr:col>
      <xdr:colOff>684508</xdr:colOff>
      <xdr:row>59</xdr:row>
      <xdr:rowOff>206645</xdr:rowOff>
    </xdr:from>
    <xdr:to>
      <xdr:col>12</xdr:col>
      <xdr:colOff>1653152</xdr:colOff>
      <xdr:row>59</xdr:row>
      <xdr:rowOff>1177397</xdr:rowOff>
    </xdr:to>
    <xdr:pic>
      <xdr:nvPicPr>
        <xdr:cNvPr id="121" name="Picture 120">
          <a:extLst>
            <a:ext uri="{FF2B5EF4-FFF2-40B4-BE49-F238E27FC236}">
              <a16:creationId xmlns:a16="http://schemas.microsoft.com/office/drawing/2014/main" id="{E296DAC6-474F-F77D-BCB5-B7EF31DDDC45}"/>
            </a:ext>
          </a:extLst>
        </xdr:cNvPr>
        <xdr:cNvPicPr>
          <a:picLocks noChangeAspect="1"/>
        </xdr:cNvPicPr>
      </xdr:nvPicPr>
      <xdr:blipFill>
        <a:blip xmlns:r="http://schemas.openxmlformats.org/officeDocument/2006/relationships" r:link="rId52"/>
        <a:stretch>
          <a:fillRect/>
        </a:stretch>
      </xdr:blipFill>
      <xdr:spPr>
        <a:xfrm>
          <a:off x="28452305" y="82502645"/>
          <a:ext cx="968644" cy="970752"/>
        </a:xfrm>
        <a:prstGeom prst="rect">
          <a:avLst/>
        </a:prstGeom>
      </xdr:spPr>
    </xdr:pic>
    <xdr:clientData/>
  </xdr:twoCellAnchor>
  <xdr:twoCellAnchor editAs="oneCell">
    <xdr:from>
      <xdr:col>12</xdr:col>
      <xdr:colOff>684508</xdr:colOff>
      <xdr:row>60</xdr:row>
      <xdr:rowOff>206643</xdr:rowOff>
    </xdr:from>
    <xdr:to>
      <xdr:col>12</xdr:col>
      <xdr:colOff>1653152</xdr:colOff>
      <xdr:row>60</xdr:row>
      <xdr:rowOff>1177395</xdr:rowOff>
    </xdr:to>
    <xdr:pic>
      <xdr:nvPicPr>
        <xdr:cNvPr id="123" name="Picture 122">
          <a:extLst>
            <a:ext uri="{FF2B5EF4-FFF2-40B4-BE49-F238E27FC236}">
              <a16:creationId xmlns:a16="http://schemas.microsoft.com/office/drawing/2014/main" id="{17E903F9-3E81-D753-A12A-31DF20E973E8}"/>
            </a:ext>
          </a:extLst>
        </xdr:cNvPr>
        <xdr:cNvPicPr>
          <a:picLocks noChangeAspect="1"/>
        </xdr:cNvPicPr>
      </xdr:nvPicPr>
      <xdr:blipFill>
        <a:blip xmlns:r="http://schemas.openxmlformats.org/officeDocument/2006/relationships" r:link="rId53"/>
        <a:stretch>
          <a:fillRect/>
        </a:stretch>
      </xdr:blipFill>
      <xdr:spPr>
        <a:xfrm>
          <a:off x="28452305" y="83897490"/>
          <a:ext cx="968644" cy="970752"/>
        </a:xfrm>
        <a:prstGeom prst="rect">
          <a:avLst/>
        </a:prstGeom>
      </xdr:spPr>
    </xdr:pic>
    <xdr:clientData/>
  </xdr:twoCellAnchor>
  <xdr:twoCellAnchor editAs="oneCell">
    <xdr:from>
      <xdr:col>12</xdr:col>
      <xdr:colOff>684508</xdr:colOff>
      <xdr:row>61</xdr:row>
      <xdr:rowOff>206252</xdr:rowOff>
    </xdr:from>
    <xdr:to>
      <xdr:col>12</xdr:col>
      <xdr:colOff>1653152</xdr:colOff>
      <xdr:row>61</xdr:row>
      <xdr:rowOff>1177597</xdr:rowOff>
    </xdr:to>
    <xdr:pic>
      <xdr:nvPicPr>
        <xdr:cNvPr id="125" name="Picture 124">
          <a:extLst>
            <a:ext uri="{FF2B5EF4-FFF2-40B4-BE49-F238E27FC236}">
              <a16:creationId xmlns:a16="http://schemas.microsoft.com/office/drawing/2014/main" id="{A1B2A325-EA3D-927F-E421-7DF0DA0A0F08}"/>
            </a:ext>
          </a:extLst>
        </xdr:cNvPr>
        <xdr:cNvPicPr>
          <a:picLocks noChangeAspect="1"/>
        </xdr:cNvPicPr>
      </xdr:nvPicPr>
      <xdr:blipFill>
        <a:blip xmlns:r="http://schemas.openxmlformats.org/officeDocument/2006/relationships" r:link="rId54"/>
        <a:stretch>
          <a:fillRect/>
        </a:stretch>
      </xdr:blipFill>
      <xdr:spPr>
        <a:xfrm>
          <a:off x="28452305" y="85291947"/>
          <a:ext cx="968644" cy="971345"/>
        </a:xfrm>
        <a:prstGeom prst="rect">
          <a:avLst/>
        </a:prstGeom>
      </xdr:spPr>
    </xdr:pic>
    <xdr:clientData/>
  </xdr:twoCellAnchor>
  <xdr:twoCellAnchor editAs="oneCell">
    <xdr:from>
      <xdr:col>12</xdr:col>
      <xdr:colOff>684508</xdr:colOff>
      <xdr:row>62</xdr:row>
      <xdr:rowOff>206644</xdr:rowOff>
    </xdr:from>
    <xdr:to>
      <xdr:col>12</xdr:col>
      <xdr:colOff>1653152</xdr:colOff>
      <xdr:row>62</xdr:row>
      <xdr:rowOff>1177396</xdr:rowOff>
    </xdr:to>
    <xdr:pic>
      <xdr:nvPicPr>
        <xdr:cNvPr id="127" name="Picture 126">
          <a:extLst>
            <a:ext uri="{FF2B5EF4-FFF2-40B4-BE49-F238E27FC236}">
              <a16:creationId xmlns:a16="http://schemas.microsoft.com/office/drawing/2014/main" id="{C49698DF-F1FD-04EF-DAEC-7D433CC8F59B}"/>
            </a:ext>
          </a:extLst>
        </xdr:cNvPr>
        <xdr:cNvPicPr>
          <a:picLocks noChangeAspect="1"/>
        </xdr:cNvPicPr>
      </xdr:nvPicPr>
      <xdr:blipFill>
        <a:blip xmlns:r="http://schemas.openxmlformats.org/officeDocument/2006/relationships" r:link="rId55"/>
        <a:stretch>
          <a:fillRect/>
        </a:stretch>
      </xdr:blipFill>
      <xdr:spPr>
        <a:xfrm>
          <a:off x="28452305" y="86687186"/>
          <a:ext cx="968644" cy="970752"/>
        </a:xfrm>
        <a:prstGeom prst="rect">
          <a:avLst/>
        </a:prstGeom>
      </xdr:spPr>
    </xdr:pic>
    <xdr:clientData/>
  </xdr:twoCellAnchor>
  <xdr:twoCellAnchor editAs="oneCell">
    <xdr:from>
      <xdr:col>12</xdr:col>
      <xdr:colOff>684508</xdr:colOff>
      <xdr:row>63</xdr:row>
      <xdr:rowOff>206253</xdr:rowOff>
    </xdr:from>
    <xdr:to>
      <xdr:col>12</xdr:col>
      <xdr:colOff>1653152</xdr:colOff>
      <xdr:row>63</xdr:row>
      <xdr:rowOff>1177598</xdr:rowOff>
    </xdr:to>
    <xdr:pic>
      <xdr:nvPicPr>
        <xdr:cNvPr id="129" name="Picture 128">
          <a:extLst>
            <a:ext uri="{FF2B5EF4-FFF2-40B4-BE49-F238E27FC236}">
              <a16:creationId xmlns:a16="http://schemas.microsoft.com/office/drawing/2014/main" id="{484A7F68-974D-8F7C-0F57-7EDD9D2CC3C4}"/>
            </a:ext>
          </a:extLst>
        </xdr:cNvPr>
        <xdr:cNvPicPr>
          <a:picLocks noChangeAspect="1"/>
        </xdr:cNvPicPr>
      </xdr:nvPicPr>
      <xdr:blipFill>
        <a:blip xmlns:r="http://schemas.openxmlformats.org/officeDocument/2006/relationships" r:link="rId56"/>
        <a:stretch>
          <a:fillRect/>
        </a:stretch>
      </xdr:blipFill>
      <xdr:spPr>
        <a:xfrm>
          <a:off x="28452305" y="88081643"/>
          <a:ext cx="968644" cy="971345"/>
        </a:xfrm>
        <a:prstGeom prst="rect">
          <a:avLst/>
        </a:prstGeom>
      </xdr:spPr>
    </xdr:pic>
    <xdr:clientData/>
  </xdr:twoCellAnchor>
  <xdr:twoCellAnchor editAs="oneCell">
    <xdr:from>
      <xdr:col>12</xdr:col>
      <xdr:colOff>684508</xdr:colOff>
      <xdr:row>64</xdr:row>
      <xdr:rowOff>206645</xdr:rowOff>
    </xdr:from>
    <xdr:to>
      <xdr:col>12</xdr:col>
      <xdr:colOff>1653152</xdr:colOff>
      <xdr:row>64</xdr:row>
      <xdr:rowOff>1177397</xdr:rowOff>
    </xdr:to>
    <xdr:pic>
      <xdr:nvPicPr>
        <xdr:cNvPr id="131" name="Picture 130">
          <a:extLst>
            <a:ext uri="{FF2B5EF4-FFF2-40B4-BE49-F238E27FC236}">
              <a16:creationId xmlns:a16="http://schemas.microsoft.com/office/drawing/2014/main" id="{CE0D8738-F9D2-7511-3B71-5A412E247A81}"/>
            </a:ext>
          </a:extLst>
        </xdr:cNvPr>
        <xdr:cNvPicPr>
          <a:picLocks noChangeAspect="1"/>
        </xdr:cNvPicPr>
      </xdr:nvPicPr>
      <xdr:blipFill>
        <a:blip xmlns:r="http://schemas.openxmlformats.org/officeDocument/2006/relationships" r:link="rId57"/>
        <a:stretch>
          <a:fillRect/>
        </a:stretch>
      </xdr:blipFill>
      <xdr:spPr>
        <a:xfrm>
          <a:off x="28452305" y="89476882"/>
          <a:ext cx="968644" cy="970752"/>
        </a:xfrm>
        <a:prstGeom prst="rect">
          <a:avLst/>
        </a:prstGeom>
      </xdr:spPr>
    </xdr:pic>
    <xdr:clientData/>
  </xdr:twoCellAnchor>
  <xdr:twoCellAnchor editAs="oneCell">
    <xdr:from>
      <xdr:col>12</xdr:col>
      <xdr:colOff>684508</xdr:colOff>
      <xdr:row>65</xdr:row>
      <xdr:rowOff>206643</xdr:rowOff>
    </xdr:from>
    <xdr:to>
      <xdr:col>12</xdr:col>
      <xdr:colOff>1653152</xdr:colOff>
      <xdr:row>65</xdr:row>
      <xdr:rowOff>1177395</xdr:rowOff>
    </xdr:to>
    <xdr:pic>
      <xdr:nvPicPr>
        <xdr:cNvPr id="133" name="Picture 132">
          <a:extLst>
            <a:ext uri="{FF2B5EF4-FFF2-40B4-BE49-F238E27FC236}">
              <a16:creationId xmlns:a16="http://schemas.microsoft.com/office/drawing/2014/main" id="{8EEED8F0-D8BC-6BBD-4B13-4D4F41469405}"/>
            </a:ext>
          </a:extLst>
        </xdr:cNvPr>
        <xdr:cNvPicPr>
          <a:picLocks noChangeAspect="1"/>
        </xdr:cNvPicPr>
      </xdr:nvPicPr>
      <xdr:blipFill>
        <a:blip xmlns:r="http://schemas.openxmlformats.org/officeDocument/2006/relationships" r:link="rId58"/>
        <a:stretch>
          <a:fillRect/>
        </a:stretch>
      </xdr:blipFill>
      <xdr:spPr>
        <a:xfrm>
          <a:off x="28452305" y="90871728"/>
          <a:ext cx="968644" cy="970752"/>
        </a:xfrm>
        <a:prstGeom prst="rect">
          <a:avLst/>
        </a:prstGeom>
      </xdr:spPr>
    </xdr:pic>
    <xdr:clientData/>
  </xdr:twoCellAnchor>
  <xdr:twoCellAnchor editAs="oneCell">
    <xdr:from>
      <xdr:col>12</xdr:col>
      <xdr:colOff>684508</xdr:colOff>
      <xdr:row>66</xdr:row>
      <xdr:rowOff>206254</xdr:rowOff>
    </xdr:from>
    <xdr:to>
      <xdr:col>12</xdr:col>
      <xdr:colOff>1653152</xdr:colOff>
      <xdr:row>66</xdr:row>
      <xdr:rowOff>1177598</xdr:rowOff>
    </xdr:to>
    <xdr:pic>
      <xdr:nvPicPr>
        <xdr:cNvPr id="135" name="Picture 134">
          <a:extLst>
            <a:ext uri="{FF2B5EF4-FFF2-40B4-BE49-F238E27FC236}">
              <a16:creationId xmlns:a16="http://schemas.microsoft.com/office/drawing/2014/main" id="{9156DF40-0209-FFCA-C43C-A9EBA87A8EFE}"/>
            </a:ext>
          </a:extLst>
        </xdr:cNvPr>
        <xdr:cNvPicPr>
          <a:picLocks noChangeAspect="1"/>
        </xdr:cNvPicPr>
      </xdr:nvPicPr>
      <xdr:blipFill>
        <a:blip xmlns:r="http://schemas.openxmlformats.org/officeDocument/2006/relationships" r:link="rId59"/>
        <a:stretch>
          <a:fillRect/>
        </a:stretch>
      </xdr:blipFill>
      <xdr:spPr>
        <a:xfrm>
          <a:off x="28452305" y="92266186"/>
          <a:ext cx="968644" cy="971344"/>
        </a:xfrm>
        <a:prstGeom prst="rect">
          <a:avLst/>
        </a:prstGeom>
      </xdr:spPr>
    </xdr:pic>
    <xdr:clientData/>
  </xdr:twoCellAnchor>
  <xdr:twoCellAnchor editAs="oneCell">
    <xdr:from>
      <xdr:col>12</xdr:col>
      <xdr:colOff>684508</xdr:colOff>
      <xdr:row>67</xdr:row>
      <xdr:rowOff>206644</xdr:rowOff>
    </xdr:from>
    <xdr:to>
      <xdr:col>12</xdr:col>
      <xdr:colOff>1653152</xdr:colOff>
      <xdr:row>67</xdr:row>
      <xdr:rowOff>1177396</xdr:rowOff>
    </xdr:to>
    <xdr:pic>
      <xdr:nvPicPr>
        <xdr:cNvPr id="137" name="Picture 136">
          <a:extLst>
            <a:ext uri="{FF2B5EF4-FFF2-40B4-BE49-F238E27FC236}">
              <a16:creationId xmlns:a16="http://schemas.microsoft.com/office/drawing/2014/main" id="{4B8E5CBA-5ED4-7BB2-8781-71CA1579FAB6}"/>
            </a:ext>
          </a:extLst>
        </xdr:cNvPr>
        <xdr:cNvPicPr>
          <a:picLocks noChangeAspect="1"/>
        </xdr:cNvPicPr>
      </xdr:nvPicPr>
      <xdr:blipFill>
        <a:blip xmlns:r="http://schemas.openxmlformats.org/officeDocument/2006/relationships" r:link="rId60"/>
        <a:stretch>
          <a:fillRect/>
        </a:stretch>
      </xdr:blipFill>
      <xdr:spPr>
        <a:xfrm>
          <a:off x="28452305" y="93661424"/>
          <a:ext cx="968644" cy="970752"/>
        </a:xfrm>
        <a:prstGeom prst="rect">
          <a:avLst/>
        </a:prstGeom>
      </xdr:spPr>
    </xdr:pic>
    <xdr:clientData/>
  </xdr:twoCellAnchor>
  <xdr:twoCellAnchor editAs="oneCell">
    <xdr:from>
      <xdr:col>12</xdr:col>
      <xdr:colOff>684508</xdr:colOff>
      <xdr:row>68</xdr:row>
      <xdr:rowOff>206255</xdr:rowOff>
    </xdr:from>
    <xdr:to>
      <xdr:col>12</xdr:col>
      <xdr:colOff>1653152</xdr:colOff>
      <xdr:row>68</xdr:row>
      <xdr:rowOff>1177599</xdr:rowOff>
    </xdr:to>
    <xdr:pic>
      <xdr:nvPicPr>
        <xdr:cNvPr id="139" name="Picture 138">
          <a:extLst>
            <a:ext uri="{FF2B5EF4-FFF2-40B4-BE49-F238E27FC236}">
              <a16:creationId xmlns:a16="http://schemas.microsoft.com/office/drawing/2014/main" id="{4B4FDEB4-B09F-07C4-E06E-24D2E2724A10}"/>
            </a:ext>
          </a:extLst>
        </xdr:cNvPr>
        <xdr:cNvPicPr>
          <a:picLocks noChangeAspect="1"/>
        </xdr:cNvPicPr>
      </xdr:nvPicPr>
      <xdr:blipFill>
        <a:blip xmlns:r="http://schemas.openxmlformats.org/officeDocument/2006/relationships" r:link="rId61"/>
        <a:stretch>
          <a:fillRect/>
        </a:stretch>
      </xdr:blipFill>
      <xdr:spPr>
        <a:xfrm>
          <a:off x="28452305" y="95055882"/>
          <a:ext cx="968644" cy="971344"/>
        </a:xfrm>
        <a:prstGeom prst="rect">
          <a:avLst/>
        </a:prstGeom>
      </xdr:spPr>
    </xdr:pic>
    <xdr:clientData/>
  </xdr:twoCellAnchor>
  <xdr:twoCellAnchor editAs="oneCell">
    <xdr:from>
      <xdr:col>12</xdr:col>
      <xdr:colOff>684508</xdr:colOff>
      <xdr:row>69</xdr:row>
      <xdr:rowOff>206645</xdr:rowOff>
    </xdr:from>
    <xdr:to>
      <xdr:col>12</xdr:col>
      <xdr:colOff>1653152</xdr:colOff>
      <xdr:row>69</xdr:row>
      <xdr:rowOff>1177397</xdr:rowOff>
    </xdr:to>
    <xdr:pic>
      <xdr:nvPicPr>
        <xdr:cNvPr id="141" name="Picture 140">
          <a:extLst>
            <a:ext uri="{FF2B5EF4-FFF2-40B4-BE49-F238E27FC236}">
              <a16:creationId xmlns:a16="http://schemas.microsoft.com/office/drawing/2014/main" id="{0DBB5A59-45B3-510B-AF4C-3B3A434FF795}"/>
            </a:ext>
          </a:extLst>
        </xdr:cNvPr>
        <xdr:cNvPicPr>
          <a:picLocks noChangeAspect="1"/>
        </xdr:cNvPicPr>
      </xdr:nvPicPr>
      <xdr:blipFill>
        <a:blip xmlns:r="http://schemas.openxmlformats.org/officeDocument/2006/relationships" r:link="rId62"/>
        <a:stretch>
          <a:fillRect/>
        </a:stretch>
      </xdr:blipFill>
      <xdr:spPr>
        <a:xfrm>
          <a:off x="28452305" y="96451120"/>
          <a:ext cx="968644" cy="970752"/>
        </a:xfrm>
        <a:prstGeom prst="rect">
          <a:avLst/>
        </a:prstGeom>
      </xdr:spPr>
    </xdr:pic>
    <xdr:clientData/>
  </xdr:twoCellAnchor>
  <xdr:twoCellAnchor editAs="oneCell">
    <xdr:from>
      <xdr:col>12</xdr:col>
      <xdr:colOff>684508</xdr:colOff>
      <xdr:row>70</xdr:row>
      <xdr:rowOff>206643</xdr:rowOff>
    </xdr:from>
    <xdr:to>
      <xdr:col>12</xdr:col>
      <xdr:colOff>1653152</xdr:colOff>
      <xdr:row>70</xdr:row>
      <xdr:rowOff>1177395</xdr:rowOff>
    </xdr:to>
    <xdr:pic>
      <xdr:nvPicPr>
        <xdr:cNvPr id="143" name="Picture 142">
          <a:extLst>
            <a:ext uri="{FF2B5EF4-FFF2-40B4-BE49-F238E27FC236}">
              <a16:creationId xmlns:a16="http://schemas.microsoft.com/office/drawing/2014/main" id="{347B0DAA-1E87-4602-C03B-B3CD56A7C558}"/>
            </a:ext>
          </a:extLst>
        </xdr:cNvPr>
        <xdr:cNvPicPr>
          <a:picLocks noChangeAspect="1"/>
        </xdr:cNvPicPr>
      </xdr:nvPicPr>
      <xdr:blipFill>
        <a:blip xmlns:r="http://schemas.openxmlformats.org/officeDocument/2006/relationships" r:link="rId63"/>
        <a:stretch>
          <a:fillRect/>
        </a:stretch>
      </xdr:blipFill>
      <xdr:spPr>
        <a:xfrm>
          <a:off x="28452305" y="97845965"/>
          <a:ext cx="968644" cy="970752"/>
        </a:xfrm>
        <a:prstGeom prst="rect">
          <a:avLst/>
        </a:prstGeom>
      </xdr:spPr>
    </xdr:pic>
    <xdr:clientData/>
  </xdr:twoCellAnchor>
  <xdr:twoCellAnchor editAs="oneCell">
    <xdr:from>
      <xdr:col>12</xdr:col>
      <xdr:colOff>684508</xdr:colOff>
      <xdr:row>71</xdr:row>
      <xdr:rowOff>206254</xdr:rowOff>
    </xdr:from>
    <xdr:to>
      <xdr:col>12</xdr:col>
      <xdr:colOff>1653152</xdr:colOff>
      <xdr:row>71</xdr:row>
      <xdr:rowOff>1177598</xdr:rowOff>
    </xdr:to>
    <xdr:pic>
      <xdr:nvPicPr>
        <xdr:cNvPr id="145" name="Picture 144">
          <a:extLst>
            <a:ext uri="{FF2B5EF4-FFF2-40B4-BE49-F238E27FC236}">
              <a16:creationId xmlns:a16="http://schemas.microsoft.com/office/drawing/2014/main" id="{DCC64EA3-177B-9EAE-67A1-19D08B4C16D9}"/>
            </a:ext>
          </a:extLst>
        </xdr:cNvPr>
        <xdr:cNvPicPr>
          <a:picLocks noChangeAspect="1"/>
        </xdr:cNvPicPr>
      </xdr:nvPicPr>
      <xdr:blipFill>
        <a:blip xmlns:r="http://schemas.openxmlformats.org/officeDocument/2006/relationships" r:link="rId64"/>
        <a:stretch>
          <a:fillRect/>
        </a:stretch>
      </xdr:blipFill>
      <xdr:spPr>
        <a:xfrm>
          <a:off x="28452305" y="99240423"/>
          <a:ext cx="968644" cy="971344"/>
        </a:xfrm>
        <a:prstGeom prst="rect">
          <a:avLst/>
        </a:prstGeom>
      </xdr:spPr>
    </xdr:pic>
    <xdr:clientData/>
  </xdr:twoCellAnchor>
  <xdr:twoCellAnchor editAs="oneCell">
    <xdr:from>
      <xdr:col>12</xdr:col>
      <xdr:colOff>684508</xdr:colOff>
      <xdr:row>72</xdr:row>
      <xdr:rowOff>206644</xdr:rowOff>
    </xdr:from>
    <xdr:to>
      <xdr:col>12</xdr:col>
      <xdr:colOff>1653152</xdr:colOff>
      <xdr:row>72</xdr:row>
      <xdr:rowOff>1177396</xdr:rowOff>
    </xdr:to>
    <xdr:pic>
      <xdr:nvPicPr>
        <xdr:cNvPr id="147" name="Picture 146">
          <a:extLst>
            <a:ext uri="{FF2B5EF4-FFF2-40B4-BE49-F238E27FC236}">
              <a16:creationId xmlns:a16="http://schemas.microsoft.com/office/drawing/2014/main" id="{1AEEF2DE-4E6E-33E8-6B34-08671BD3C605}"/>
            </a:ext>
          </a:extLst>
        </xdr:cNvPr>
        <xdr:cNvPicPr>
          <a:picLocks noChangeAspect="1"/>
        </xdr:cNvPicPr>
      </xdr:nvPicPr>
      <xdr:blipFill>
        <a:blip xmlns:r="http://schemas.openxmlformats.org/officeDocument/2006/relationships" r:link="rId65"/>
        <a:stretch>
          <a:fillRect/>
        </a:stretch>
      </xdr:blipFill>
      <xdr:spPr>
        <a:xfrm>
          <a:off x="28452305" y="100635661"/>
          <a:ext cx="968644" cy="970752"/>
        </a:xfrm>
        <a:prstGeom prst="rect">
          <a:avLst/>
        </a:prstGeom>
      </xdr:spPr>
    </xdr:pic>
    <xdr:clientData/>
  </xdr:twoCellAnchor>
  <xdr:twoCellAnchor editAs="oneCell">
    <xdr:from>
      <xdr:col>12</xdr:col>
      <xdr:colOff>684508</xdr:colOff>
      <xdr:row>73</xdr:row>
      <xdr:rowOff>206255</xdr:rowOff>
    </xdr:from>
    <xdr:to>
      <xdr:col>12</xdr:col>
      <xdr:colOff>1653152</xdr:colOff>
      <xdr:row>73</xdr:row>
      <xdr:rowOff>1177599</xdr:rowOff>
    </xdr:to>
    <xdr:pic>
      <xdr:nvPicPr>
        <xdr:cNvPr id="149" name="Picture 148">
          <a:extLst>
            <a:ext uri="{FF2B5EF4-FFF2-40B4-BE49-F238E27FC236}">
              <a16:creationId xmlns:a16="http://schemas.microsoft.com/office/drawing/2014/main" id="{115E42C6-BF6A-CE83-F598-9A2C6D8DCC29}"/>
            </a:ext>
          </a:extLst>
        </xdr:cNvPr>
        <xdr:cNvPicPr>
          <a:picLocks noChangeAspect="1"/>
        </xdr:cNvPicPr>
      </xdr:nvPicPr>
      <xdr:blipFill>
        <a:blip xmlns:r="http://schemas.openxmlformats.org/officeDocument/2006/relationships" r:link="rId66"/>
        <a:stretch>
          <a:fillRect/>
        </a:stretch>
      </xdr:blipFill>
      <xdr:spPr>
        <a:xfrm>
          <a:off x="28452305" y="102030119"/>
          <a:ext cx="968644" cy="971344"/>
        </a:xfrm>
        <a:prstGeom prst="rect">
          <a:avLst/>
        </a:prstGeom>
      </xdr:spPr>
    </xdr:pic>
    <xdr:clientData/>
  </xdr:twoCellAnchor>
  <xdr:twoCellAnchor editAs="oneCell">
    <xdr:from>
      <xdr:col>12</xdr:col>
      <xdr:colOff>684508</xdr:colOff>
      <xdr:row>74</xdr:row>
      <xdr:rowOff>206645</xdr:rowOff>
    </xdr:from>
    <xdr:to>
      <xdr:col>12</xdr:col>
      <xdr:colOff>1653152</xdr:colOff>
      <xdr:row>74</xdr:row>
      <xdr:rowOff>1177397</xdr:rowOff>
    </xdr:to>
    <xdr:pic>
      <xdr:nvPicPr>
        <xdr:cNvPr id="151" name="Picture 150">
          <a:extLst>
            <a:ext uri="{FF2B5EF4-FFF2-40B4-BE49-F238E27FC236}">
              <a16:creationId xmlns:a16="http://schemas.microsoft.com/office/drawing/2014/main" id="{E8828E9E-282D-0E55-E1BF-C073EC61E9CA}"/>
            </a:ext>
          </a:extLst>
        </xdr:cNvPr>
        <xdr:cNvPicPr>
          <a:picLocks noChangeAspect="1"/>
        </xdr:cNvPicPr>
      </xdr:nvPicPr>
      <xdr:blipFill>
        <a:blip xmlns:r="http://schemas.openxmlformats.org/officeDocument/2006/relationships" r:link="rId67"/>
        <a:stretch>
          <a:fillRect/>
        </a:stretch>
      </xdr:blipFill>
      <xdr:spPr>
        <a:xfrm>
          <a:off x="28452305" y="103425357"/>
          <a:ext cx="968644" cy="970752"/>
        </a:xfrm>
        <a:prstGeom prst="rect">
          <a:avLst/>
        </a:prstGeom>
      </xdr:spPr>
    </xdr:pic>
    <xdr:clientData/>
  </xdr:twoCellAnchor>
  <xdr:twoCellAnchor editAs="oneCell">
    <xdr:from>
      <xdr:col>12</xdr:col>
      <xdr:colOff>684508</xdr:colOff>
      <xdr:row>75</xdr:row>
      <xdr:rowOff>206643</xdr:rowOff>
    </xdr:from>
    <xdr:to>
      <xdr:col>12</xdr:col>
      <xdr:colOff>1653152</xdr:colOff>
      <xdr:row>75</xdr:row>
      <xdr:rowOff>1177395</xdr:rowOff>
    </xdr:to>
    <xdr:pic>
      <xdr:nvPicPr>
        <xdr:cNvPr id="153" name="Picture 152">
          <a:extLst>
            <a:ext uri="{FF2B5EF4-FFF2-40B4-BE49-F238E27FC236}">
              <a16:creationId xmlns:a16="http://schemas.microsoft.com/office/drawing/2014/main" id="{1CA4A370-C3C3-6117-0333-F5DAF621A4F3}"/>
            </a:ext>
          </a:extLst>
        </xdr:cNvPr>
        <xdr:cNvPicPr>
          <a:picLocks noChangeAspect="1"/>
        </xdr:cNvPicPr>
      </xdr:nvPicPr>
      <xdr:blipFill>
        <a:blip xmlns:r="http://schemas.openxmlformats.org/officeDocument/2006/relationships" r:link="rId68"/>
        <a:stretch>
          <a:fillRect/>
        </a:stretch>
      </xdr:blipFill>
      <xdr:spPr>
        <a:xfrm>
          <a:off x="28452305" y="104820202"/>
          <a:ext cx="968644" cy="970752"/>
        </a:xfrm>
        <a:prstGeom prst="rect">
          <a:avLst/>
        </a:prstGeom>
      </xdr:spPr>
    </xdr:pic>
    <xdr:clientData/>
  </xdr:twoCellAnchor>
  <xdr:twoCellAnchor editAs="oneCell">
    <xdr:from>
      <xdr:col>12</xdr:col>
      <xdr:colOff>684508</xdr:colOff>
      <xdr:row>76</xdr:row>
      <xdr:rowOff>206252</xdr:rowOff>
    </xdr:from>
    <xdr:to>
      <xdr:col>12</xdr:col>
      <xdr:colOff>1653152</xdr:colOff>
      <xdr:row>76</xdr:row>
      <xdr:rowOff>1177597</xdr:rowOff>
    </xdr:to>
    <xdr:pic>
      <xdr:nvPicPr>
        <xdr:cNvPr id="155" name="Picture 154">
          <a:extLst>
            <a:ext uri="{FF2B5EF4-FFF2-40B4-BE49-F238E27FC236}">
              <a16:creationId xmlns:a16="http://schemas.microsoft.com/office/drawing/2014/main" id="{32B012EC-31E1-CF7B-A949-D46A7A7E1D84}"/>
            </a:ext>
          </a:extLst>
        </xdr:cNvPr>
        <xdr:cNvPicPr>
          <a:picLocks noChangeAspect="1"/>
        </xdr:cNvPicPr>
      </xdr:nvPicPr>
      <xdr:blipFill>
        <a:blip xmlns:r="http://schemas.openxmlformats.org/officeDocument/2006/relationships" r:link="rId69"/>
        <a:stretch>
          <a:fillRect/>
        </a:stretch>
      </xdr:blipFill>
      <xdr:spPr>
        <a:xfrm>
          <a:off x="28452305" y="106214659"/>
          <a:ext cx="968644" cy="971345"/>
        </a:xfrm>
        <a:prstGeom prst="rect">
          <a:avLst/>
        </a:prstGeom>
      </xdr:spPr>
    </xdr:pic>
    <xdr:clientData/>
  </xdr:twoCellAnchor>
  <xdr:twoCellAnchor editAs="oneCell">
    <xdr:from>
      <xdr:col>12</xdr:col>
      <xdr:colOff>684508</xdr:colOff>
      <xdr:row>77</xdr:row>
      <xdr:rowOff>206251</xdr:rowOff>
    </xdr:from>
    <xdr:to>
      <xdr:col>12</xdr:col>
      <xdr:colOff>1653152</xdr:colOff>
      <xdr:row>77</xdr:row>
      <xdr:rowOff>1177595</xdr:rowOff>
    </xdr:to>
    <xdr:pic>
      <xdr:nvPicPr>
        <xdr:cNvPr id="157" name="Picture 156">
          <a:extLst>
            <a:ext uri="{FF2B5EF4-FFF2-40B4-BE49-F238E27FC236}">
              <a16:creationId xmlns:a16="http://schemas.microsoft.com/office/drawing/2014/main" id="{1B396B7F-69E5-E821-1553-75F401AEB37B}"/>
            </a:ext>
          </a:extLst>
        </xdr:cNvPr>
        <xdr:cNvPicPr>
          <a:picLocks noChangeAspect="1"/>
        </xdr:cNvPicPr>
      </xdr:nvPicPr>
      <xdr:blipFill>
        <a:blip xmlns:r="http://schemas.openxmlformats.org/officeDocument/2006/relationships" r:link="rId70"/>
        <a:stretch>
          <a:fillRect/>
        </a:stretch>
      </xdr:blipFill>
      <xdr:spPr>
        <a:xfrm>
          <a:off x="28452305" y="107609505"/>
          <a:ext cx="968644" cy="971344"/>
        </a:xfrm>
        <a:prstGeom prst="rect">
          <a:avLst/>
        </a:prstGeom>
      </xdr:spPr>
    </xdr:pic>
    <xdr:clientData/>
  </xdr:twoCellAnchor>
  <xdr:twoCellAnchor editAs="oneCell">
    <xdr:from>
      <xdr:col>12</xdr:col>
      <xdr:colOff>684508</xdr:colOff>
      <xdr:row>78</xdr:row>
      <xdr:rowOff>206648</xdr:rowOff>
    </xdr:from>
    <xdr:to>
      <xdr:col>12</xdr:col>
      <xdr:colOff>1653152</xdr:colOff>
      <xdr:row>78</xdr:row>
      <xdr:rowOff>1177400</xdr:rowOff>
    </xdr:to>
    <xdr:pic>
      <xdr:nvPicPr>
        <xdr:cNvPr id="159" name="Picture 158">
          <a:extLst>
            <a:ext uri="{FF2B5EF4-FFF2-40B4-BE49-F238E27FC236}">
              <a16:creationId xmlns:a16="http://schemas.microsoft.com/office/drawing/2014/main" id="{E325E434-5099-8EEA-BE15-9BE5E9802475}"/>
            </a:ext>
          </a:extLst>
        </xdr:cNvPr>
        <xdr:cNvPicPr>
          <a:picLocks noChangeAspect="1"/>
        </xdr:cNvPicPr>
      </xdr:nvPicPr>
      <xdr:blipFill>
        <a:blip xmlns:r="http://schemas.openxmlformats.org/officeDocument/2006/relationships" r:link="rId71"/>
        <a:stretch>
          <a:fillRect/>
        </a:stretch>
      </xdr:blipFill>
      <xdr:spPr>
        <a:xfrm>
          <a:off x="28452305" y="109004750"/>
          <a:ext cx="968644" cy="970752"/>
        </a:xfrm>
        <a:prstGeom prst="rect">
          <a:avLst/>
        </a:prstGeom>
      </xdr:spPr>
    </xdr:pic>
    <xdr:clientData/>
  </xdr:twoCellAnchor>
  <xdr:twoCellAnchor editAs="oneCell">
    <xdr:from>
      <xdr:col>12</xdr:col>
      <xdr:colOff>684508</xdr:colOff>
      <xdr:row>79</xdr:row>
      <xdr:rowOff>206645</xdr:rowOff>
    </xdr:from>
    <xdr:to>
      <xdr:col>12</xdr:col>
      <xdr:colOff>1653152</xdr:colOff>
      <xdr:row>79</xdr:row>
      <xdr:rowOff>1177397</xdr:rowOff>
    </xdr:to>
    <xdr:pic>
      <xdr:nvPicPr>
        <xdr:cNvPr id="161" name="Picture 160">
          <a:extLst>
            <a:ext uri="{FF2B5EF4-FFF2-40B4-BE49-F238E27FC236}">
              <a16:creationId xmlns:a16="http://schemas.microsoft.com/office/drawing/2014/main" id="{047A3C64-3DE2-8521-09CA-C6BF261A62A2}"/>
            </a:ext>
          </a:extLst>
        </xdr:cNvPr>
        <xdr:cNvPicPr>
          <a:picLocks noChangeAspect="1"/>
        </xdr:cNvPicPr>
      </xdr:nvPicPr>
      <xdr:blipFill>
        <a:blip xmlns:r="http://schemas.openxmlformats.org/officeDocument/2006/relationships" r:link="rId72"/>
        <a:stretch>
          <a:fillRect/>
        </a:stretch>
      </xdr:blipFill>
      <xdr:spPr>
        <a:xfrm>
          <a:off x="28452305" y="110399594"/>
          <a:ext cx="968644" cy="970752"/>
        </a:xfrm>
        <a:prstGeom prst="rect">
          <a:avLst/>
        </a:prstGeom>
      </xdr:spPr>
    </xdr:pic>
    <xdr:clientData/>
  </xdr:twoCellAnchor>
  <xdr:twoCellAnchor editAs="oneCell">
    <xdr:from>
      <xdr:col>12</xdr:col>
      <xdr:colOff>684508</xdr:colOff>
      <xdr:row>80</xdr:row>
      <xdr:rowOff>206643</xdr:rowOff>
    </xdr:from>
    <xdr:to>
      <xdr:col>12</xdr:col>
      <xdr:colOff>1653152</xdr:colOff>
      <xdr:row>80</xdr:row>
      <xdr:rowOff>1177395</xdr:rowOff>
    </xdr:to>
    <xdr:pic>
      <xdr:nvPicPr>
        <xdr:cNvPr id="163" name="Picture 162">
          <a:extLst>
            <a:ext uri="{FF2B5EF4-FFF2-40B4-BE49-F238E27FC236}">
              <a16:creationId xmlns:a16="http://schemas.microsoft.com/office/drawing/2014/main" id="{3979C941-1926-2590-4BA6-2BBCEC0C1BDE}"/>
            </a:ext>
          </a:extLst>
        </xdr:cNvPr>
        <xdr:cNvPicPr>
          <a:picLocks noChangeAspect="1"/>
        </xdr:cNvPicPr>
      </xdr:nvPicPr>
      <xdr:blipFill>
        <a:blip xmlns:r="http://schemas.openxmlformats.org/officeDocument/2006/relationships" r:link="rId73"/>
        <a:stretch>
          <a:fillRect/>
        </a:stretch>
      </xdr:blipFill>
      <xdr:spPr>
        <a:xfrm>
          <a:off x="28452305" y="111794440"/>
          <a:ext cx="968644" cy="970752"/>
        </a:xfrm>
        <a:prstGeom prst="rect">
          <a:avLst/>
        </a:prstGeom>
      </xdr:spPr>
    </xdr:pic>
    <xdr:clientData/>
  </xdr:twoCellAnchor>
  <xdr:twoCellAnchor editAs="oneCell">
    <xdr:from>
      <xdr:col>12</xdr:col>
      <xdr:colOff>684508</xdr:colOff>
      <xdr:row>81</xdr:row>
      <xdr:rowOff>206254</xdr:rowOff>
    </xdr:from>
    <xdr:to>
      <xdr:col>12</xdr:col>
      <xdr:colOff>1653152</xdr:colOff>
      <xdr:row>81</xdr:row>
      <xdr:rowOff>1177598</xdr:rowOff>
    </xdr:to>
    <xdr:pic>
      <xdr:nvPicPr>
        <xdr:cNvPr id="165" name="Picture 164">
          <a:extLst>
            <a:ext uri="{FF2B5EF4-FFF2-40B4-BE49-F238E27FC236}">
              <a16:creationId xmlns:a16="http://schemas.microsoft.com/office/drawing/2014/main" id="{8747C7F2-1A31-6590-9AFD-7202EEA20E8B}"/>
            </a:ext>
          </a:extLst>
        </xdr:cNvPr>
        <xdr:cNvPicPr>
          <a:picLocks noChangeAspect="1"/>
        </xdr:cNvPicPr>
      </xdr:nvPicPr>
      <xdr:blipFill>
        <a:blip xmlns:r="http://schemas.openxmlformats.org/officeDocument/2006/relationships" r:link="rId74"/>
        <a:stretch>
          <a:fillRect/>
        </a:stretch>
      </xdr:blipFill>
      <xdr:spPr>
        <a:xfrm>
          <a:off x="28452305" y="113188898"/>
          <a:ext cx="968644" cy="971344"/>
        </a:xfrm>
        <a:prstGeom prst="rect">
          <a:avLst/>
        </a:prstGeom>
      </xdr:spPr>
    </xdr:pic>
    <xdr:clientData/>
  </xdr:twoCellAnchor>
  <xdr:twoCellAnchor editAs="oneCell">
    <xdr:from>
      <xdr:col>12</xdr:col>
      <xdr:colOff>684508</xdr:colOff>
      <xdr:row>82</xdr:row>
      <xdr:rowOff>206249</xdr:rowOff>
    </xdr:from>
    <xdr:to>
      <xdr:col>12</xdr:col>
      <xdr:colOff>1653152</xdr:colOff>
      <xdr:row>82</xdr:row>
      <xdr:rowOff>1177594</xdr:rowOff>
    </xdr:to>
    <xdr:pic>
      <xdr:nvPicPr>
        <xdr:cNvPr id="167" name="Picture 166">
          <a:extLst>
            <a:ext uri="{FF2B5EF4-FFF2-40B4-BE49-F238E27FC236}">
              <a16:creationId xmlns:a16="http://schemas.microsoft.com/office/drawing/2014/main" id="{3AFC75A2-F946-87F0-B51F-B55E0B2B4C5E}"/>
            </a:ext>
          </a:extLst>
        </xdr:cNvPr>
        <xdr:cNvPicPr>
          <a:picLocks noChangeAspect="1"/>
        </xdr:cNvPicPr>
      </xdr:nvPicPr>
      <xdr:blipFill>
        <a:blip xmlns:r="http://schemas.openxmlformats.org/officeDocument/2006/relationships" r:link="rId75"/>
        <a:stretch>
          <a:fillRect/>
        </a:stretch>
      </xdr:blipFill>
      <xdr:spPr>
        <a:xfrm>
          <a:off x="28452305" y="114583741"/>
          <a:ext cx="968644" cy="971345"/>
        </a:xfrm>
        <a:prstGeom prst="rect">
          <a:avLst/>
        </a:prstGeom>
      </xdr:spPr>
    </xdr:pic>
    <xdr:clientData/>
  </xdr:twoCellAnchor>
  <xdr:twoCellAnchor editAs="oneCell">
    <xdr:from>
      <xdr:col>12</xdr:col>
      <xdr:colOff>684508</xdr:colOff>
      <xdr:row>83</xdr:row>
      <xdr:rowOff>206648</xdr:rowOff>
    </xdr:from>
    <xdr:to>
      <xdr:col>12</xdr:col>
      <xdr:colOff>1653152</xdr:colOff>
      <xdr:row>83</xdr:row>
      <xdr:rowOff>1177400</xdr:rowOff>
    </xdr:to>
    <xdr:pic>
      <xdr:nvPicPr>
        <xdr:cNvPr id="169" name="Picture 168">
          <a:extLst>
            <a:ext uri="{FF2B5EF4-FFF2-40B4-BE49-F238E27FC236}">
              <a16:creationId xmlns:a16="http://schemas.microsoft.com/office/drawing/2014/main" id="{1CB37727-0619-CF38-773A-9790D13086CB}"/>
            </a:ext>
          </a:extLst>
        </xdr:cNvPr>
        <xdr:cNvPicPr>
          <a:picLocks noChangeAspect="1"/>
        </xdr:cNvPicPr>
      </xdr:nvPicPr>
      <xdr:blipFill>
        <a:blip xmlns:r="http://schemas.openxmlformats.org/officeDocument/2006/relationships" r:link="rId76"/>
        <a:stretch>
          <a:fillRect/>
        </a:stretch>
      </xdr:blipFill>
      <xdr:spPr>
        <a:xfrm>
          <a:off x="28452305" y="115978987"/>
          <a:ext cx="968644" cy="970752"/>
        </a:xfrm>
        <a:prstGeom prst="rect">
          <a:avLst/>
        </a:prstGeom>
      </xdr:spPr>
    </xdr:pic>
    <xdr:clientData/>
  </xdr:twoCellAnchor>
  <xdr:twoCellAnchor editAs="oneCell">
    <xdr:from>
      <xdr:col>12</xdr:col>
      <xdr:colOff>684508</xdr:colOff>
      <xdr:row>84</xdr:row>
      <xdr:rowOff>206645</xdr:rowOff>
    </xdr:from>
    <xdr:to>
      <xdr:col>12</xdr:col>
      <xdr:colOff>1653152</xdr:colOff>
      <xdr:row>84</xdr:row>
      <xdr:rowOff>1177397</xdr:rowOff>
    </xdr:to>
    <xdr:pic>
      <xdr:nvPicPr>
        <xdr:cNvPr id="171" name="Picture 170">
          <a:extLst>
            <a:ext uri="{FF2B5EF4-FFF2-40B4-BE49-F238E27FC236}">
              <a16:creationId xmlns:a16="http://schemas.microsoft.com/office/drawing/2014/main" id="{A5668B3E-229D-50C4-6D16-CF5D0749D5BF}"/>
            </a:ext>
          </a:extLst>
        </xdr:cNvPr>
        <xdr:cNvPicPr>
          <a:picLocks noChangeAspect="1"/>
        </xdr:cNvPicPr>
      </xdr:nvPicPr>
      <xdr:blipFill>
        <a:blip xmlns:r="http://schemas.openxmlformats.org/officeDocument/2006/relationships" r:link="rId77"/>
        <a:stretch>
          <a:fillRect/>
        </a:stretch>
      </xdr:blipFill>
      <xdr:spPr>
        <a:xfrm>
          <a:off x="28452305" y="117373831"/>
          <a:ext cx="968644" cy="970752"/>
        </a:xfrm>
        <a:prstGeom prst="rect">
          <a:avLst/>
        </a:prstGeom>
      </xdr:spPr>
    </xdr:pic>
    <xdr:clientData/>
  </xdr:twoCellAnchor>
  <xdr:twoCellAnchor editAs="oneCell">
    <xdr:from>
      <xdr:col>12</xdr:col>
      <xdr:colOff>684508</xdr:colOff>
      <xdr:row>85</xdr:row>
      <xdr:rowOff>206643</xdr:rowOff>
    </xdr:from>
    <xdr:to>
      <xdr:col>12</xdr:col>
      <xdr:colOff>1653152</xdr:colOff>
      <xdr:row>85</xdr:row>
      <xdr:rowOff>1177395</xdr:rowOff>
    </xdr:to>
    <xdr:pic>
      <xdr:nvPicPr>
        <xdr:cNvPr id="173" name="Picture 172">
          <a:extLst>
            <a:ext uri="{FF2B5EF4-FFF2-40B4-BE49-F238E27FC236}">
              <a16:creationId xmlns:a16="http://schemas.microsoft.com/office/drawing/2014/main" id="{64604102-1806-5567-CF4D-28FCD1369A3E}"/>
            </a:ext>
          </a:extLst>
        </xdr:cNvPr>
        <xdr:cNvPicPr>
          <a:picLocks noChangeAspect="1"/>
        </xdr:cNvPicPr>
      </xdr:nvPicPr>
      <xdr:blipFill>
        <a:blip xmlns:r="http://schemas.openxmlformats.org/officeDocument/2006/relationships" r:link="rId78"/>
        <a:stretch>
          <a:fillRect/>
        </a:stretch>
      </xdr:blipFill>
      <xdr:spPr>
        <a:xfrm>
          <a:off x="28452305" y="118768677"/>
          <a:ext cx="968644" cy="970752"/>
        </a:xfrm>
        <a:prstGeom prst="rect">
          <a:avLst/>
        </a:prstGeom>
      </xdr:spPr>
    </xdr:pic>
    <xdr:clientData/>
  </xdr:twoCellAnchor>
  <xdr:twoCellAnchor editAs="oneCell">
    <xdr:from>
      <xdr:col>12</xdr:col>
      <xdr:colOff>684508</xdr:colOff>
      <xdr:row>86</xdr:row>
      <xdr:rowOff>206254</xdr:rowOff>
    </xdr:from>
    <xdr:to>
      <xdr:col>12</xdr:col>
      <xdr:colOff>1653152</xdr:colOff>
      <xdr:row>86</xdr:row>
      <xdr:rowOff>1177598</xdr:rowOff>
    </xdr:to>
    <xdr:pic>
      <xdr:nvPicPr>
        <xdr:cNvPr id="175" name="Picture 174">
          <a:extLst>
            <a:ext uri="{FF2B5EF4-FFF2-40B4-BE49-F238E27FC236}">
              <a16:creationId xmlns:a16="http://schemas.microsoft.com/office/drawing/2014/main" id="{E1FA3F0E-6480-B81C-02F4-90C26A634F06}"/>
            </a:ext>
          </a:extLst>
        </xdr:cNvPr>
        <xdr:cNvPicPr>
          <a:picLocks noChangeAspect="1"/>
        </xdr:cNvPicPr>
      </xdr:nvPicPr>
      <xdr:blipFill>
        <a:blip xmlns:r="http://schemas.openxmlformats.org/officeDocument/2006/relationships" r:link="rId79"/>
        <a:stretch>
          <a:fillRect/>
        </a:stretch>
      </xdr:blipFill>
      <xdr:spPr>
        <a:xfrm>
          <a:off x="28452305" y="120163135"/>
          <a:ext cx="968644" cy="971344"/>
        </a:xfrm>
        <a:prstGeom prst="rect">
          <a:avLst/>
        </a:prstGeom>
      </xdr:spPr>
    </xdr:pic>
    <xdr:clientData/>
  </xdr:twoCellAnchor>
  <xdr:twoCellAnchor editAs="oneCell">
    <xdr:from>
      <xdr:col>12</xdr:col>
      <xdr:colOff>684508</xdr:colOff>
      <xdr:row>87</xdr:row>
      <xdr:rowOff>206249</xdr:rowOff>
    </xdr:from>
    <xdr:to>
      <xdr:col>12</xdr:col>
      <xdr:colOff>1653152</xdr:colOff>
      <xdr:row>87</xdr:row>
      <xdr:rowOff>1177594</xdr:rowOff>
    </xdr:to>
    <xdr:pic>
      <xdr:nvPicPr>
        <xdr:cNvPr id="177" name="Picture 176">
          <a:extLst>
            <a:ext uri="{FF2B5EF4-FFF2-40B4-BE49-F238E27FC236}">
              <a16:creationId xmlns:a16="http://schemas.microsoft.com/office/drawing/2014/main" id="{DA45F427-2063-C1AA-12B9-59FE1EA2D5AE}"/>
            </a:ext>
          </a:extLst>
        </xdr:cNvPr>
        <xdr:cNvPicPr>
          <a:picLocks noChangeAspect="1"/>
        </xdr:cNvPicPr>
      </xdr:nvPicPr>
      <xdr:blipFill>
        <a:blip xmlns:r="http://schemas.openxmlformats.org/officeDocument/2006/relationships" r:link="rId80"/>
        <a:stretch>
          <a:fillRect/>
        </a:stretch>
      </xdr:blipFill>
      <xdr:spPr>
        <a:xfrm>
          <a:off x="28452305" y="121557978"/>
          <a:ext cx="968644" cy="971345"/>
        </a:xfrm>
        <a:prstGeom prst="rect">
          <a:avLst/>
        </a:prstGeom>
      </xdr:spPr>
    </xdr:pic>
    <xdr:clientData/>
  </xdr:twoCellAnchor>
  <xdr:twoCellAnchor editAs="oneCell">
    <xdr:from>
      <xdr:col>12</xdr:col>
      <xdr:colOff>684508</xdr:colOff>
      <xdr:row>88</xdr:row>
      <xdr:rowOff>206648</xdr:rowOff>
    </xdr:from>
    <xdr:to>
      <xdr:col>12</xdr:col>
      <xdr:colOff>1653152</xdr:colOff>
      <xdr:row>88</xdr:row>
      <xdr:rowOff>1177400</xdr:rowOff>
    </xdr:to>
    <xdr:pic>
      <xdr:nvPicPr>
        <xdr:cNvPr id="179" name="Picture 178">
          <a:extLst>
            <a:ext uri="{FF2B5EF4-FFF2-40B4-BE49-F238E27FC236}">
              <a16:creationId xmlns:a16="http://schemas.microsoft.com/office/drawing/2014/main" id="{DD6BDC7E-760F-9C2A-99FA-64C6A9A95108}"/>
            </a:ext>
          </a:extLst>
        </xdr:cNvPr>
        <xdr:cNvPicPr>
          <a:picLocks noChangeAspect="1"/>
        </xdr:cNvPicPr>
      </xdr:nvPicPr>
      <xdr:blipFill>
        <a:blip xmlns:r="http://schemas.openxmlformats.org/officeDocument/2006/relationships" r:link="rId81"/>
        <a:stretch>
          <a:fillRect/>
        </a:stretch>
      </xdr:blipFill>
      <xdr:spPr>
        <a:xfrm>
          <a:off x="28452305" y="122953224"/>
          <a:ext cx="968644" cy="970752"/>
        </a:xfrm>
        <a:prstGeom prst="rect">
          <a:avLst/>
        </a:prstGeom>
      </xdr:spPr>
    </xdr:pic>
    <xdr:clientData/>
  </xdr:twoCellAnchor>
  <xdr:twoCellAnchor editAs="oneCell">
    <xdr:from>
      <xdr:col>12</xdr:col>
      <xdr:colOff>684508</xdr:colOff>
      <xdr:row>89</xdr:row>
      <xdr:rowOff>206645</xdr:rowOff>
    </xdr:from>
    <xdr:to>
      <xdr:col>12</xdr:col>
      <xdr:colOff>1653152</xdr:colOff>
      <xdr:row>89</xdr:row>
      <xdr:rowOff>1177397</xdr:rowOff>
    </xdr:to>
    <xdr:pic>
      <xdr:nvPicPr>
        <xdr:cNvPr id="181" name="Picture 180">
          <a:extLst>
            <a:ext uri="{FF2B5EF4-FFF2-40B4-BE49-F238E27FC236}">
              <a16:creationId xmlns:a16="http://schemas.microsoft.com/office/drawing/2014/main" id="{FCD7CB0B-5034-1977-D9BB-F527FC6C8D44}"/>
            </a:ext>
          </a:extLst>
        </xdr:cNvPr>
        <xdr:cNvPicPr>
          <a:picLocks noChangeAspect="1"/>
        </xdr:cNvPicPr>
      </xdr:nvPicPr>
      <xdr:blipFill>
        <a:blip xmlns:r="http://schemas.openxmlformats.org/officeDocument/2006/relationships" r:link="rId82"/>
        <a:stretch>
          <a:fillRect/>
        </a:stretch>
      </xdr:blipFill>
      <xdr:spPr>
        <a:xfrm>
          <a:off x="28452305" y="124348069"/>
          <a:ext cx="968644" cy="970752"/>
        </a:xfrm>
        <a:prstGeom prst="rect">
          <a:avLst/>
        </a:prstGeom>
      </xdr:spPr>
    </xdr:pic>
    <xdr:clientData/>
  </xdr:twoCellAnchor>
  <xdr:twoCellAnchor editAs="oneCell">
    <xdr:from>
      <xdr:col>12</xdr:col>
      <xdr:colOff>684508</xdr:colOff>
      <xdr:row>90</xdr:row>
      <xdr:rowOff>206643</xdr:rowOff>
    </xdr:from>
    <xdr:to>
      <xdr:col>12</xdr:col>
      <xdr:colOff>1653152</xdr:colOff>
      <xdr:row>90</xdr:row>
      <xdr:rowOff>1177395</xdr:rowOff>
    </xdr:to>
    <xdr:pic>
      <xdr:nvPicPr>
        <xdr:cNvPr id="183" name="Picture 182">
          <a:extLst>
            <a:ext uri="{FF2B5EF4-FFF2-40B4-BE49-F238E27FC236}">
              <a16:creationId xmlns:a16="http://schemas.microsoft.com/office/drawing/2014/main" id="{F974C969-9ED9-825A-8BD9-D8A957219A4D}"/>
            </a:ext>
          </a:extLst>
        </xdr:cNvPr>
        <xdr:cNvPicPr>
          <a:picLocks noChangeAspect="1"/>
        </xdr:cNvPicPr>
      </xdr:nvPicPr>
      <xdr:blipFill>
        <a:blip xmlns:r="http://schemas.openxmlformats.org/officeDocument/2006/relationships" r:link="rId83"/>
        <a:stretch>
          <a:fillRect/>
        </a:stretch>
      </xdr:blipFill>
      <xdr:spPr>
        <a:xfrm>
          <a:off x="28452305" y="125742914"/>
          <a:ext cx="968644" cy="970752"/>
        </a:xfrm>
        <a:prstGeom prst="rect">
          <a:avLst/>
        </a:prstGeom>
      </xdr:spPr>
    </xdr:pic>
    <xdr:clientData/>
  </xdr:twoCellAnchor>
  <xdr:twoCellAnchor editAs="oneCell">
    <xdr:from>
      <xdr:col>12</xdr:col>
      <xdr:colOff>684508</xdr:colOff>
      <xdr:row>91</xdr:row>
      <xdr:rowOff>206252</xdr:rowOff>
    </xdr:from>
    <xdr:to>
      <xdr:col>12</xdr:col>
      <xdr:colOff>1653152</xdr:colOff>
      <xdr:row>91</xdr:row>
      <xdr:rowOff>1177597</xdr:rowOff>
    </xdr:to>
    <xdr:pic>
      <xdr:nvPicPr>
        <xdr:cNvPr id="185" name="Picture 184">
          <a:extLst>
            <a:ext uri="{FF2B5EF4-FFF2-40B4-BE49-F238E27FC236}">
              <a16:creationId xmlns:a16="http://schemas.microsoft.com/office/drawing/2014/main" id="{4FD5B9AE-F400-4E57-72B9-91C78D1E31AF}"/>
            </a:ext>
          </a:extLst>
        </xdr:cNvPr>
        <xdr:cNvPicPr>
          <a:picLocks noChangeAspect="1"/>
        </xdr:cNvPicPr>
      </xdr:nvPicPr>
      <xdr:blipFill>
        <a:blip xmlns:r="http://schemas.openxmlformats.org/officeDocument/2006/relationships" r:link="rId84"/>
        <a:stretch>
          <a:fillRect/>
        </a:stretch>
      </xdr:blipFill>
      <xdr:spPr>
        <a:xfrm>
          <a:off x="28452305" y="127137371"/>
          <a:ext cx="968644" cy="971345"/>
        </a:xfrm>
        <a:prstGeom prst="rect">
          <a:avLst/>
        </a:prstGeom>
      </xdr:spPr>
    </xdr:pic>
    <xdr:clientData/>
  </xdr:twoCellAnchor>
  <xdr:twoCellAnchor editAs="oneCell">
    <xdr:from>
      <xdr:col>12</xdr:col>
      <xdr:colOff>684508</xdr:colOff>
      <xdr:row>92</xdr:row>
      <xdr:rowOff>206251</xdr:rowOff>
    </xdr:from>
    <xdr:to>
      <xdr:col>12</xdr:col>
      <xdr:colOff>1653152</xdr:colOff>
      <xdr:row>92</xdr:row>
      <xdr:rowOff>1177595</xdr:rowOff>
    </xdr:to>
    <xdr:pic>
      <xdr:nvPicPr>
        <xdr:cNvPr id="187" name="Picture 186">
          <a:extLst>
            <a:ext uri="{FF2B5EF4-FFF2-40B4-BE49-F238E27FC236}">
              <a16:creationId xmlns:a16="http://schemas.microsoft.com/office/drawing/2014/main" id="{66B7205F-F574-4984-8296-0E5891B55564}"/>
            </a:ext>
          </a:extLst>
        </xdr:cNvPr>
        <xdr:cNvPicPr>
          <a:picLocks noChangeAspect="1"/>
        </xdr:cNvPicPr>
      </xdr:nvPicPr>
      <xdr:blipFill>
        <a:blip xmlns:r="http://schemas.openxmlformats.org/officeDocument/2006/relationships" r:link="rId85"/>
        <a:stretch>
          <a:fillRect/>
        </a:stretch>
      </xdr:blipFill>
      <xdr:spPr>
        <a:xfrm>
          <a:off x="28452305" y="128532217"/>
          <a:ext cx="968644" cy="971344"/>
        </a:xfrm>
        <a:prstGeom prst="rect">
          <a:avLst/>
        </a:prstGeom>
      </xdr:spPr>
    </xdr:pic>
    <xdr:clientData/>
  </xdr:twoCellAnchor>
  <xdr:twoCellAnchor editAs="oneCell">
    <xdr:from>
      <xdr:col>12</xdr:col>
      <xdr:colOff>684508</xdr:colOff>
      <xdr:row>93</xdr:row>
      <xdr:rowOff>206648</xdr:rowOff>
    </xdr:from>
    <xdr:to>
      <xdr:col>12</xdr:col>
      <xdr:colOff>1653152</xdr:colOff>
      <xdr:row>93</xdr:row>
      <xdr:rowOff>1177400</xdr:rowOff>
    </xdr:to>
    <xdr:pic>
      <xdr:nvPicPr>
        <xdr:cNvPr id="189" name="Picture 188">
          <a:extLst>
            <a:ext uri="{FF2B5EF4-FFF2-40B4-BE49-F238E27FC236}">
              <a16:creationId xmlns:a16="http://schemas.microsoft.com/office/drawing/2014/main" id="{D9FCC224-5BC3-CF1F-3C8D-F2998EF09B40}"/>
            </a:ext>
          </a:extLst>
        </xdr:cNvPr>
        <xdr:cNvPicPr>
          <a:picLocks noChangeAspect="1"/>
        </xdr:cNvPicPr>
      </xdr:nvPicPr>
      <xdr:blipFill>
        <a:blip xmlns:r="http://schemas.openxmlformats.org/officeDocument/2006/relationships" r:link="rId86"/>
        <a:stretch>
          <a:fillRect/>
        </a:stretch>
      </xdr:blipFill>
      <xdr:spPr>
        <a:xfrm>
          <a:off x="28452305" y="129927462"/>
          <a:ext cx="968644" cy="970752"/>
        </a:xfrm>
        <a:prstGeom prst="rect">
          <a:avLst/>
        </a:prstGeom>
      </xdr:spPr>
    </xdr:pic>
    <xdr:clientData/>
  </xdr:twoCellAnchor>
  <xdr:twoCellAnchor editAs="oneCell">
    <xdr:from>
      <xdr:col>12</xdr:col>
      <xdr:colOff>684508</xdr:colOff>
      <xdr:row>94</xdr:row>
      <xdr:rowOff>206645</xdr:rowOff>
    </xdr:from>
    <xdr:to>
      <xdr:col>12</xdr:col>
      <xdr:colOff>1653152</xdr:colOff>
      <xdr:row>94</xdr:row>
      <xdr:rowOff>1177397</xdr:rowOff>
    </xdr:to>
    <xdr:pic>
      <xdr:nvPicPr>
        <xdr:cNvPr id="191" name="Picture 190">
          <a:extLst>
            <a:ext uri="{FF2B5EF4-FFF2-40B4-BE49-F238E27FC236}">
              <a16:creationId xmlns:a16="http://schemas.microsoft.com/office/drawing/2014/main" id="{2F6588DC-CCE5-34F5-9727-A0AD8C17699E}"/>
            </a:ext>
          </a:extLst>
        </xdr:cNvPr>
        <xdr:cNvPicPr>
          <a:picLocks noChangeAspect="1"/>
        </xdr:cNvPicPr>
      </xdr:nvPicPr>
      <xdr:blipFill>
        <a:blip xmlns:r="http://schemas.openxmlformats.org/officeDocument/2006/relationships" r:link="rId87"/>
        <a:stretch>
          <a:fillRect/>
        </a:stretch>
      </xdr:blipFill>
      <xdr:spPr>
        <a:xfrm>
          <a:off x="28452305" y="131322306"/>
          <a:ext cx="968644" cy="970752"/>
        </a:xfrm>
        <a:prstGeom prst="rect">
          <a:avLst/>
        </a:prstGeom>
      </xdr:spPr>
    </xdr:pic>
    <xdr:clientData/>
  </xdr:twoCellAnchor>
  <xdr:twoCellAnchor editAs="oneCell">
    <xdr:from>
      <xdr:col>12</xdr:col>
      <xdr:colOff>684508</xdr:colOff>
      <xdr:row>95</xdr:row>
      <xdr:rowOff>206643</xdr:rowOff>
    </xdr:from>
    <xdr:to>
      <xdr:col>12</xdr:col>
      <xdr:colOff>1653152</xdr:colOff>
      <xdr:row>95</xdr:row>
      <xdr:rowOff>1177395</xdr:rowOff>
    </xdr:to>
    <xdr:pic>
      <xdr:nvPicPr>
        <xdr:cNvPr id="193" name="Picture 192">
          <a:extLst>
            <a:ext uri="{FF2B5EF4-FFF2-40B4-BE49-F238E27FC236}">
              <a16:creationId xmlns:a16="http://schemas.microsoft.com/office/drawing/2014/main" id="{D67DF852-4096-12D7-2254-70C0E097F9AE}"/>
            </a:ext>
          </a:extLst>
        </xdr:cNvPr>
        <xdr:cNvPicPr>
          <a:picLocks noChangeAspect="1"/>
        </xdr:cNvPicPr>
      </xdr:nvPicPr>
      <xdr:blipFill>
        <a:blip xmlns:r="http://schemas.openxmlformats.org/officeDocument/2006/relationships" r:link="rId88"/>
        <a:stretch>
          <a:fillRect/>
        </a:stretch>
      </xdr:blipFill>
      <xdr:spPr>
        <a:xfrm>
          <a:off x="28452305" y="132717151"/>
          <a:ext cx="968644" cy="970752"/>
        </a:xfrm>
        <a:prstGeom prst="rect">
          <a:avLst/>
        </a:prstGeom>
      </xdr:spPr>
    </xdr:pic>
    <xdr:clientData/>
  </xdr:twoCellAnchor>
  <xdr:twoCellAnchor editAs="oneCell">
    <xdr:from>
      <xdr:col>12</xdr:col>
      <xdr:colOff>684508</xdr:colOff>
      <xdr:row>96</xdr:row>
      <xdr:rowOff>206252</xdr:rowOff>
    </xdr:from>
    <xdr:to>
      <xdr:col>12</xdr:col>
      <xdr:colOff>1653152</xdr:colOff>
      <xdr:row>96</xdr:row>
      <xdr:rowOff>1177597</xdr:rowOff>
    </xdr:to>
    <xdr:pic>
      <xdr:nvPicPr>
        <xdr:cNvPr id="195" name="Picture 194">
          <a:extLst>
            <a:ext uri="{FF2B5EF4-FFF2-40B4-BE49-F238E27FC236}">
              <a16:creationId xmlns:a16="http://schemas.microsoft.com/office/drawing/2014/main" id="{870B079F-5C90-888B-FAD5-E11B8A5146C1}"/>
            </a:ext>
          </a:extLst>
        </xdr:cNvPr>
        <xdr:cNvPicPr>
          <a:picLocks noChangeAspect="1"/>
        </xdr:cNvPicPr>
      </xdr:nvPicPr>
      <xdr:blipFill>
        <a:blip xmlns:r="http://schemas.openxmlformats.org/officeDocument/2006/relationships" r:link="rId89"/>
        <a:stretch>
          <a:fillRect/>
        </a:stretch>
      </xdr:blipFill>
      <xdr:spPr>
        <a:xfrm>
          <a:off x="28452305" y="134111608"/>
          <a:ext cx="968644" cy="971345"/>
        </a:xfrm>
        <a:prstGeom prst="rect">
          <a:avLst/>
        </a:prstGeom>
      </xdr:spPr>
    </xdr:pic>
    <xdr:clientData/>
  </xdr:twoCellAnchor>
  <xdr:twoCellAnchor editAs="oneCell">
    <xdr:from>
      <xdr:col>12</xdr:col>
      <xdr:colOff>684508</xdr:colOff>
      <xdr:row>97</xdr:row>
      <xdr:rowOff>206251</xdr:rowOff>
    </xdr:from>
    <xdr:to>
      <xdr:col>12</xdr:col>
      <xdr:colOff>1653152</xdr:colOff>
      <xdr:row>97</xdr:row>
      <xdr:rowOff>1177595</xdr:rowOff>
    </xdr:to>
    <xdr:pic>
      <xdr:nvPicPr>
        <xdr:cNvPr id="197" name="Picture 196">
          <a:extLst>
            <a:ext uri="{FF2B5EF4-FFF2-40B4-BE49-F238E27FC236}">
              <a16:creationId xmlns:a16="http://schemas.microsoft.com/office/drawing/2014/main" id="{BBBBD0F7-D3D9-1385-FCBC-9D015D38B7AD}"/>
            </a:ext>
          </a:extLst>
        </xdr:cNvPr>
        <xdr:cNvPicPr>
          <a:picLocks noChangeAspect="1"/>
        </xdr:cNvPicPr>
      </xdr:nvPicPr>
      <xdr:blipFill>
        <a:blip xmlns:r="http://schemas.openxmlformats.org/officeDocument/2006/relationships" r:link="rId90"/>
        <a:stretch>
          <a:fillRect/>
        </a:stretch>
      </xdr:blipFill>
      <xdr:spPr>
        <a:xfrm>
          <a:off x="28452305" y="135506454"/>
          <a:ext cx="968644" cy="971344"/>
        </a:xfrm>
        <a:prstGeom prst="rect">
          <a:avLst/>
        </a:prstGeom>
      </xdr:spPr>
    </xdr:pic>
    <xdr:clientData/>
  </xdr:twoCellAnchor>
  <xdr:twoCellAnchor editAs="oneCell">
    <xdr:from>
      <xdr:col>12</xdr:col>
      <xdr:colOff>684508</xdr:colOff>
      <xdr:row>98</xdr:row>
      <xdr:rowOff>206648</xdr:rowOff>
    </xdr:from>
    <xdr:to>
      <xdr:col>12</xdr:col>
      <xdr:colOff>1653152</xdr:colOff>
      <xdr:row>98</xdr:row>
      <xdr:rowOff>1177400</xdr:rowOff>
    </xdr:to>
    <xdr:pic>
      <xdr:nvPicPr>
        <xdr:cNvPr id="199" name="Picture 198">
          <a:extLst>
            <a:ext uri="{FF2B5EF4-FFF2-40B4-BE49-F238E27FC236}">
              <a16:creationId xmlns:a16="http://schemas.microsoft.com/office/drawing/2014/main" id="{3511CC48-552B-182A-D76C-D3EB3AA469E8}"/>
            </a:ext>
          </a:extLst>
        </xdr:cNvPr>
        <xdr:cNvPicPr>
          <a:picLocks noChangeAspect="1"/>
        </xdr:cNvPicPr>
      </xdr:nvPicPr>
      <xdr:blipFill>
        <a:blip xmlns:r="http://schemas.openxmlformats.org/officeDocument/2006/relationships" r:link="rId91"/>
        <a:stretch>
          <a:fillRect/>
        </a:stretch>
      </xdr:blipFill>
      <xdr:spPr>
        <a:xfrm>
          <a:off x="28452305" y="136901699"/>
          <a:ext cx="968644" cy="970752"/>
        </a:xfrm>
        <a:prstGeom prst="rect">
          <a:avLst/>
        </a:prstGeom>
      </xdr:spPr>
    </xdr:pic>
    <xdr:clientData/>
  </xdr:twoCellAnchor>
  <xdr:twoCellAnchor editAs="oneCell">
    <xdr:from>
      <xdr:col>12</xdr:col>
      <xdr:colOff>684508</xdr:colOff>
      <xdr:row>99</xdr:row>
      <xdr:rowOff>206645</xdr:rowOff>
    </xdr:from>
    <xdr:to>
      <xdr:col>12</xdr:col>
      <xdr:colOff>1653152</xdr:colOff>
      <xdr:row>99</xdr:row>
      <xdr:rowOff>1177397</xdr:rowOff>
    </xdr:to>
    <xdr:pic>
      <xdr:nvPicPr>
        <xdr:cNvPr id="201" name="Picture 200">
          <a:extLst>
            <a:ext uri="{FF2B5EF4-FFF2-40B4-BE49-F238E27FC236}">
              <a16:creationId xmlns:a16="http://schemas.microsoft.com/office/drawing/2014/main" id="{7534EDEF-B5BC-B9D8-78EE-0F157E676A1C}"/>
            </a:ext>
          </a:extLst>
        </xdr:cNvPr>
        <xdr:cNvPicPr>
          <a:picLocks noChangeAspect="1"/>
        </xdr:cNvPicPr>
      </xdr:nvPicPr>
      <xdr:blipFill>
        <a:blip xmlns:r="http://schemas.openxmlformats.org/officeDocument/2006/relationships" r:link="rId92"/>
        <a:stretch>
          <a:fillRect/>
        </a:stretch>
      </xdr:blipFill>
      <xdr:spPr>
        <a:xfrm>
          <a:off x="28452305" y="138296543"/>
          <a:ext cx="968644" cy="970752"/>
        </a:xfrm>
        <a:prstGeom prst="rect">
          <a:avLst/>
        </a:prstGeom>
      </xdr:spPr>
    </xdr:pic>
    <xdr:clientData/>
  </xdr:twoCellAnchor>
  <xdr:twoCellAnchor editAs="oneCell">
    <xdr:from>
      <xdr:col>12</xdr:col>
      <xdr:colOff>684508</xdr:colOff>
      <xdr:row>100</xdr:row>
      <xdr:rowOff>206643</xdr:rowOff>
    </xdr:from>
    <xdr:to>
      <xdr:col>12</xdr:col>
      <xdr:colOff>1653152</xdr:colOff>
      <xdr:row>100</xdr:row>
      <xdr:rowOff>1177395</xdr:rowOff>
    </xdr:to>
    <xdr:pic>
      <xdr:nvPicPr>
        <xdr:cNvPr id="203" name="Picture 202">
          <a:extLst>
            <a:ext uri="{FF2B5EF4-FFF2-40B4-BE49-F238E27FC236}">
              <a16:creationId xmlns:a16="http://schemas.microsoft.com/office/drawing/2014/main" id="{D0478934-1599-9613-49FE-ABCADA8E176E}"/>
            </a:ext>
          </a:extLst>
        </xdr:cNvPr>
        <xdr:cNvPicPr>
          <a:picLocks noChangeAspect="1"/>
        </xdr:cNvPicPr>
      </xdr:nvPicPr>
      <xdr:blipFill>
        <a:blip xmlns:r="http://schemas.openxmlformats.org/officeDocument/2006/relationships" r:link="rId93"/>
        <a:stretch>
          <a:fillRect/>
        </a:stretch>
      </xdr:blipFill>
      <xdr:spPr>
        <a:xfrm>
          <a:off x="28452305" y="139691389"/>
          <a:ext cx="968644" cy="970752"/>
        </a:xfrm>
        <a:prstGeom prst="rect">
          <a:avLst/>
        </a:prstGeom>
      </xdr:spPr>
    </xdr:pic>
    <xdr:clientData/>
  </xdr:twoCellAnchor>
  <xdr:twoCellAnchor editAs="oneCell">
    <xdr:from>
      <xdr:col>12</xdr:col>
      <xdr:colOff>684508</xdr:colOff>
      <xdr:row>101</xdr:row>
      <xdr:rowOff>206254</xdr:rowOff>
    </xdr:from>
    <xdr:to>
      <xdr:col>12</xdr:col>
      <xdr:colOff>1653152</xdr:colOff>
      <xdr:row>101</xdr:row>
      <xdr:rowOff>1177598</xdr:rowOff>
    </xdr:to>
    <xdr:pic>
      <xdr:nvPicPr>
        <xdr:cNvPr id="205" name="Picture 204">
          <a:extLst>
            <a:ext uri="{FF2B5EF4-FFF2-40B4-BE49-F238E27FC236}">
              <a16:creationId xmlns:a16="http://schemas.microsoft.com/office/drawing/2014/main" id="{D0D806D7-DC47-F156-80EF-6C6E8B775728}"/>
            </a:ext>
          </a:extLst>
        </xdr:cNvPr>
        <xdr:cNvPicPr>
          <a:picLocks noChangeAspect="1"/>
        </xdr:cNvPicPr>
      </xdr:nvPicPr>
      <xdr:blipFill>
        <a:blip xmlns:r="http://schemas.openxmlformats.org/officeDocument/2006/relationships" r:link="rId94"/>
        <a:stretch>
          <a:fillRect/>
        </a:stretch>
      </xdr:blipFill>
      <xdr:spPr>
        <a:xfrm>
          <a:off x="28452305" y="141085847"/>
          <a:ext cx="968644" cy="971344"/>
        </a:xfrm>
        <a:prstGeom prst="rect">
          <a:avLst/>
        </a:prstGeom>
      </xdr:spPr>
    </xdr:pic>
    <xdr:clientData/>
  </xdr:twoCellAnchor>
  <xdr:twoCellAnchor editAs="oneCell">
    <xdr:from>
      <xdr:col>12</xdr:col>
      <xdr:colOff>684508</xdr:colOff>
      <xdr:row>102</xdr:row>
      <xdr:rowOff>206249</xdr:rowOff>
    </xdr:from>
    <xdr:to>
      <xdr:col>12</xdr:col>
      <xdr:colOff>1653152</xdr:colOff>
      <xdr:row>102</xdr:row>
      <xdr:rowOff>1177594</xdr:rowOff>
    </xdr:to>
    <xdr:pic>
      <xdr:nvPicPr>
        <xdr:cNvPr id="207" name="Picture 206">
          <a:extLst>
            <a:ext uri="{FF2B5EF4-FFF2-40B4-BE49-F238E27FC236}">
              <a16:creationId xmlns:a16="http://schemas.microsoft.com/office/drawing/2014/main" id="{70F0D43F-3BB5-87C1-08EA-8B8CD15EB9BF}"/>
            </a:ext>
          </a:extLst>
        </xdr:cNvPr>
        <xdr:cNvPicPr>
          <a:picLocks noChangeAspect="1"/>
        </xdr:cNvPicPr>
      </xdr:nvPicPr>
      <xdr:blipFill>
        <a:blip xmlns:r="http://schemas.openxmlformats.org/officeDocument/2006/relationships" r:link="rId95"/>
        <a:stretch>
          <a:fillRect/>
        </a:stretch>
      </xdr:blipFill>
      <xdr:spPr>
        <a:xfrm>
          <a:off x="28452305" y="142480690"/>
          <a:ext cx="968644" cy="971345"/>
        </a:xfrm>
        <a:prstGeom prst="rect">
          <a:avLst/>
        </a:prstGeom>
      </xdr:spPr>
    </xdr:pic>
    <xdr:clientData/>
  </xdr:twoCellAnchor>
  <xdr:twoCellAnchor editAs="oneCell">
    <xdr:from>
      <xdr:col>12</xdr:col>
      <xdr:colOff>684508</xdr:colOff>
      <xdr:row>103</xdr:row>
      <xdr:rowOff>206648</xdr:rowOff>
    </xdr:from>
    <xdr:to>
      <xdr:col>12</xdr:col>
      <xdr:colOff>1653152</xdr:colOff>
      <xdr:row>103</xdr:row>
      <xdr:rowOff>1177400</xdr:rowOff>
    </xdr:to>
    <xdr:pic>
      <xdr:nvPicPr>
        <xdr:cNvPr id="209" name="Picture 208">
          <a:extLst>
            <a:ext uri="{FF2B5EF4-FFF2-40B4-BE49-F238E27FC236}">
              <a16:creationId xmlns:a16="http://schemas.microsoft.com/office/drawing/2014/main" id="{96991E4D-6679-9F48-4C84-D60904CA4246}"/>
            </a:ext>
          </a:extLst>
        </xdr:cNvPr>
        <xdr:cNvPicPr>
          <a:picLocks noChangeAspect="1"/>
        </xdr:cNvPicPr>
      </xdr:nvPicPr>
      <xdr:blipFill>
        <a:blip xmlns:r="http://schemas.openxmlformats.org/officeDocument/2006/relationships" r:link="rId96"/>
        <a:stretch>
          <a:fillRect/>
        </a:stretch>
      </xdr:blipFill>
      <xdr:spPr>
        <a:xfrm>
          <a:off x="28452305" y="143875936"/>
          <a:ext cx="968644" cy="970752"/>
        </a:xfrm>
        <a:prstGeom prst="rect">
          <a:avLst/>
        </a:prstGeom>
      </xdr:spPr>
    </xdr:pic>
    <xdr:clientData/>
  </xdr:twoCellAnchor>
  <xdr:twoCellAnchor editAs="oneCell">
    <xdr:from>
      <xdr:col>12</xdr:col>
      <xdr:colOff>684508</xdr:colOff>
      <xdr:row>104</xdr:row>
      <xdr:rowOff>206645</xdr:rowOff>
    </xdr:from>
    <xdr:to>
      <xdr:col>12</xdr:col>
      <xdr:colOff>1653152</xdr:colOff>
      <xdr:row>104</xdr:row>
      <xdr:rowOff>1177397</xdr:rowOff>
    </xdr:to>
    <xdr:pic>
      <xdr:nvPicPr>
        <xdr:cNvPr id="211" name="Picture 210">
          <a:extLst>
            <a:ext uri="{FF2B5EF4-FFF2-40B4-BE49-F238E27FC236}">
              <a16:creationId xmlns:a16="http://schemas.microsoft.com/office/drawing/2014/main" id="{995EE670-DF51-0BD3-12B0-4FFC3FADCBEF}"/>
            </a:ext>
          </a:extLst>
        </xdr:cNvPr>
        <xdr:cNvPicPr>
          <a:picLocks noChangeAspect="1"/>
        </xdr:cNvPicPr>
      </xdr:nvPicPr>
      <xdr:blipFill>
        <a:blip xmlns:r="http://schemas.openxmlformats.org/officeDocument/2006/relationships" r:link="rId97"/>
        <a:stretch>
          <a:fillRect/>
        </a:stretch>
      </xdr:blipFill>
      <xdr:spPr>
        <a:xfrm>
          <a:off x="28452305" y="145270781"/>
          <a:ext cx="968644" cy="970752"/>
        </a:xfrm>
        <a:prstGeom prst="rect">
          <a:avLst/>
        </a:prstGeom>
      </xdr:spPr>
    </xdr:pic>
    <xdr:clientData/>
  </xdr:twoCellAnchor>
  <xdr:twoCellAnchor editAs="oneCell">
    <xdr:from>
      <xdr:col>12</xdr:col>
      <xdr:colOff>684508</xdr:colOff>
      <xdr:row>105</xdr:row>
      <xdr:rowOff>206643</xdr:rowOff>
    </xdr:from>
    <xdr:to>
      <xdr:col>12</xdr:col>
      <xdr:colOff>1653152</xdr:colOff>
      <xdr:row>105</xdr:row>
      <xdr:rowOff>1177395</xdr:rowOff>
    </xdr:to>
    <xdr:pic>
      <xdr:nvPicPr>
        <xdr:cNvPr id="213" name="Picture 212">
          <a:extLst>
            <a:ext uri="{FF2B5EF4-FFF2-40B4-BE49-F238E27FC236}">
              <a16:creationId xmlns:a16="http://schemas.microsoft.com/office/drawing/2014/main" id="{59C20ACD-35DC-2D63-7412-0481A127FDD4}"/>
            </a:ext>
          </a:extLst>
        </xdr:cNvPr>
        <xdr:cNvPicPr>
          <a:picLocks noChangeAspect="1"/>
        </xdr:cNvPicPr>
      </xdr:nvPicPr>
      <xdr:blipFill>
        <a:blip xmlns:r="http://schemas.openxmlformats.org/officeDocument/2006/relationships" r:link="rId98"/>
        <a:stretch>
          <a:fillRect/>
        </a:stretch>
      </xdr:blipFill>
      <xdr:spPr>
        <a:xfrm>
          <a:off x="28452305" y="146665626"/>
          <a:ext cx="968644" cy="970752"/>
        </a:xfrm>
        <a:prstGeom prst="rect">
          <a:avLst/>
        </a:prstGeom>
      </xdr:spPr>
    </xdr:pic>
    <xdr:clientData/>
  </xdr:twoCellAnchor>
  <xdr:twoCellAnchor editAs="oneCell">
    <xdr:from>
      <xdr:col>12</xdr:col>
      <xdr:colOff>684508</xdr:colOff>
      <xdr:row>106</xdr:row>
      <xdr:rowOff>206252</xdr:rowOff>
    </xdr:from>
    <xdr:to>
      <xdr:col>12</xdr:col>
      <xdr:colOff>1653152</xdr:colOff>
      <xdr:row>106</xdr:row>
      <xdr:rowOff>1177597</xdr:rowOff>
    </xdr:to>
    <xdr:pic>
      <xdr:nvPicPr>
        <xdr:cNvPr id="215" name="Picture 214">
          <a:extLst>
            <a:ext uri="{FF2B5EF4-FFF2-40B4-BE49-F238E27FC236}">
              <a16:creationId xmlns:a16="http://schemas.microsoft.com/office/drawing/2014/main" id="{45105C09-0ADD-7AF7-1F20-100155CBEDB7}"/>
            </a:ext>
          </a:extLst>
        </xdr:cNvPr>
        <xdr:cNvPicPr>
          <a:picLocks noChangeAspect="1"/>
        </xdr:cNvPicPr>
      </xdr:nvPicPr>
      <xdr:blipFill>
        <a:blip xmlns:r="http://schemas.openxmlformats.org/officeDocument/2006/relationships" r:link="rId99"/>
        <a:stretch>
          <a:fillRect/>
        </a:stretch>
      </xdr:blipFill>
      <xdr:spPr>
        <a:xfrm>
          <a:off x="28452305" y="148060083"/>
          <a:ext cx="968644" cy="971345"/>
        </a:xfrm>
        <a:prstGeom prst="rect">
          <a:avLst/>
        </a:prstGeom>
      </xdr:spPr>
    </xdr:pic>
    <xdr:clientData/>
  </xdr:twoCellAnchor>
  <xdr:twoCellAnchor editAs="oneCell">
    <xdr:from>
      <xdr:col>12</xdr:col>
      <xdr:colOff>684508</xdr:colOff>
      <xdr:row>107</xdr:row>
      <xdr:rowOff>206251</xdr:rowOff>
    </xdr:from>
    <xdr:to>
      <xdr:col>12</xdr:col>
      <xdr:colOff>1653152</xdr:colOff>
      <xdr:row>107</xdr:row>
      <xdr:rowOff>1177595</xdr:rowOff>
    </xdr:to>
    <xdr:pic>
      <xdr:nvPicPr>
        <xdr:cNvPr id="217" name="Picture 216">
          <a:extLst>
            <a:ext uri="{FF2B5EF4-FFF2-40B4-BE49-F238E27FC236}">
              <a16:creationId xmlns:a16="http://schemas.microsoft.com/office/drawing/2014/main" id="{34FD1EEE-D2A5-E801-23F4-D50C66C9B79A}"/>
            </a:ext>
          </a:extLst>
        </xdr:cNvPr>
        <xdr:cNvPicPr>
          <a:picLocks noChangeAspect="1"/>
        </xdr:cNvPicPr>
      </xdr:nvPicPr>
      <xdr:blipFill>
        <a:blip xmlns:r="http://schemas.openxmlformats.org/officeDocument/2006/relationships" r:link="rId100"/>
        <a:stretch>
          <a:fillRect/>
        </a:stretch>
      </xdr:blipFill>
      <xdr:spPr>
        <a:xfrm>
          <a:off x="28452305" y="149454929"/>
          <a:ext cx="968644" cy="971344"/>
        </a:xfrm>
        <a:prstGeom prst="rect">
          <a:avLst/>
        </a:prstGeom>
      </xdr:spPr>
    </xdr:pic>
    <xdr:clientData/>
  </xdr:twoCellAnchor>
  <xdr:twoCellAnchor editAs="oneCell">
    <xdr:from>
      <xdr:col>12</xdr:col>
      <xdr:colOff>684508</xdr:colOff>
      <xdr:row>108</xdr:row>
      <xdr:rowOff>206648</xdr:rowOff>
    </xdr:from>
    <xdr:to>
      <xdr:col>12</xdr:col>
      <xdr:colOff>1653152</xdr:colOff>
      <xdr:row>108</xdr:row>
      <xdr:rowOff>1177400</xdr:rowOff>
    </xdr:to>
    <xdr:pic>
      <xdr:nvPicPr>
        <xdr:cNvPr id="219" name="Picture 218">
          <a:extLst>
            <a:ext uri="{FF2B5EF4-FFF2-40B4-BE49-F238E27FC236}">
              <a16:creationId xmlns:a16="http://schemas.microsoft.com/office/drawing/2014/main" id="{437F1015-CFD4-5003-96D0-92392CC94400}"/>
            </a:ext>
          </a:extLst>
        </xdr:cNvPr>
        <xdr:cNvPicPr>
          <a:picLocks noChangeAspect="1"/>
        </xdr:cNvPicPr>
      </xdr:nvPicPr>
      <xdr:blipFill>
        <a:blip xmlns:r="http://schemas.openxmlformats.org/officeDocument/2006/relationships" r:link="rId101"/>
        <a:stretch>
          <a:fillRect/>
        </a:stretch>
      </xdr:blipFill>
      <xdr:spPr>
        <a:xfrm>
          <a:off x="28452305" y="150850173"/>
          <a:ext cx="968644" cy="970752"/>
        </a:xfrm>
        <a:prstGeom prst="rect">
          <a:avLst/>
        </a:prstGeom>
      </xdr:spPr>
    </xdr:pic>
    <xdr:clientData/>
  </xdr:twoCellAnchor>
  <xdr:twoCellAnchor editAs="oneCell">
    <xdr:from>
      <xdr:col>12</xdr:col>
      <xdr:colOff>684508</xdr:colOff>
      <xdr:row>109</xdr:row>
      <xdr:rowOff>206645</xdr:rowOff>
    </xdr:from>
    <xdr:to>
      <xdr:col>12</xdr:col>
      <xdr:colOff>1653152</xdr:colOff>
      <xdr:row>109</xdr:row>
      <xdr:rowOff>1177397</xdr:rowOff>
    </xdr:to>
    <xdr:pic>
      <xdr:nvPicPr>
        <xdr:cNvPr id="221" name="Picture 220">
          <a:extLst>
            <a:ext uri="{FF2B5EF4-FFF2-40B4-BE49-F238E27FC236}">
              <a16:creationId xmlns:a16="http://schemas.microsoft.com/office/drawing/2014/main" id="{D14C76DE-1AAA-73B1-72CE-11B5019453AB}"/>
            </a:ext>
          </a:extLst>
        </xdr:cNvPr>
        <xdr:cNvPicPr>
          <a:picLocks noChangeAspect="1"/>
        </xdr:cNvPicPr>
      </xdr:nvPicPr>
      <xdr:blipFill>
        <a:blip xmlns:r="http://schemas.openxmlformats.org/officeDocument/2006/relationships" r:link="rId102"/>
        <a:stretch>
          <a:fillRect/>
        </a:stretch>
      </xdr:blipFill>
      <xdr:spPr>
        <a:xfrm>
          <a:off x="28452305" y="152245018"/>
          <a:ext cx="968644" cy="970752"/>
        </a:xfrm>
        <a:prstGeom prst="rect">
          <a:avLst/>
        </a:prstGeom>
      </xdr:spPr>
    </xdr:pic>
    <xdr:clientData/>
  </xdr:twoCellAnchor>
  <xdr:twoCellAnchor editAs="oneCell">
    <xdr:from>
      <xdr:col>12</xdr:col>
      <xdr:colOff>684508</xdr:colOff>
      <xdr:row>110</xdr:row>
      <xdr:rowOff>206643</xdr:rowOff>
    </xdr:from>
    <xdr:to>
      <xdr:col>12</xdr:col>
      <xdr:colOff>1653152</xdr:colOff>
      <xdr:row>110</xdr:row>
      <xdr:rowOff>1177395</xdr:rowOff>
    </xdr:to>
    <xdr:pic>
      <xdr:nvPicPr>
        <xdr:cNvPr id="223" name="Picture 222">
          <a:extLst>
            <a:ext uri="{FF2B5EF4-FFF2-40B4-BE49-F238E27FC236}">
              <a16:creationId xmlns:a16="http://schemas.microsoft.com/office/drawing/2014/main" id="{F8DF3EE3-CA7A-6842-CFC7-DA26B1D28236}"/>
            </a:ext>
          </a:extLst>
        </xdr:cNvPr>
        <xdr:cNvPicPr>
          <a:picLocks noChangeAspect="1"/>
        </xdr:cNvPicPr>
      </xdr:nvPicPr>
      <xdr:blipFill>
        <a:blip xmlns:r="http://schemas.openxmlformats.org/officeDocument/2006/relationships" r:link="rId103"/>
        <a:stretch>
          <a:fillRect/>
        </a:stretch>
      </xdr:blipFill>
      <xdr:spPr>
        <a:xfrm>
          <a:off x="28452305" y="153639863"/>
          <a:ext cx="968644" cy="970752"/>
        </a:xfrm>
        <a:prstGeom prst="rect">
          <a:avLst/>
        </a:prstGeom>
      </xdr:spPr>
    </xdr:pic>
    <xdr:clientData/>
  </xdr:twoCellAnchor>
  <xdr:twoCellAnchor editAs="oneCell">
    <xdr:from>
      <xdr:col>12</xdr:col>
      <xdr:colOff>684508</xdr:colOff>
      <xdr:row>111</xdr:row>
      <xdr:rowOff>206252</xdr:rowOff>
    </xdr:from>
    <xdr:to>
      <xdr:col>12</xdr:col>
      <xdr:colOff>1653152</xdr:colOff>
      <xdr:row>111</xdr:row>
      <xdr:rowOff>1177597</xdr:rowOff>
    </xdr:to>
    <xdr:pic>
      <xdr:nvPicPr>
        <xdr:cNvPr id="225" name="Picture 224">
          <a:extLst>
            <a:ext uri="{FF2B5EF4-FFF2-40B4-BE49-F238E27FC236}">
              <a16:creationId xmlns:a16="http://schemas.microsoft.com/office/drawing/2014/main" id="{9FC159AE-3942-E234-C7FE-B55729565638}"/>
            </a:ext>
          </a:extLst>
        </xdr:cNvPr>
        <xdr:cNvPicPr>
          <a:picLocks noChangeAspect="1"/>
        </xdr:cNvPicPr>
      </xdr:nvPicPr>
      <xdr:blipFill>
        <a:blip xmlns:r="http://schemas.openxmlformats.org/officeDocument/2006/relationships" r:link="rId104"/>
        <a:stretch>
          <a:fillRect/>
        </a:stretch>
      </xdr:blipFill>
      <xdr:spPr>
        <a:xfrm>
          <a:off x="28452305" y="155034320"/>
          <a:ext cx="968644" cy="971345"/>
        </a:xfrm>
        <a:prstGeom prst="rect">
          <a:avLst/>
        </a:prstGeom>
      </xdr:spPr>
    </xdr:pic>
    <xdr:clientData/>
  </xdr:twoCellAnchor>
  <xdr:twoCellAnchor editAs="oneCell">
    <xdr:from>
      <xdr:col>12</xdr:col>
      <xdr:colOff>684508</xdr:colOff>
      <xdr:row>112</xdr:row>
      <xdr:rowOff>206251</xdr:rowOff>
    </xdr:from>
    <xdr:to>
      <xdr:col>12</xdr:col>
      <xdr:colOff>1653152</xdr:colOff>
      <xdr:row>112</xdr:row>
      <xdr:rowOff>1177595</xdr:rowOff>
    </xdr:to>
    <xdr:pic>
      <xdr:nvPicPr>
        <xdr:cNvPr id="227" name="Picture 226">
          <a:extLst>
            <a:ext uri="{FF2B5EF4-FFF2-40B4-BE49-F238E27FC236}">
              <a16:creationId xmlns:a16="http://schemas.microsoft.com/office/drawing/2014/main" id="{1F10F166-3578-00CB-EF7E-B8F568465742}"/>
            </a:ext>
          </a:extLst>
        </xdr:cNvPr>
        <xdr:cNvPicPr>
          <a:picLocks noChangeAspect="1"/>
        </xdr:cNvPicPr>
      </xdr:nvPicPr>
      <xdr:blipFill>
        <a:blip xmlns:r="http://schemas.openxmlformats.org/officeDocument/2006/relationships" r:link="rId105"/>
        <a:stretch>
          <a:fillRect/>
        </a:stretch>
      </xdr:blipFill>
      <xdr:spPr>
        <a:xfrm>
          <a:off x="28452305" y="156429166"/>
          <a:ext cx="968644" cy="971344"/>
        </a:xfrm>
        <a:prstGeom prst="rect">
          <a:avLst/>
        </a:prstGeom>
      </xdr:spPr>
    </xdr:pic>
    <xdr:clientData/>
  </xdr:twoCellAnchor>
  <xdr:twoCellAnchor editAs="oneCell">
    <xdr:from>
      <xdr:col>12</xdr:col>
      <xdr:colOff>684508</xdr:colOff>
      <xdr:row>113</xdr:row>
      <xdr:rowOff>206648</xdr:rowOff>
    </xdr:from>
    <xdr:to>
      <xdr:col>12</xdr:col>
      <xdr:colOff>1653152</xdr:colOff>
      <xdr:row>113</xdr:row>
      <xdr:rowOff>1177400</xdr:rowOff>
    </xdr:to>
    <xdr:pic>
      <xdr:nvPicPr>
        <xdr:cNvPr id="229" name="Picture 228">
          <a:extLst>
            <a:ext uri="{FF2B5EF4-FFF2-40B4-BE49-F238E27FC236}">
              <a16:creationId xmlns:a16="http://schemas.microsoft.com/office/drawing/2014/main" id="{B0348514-A560-C1AA-FFDA-9750F1451346}"/>
            </a:ext>
          </a:extLst>
        </xdr:cNvPr>
        <xdr:cNvPicPr>
          <a:picLocks noChangeAspect="1"/>
        </xdr:cNvPicPr>
      </xdr:nvPicPr>
      <xdr:blipFill>
        <a:blip xmlns:r="http://schemas.openxmlformats.org/officeDocument/2006/relationships" r:link="rId106"/>
        <a:stretch>
          <a:fillRect/>
        </a:stretch>
      </xdr:blipFill>
      <xdr:spPr>
        <a:xfrm>
          <a:off x="28452305" y="157824411"/>
          <a:ext cx="968644" cy="970752"/>
        </a:xfrm>
        <a:prstGeom prst="rect">
          <a:avLst/>
        </a:prstGeom>
      </xdr:spPr>
    </xdr:pic>
    <xdr:clientData/>
  </xdr:twoCellAnchor>
  <xdr:twoCellAnchor editAs="oneCell">
    <xdr:from>
      <xdr:col>12</xdr:col>
      <xdr:colOff>684508</xdr:colOff>
      <xdr:row>114</xdr:row>
      <xdr:rowOff>206645</xdr:rowOff>
    </xdr:from>
    <xdr:to>
      <xdr:col>12</xdr:col>
      <xdr:colOff>1653152</xdr:colOff>
      <xdr:row>114</xdr:row>
      <xdr:rowOff>1177397</xdr:rowOff>
    </xdr:to>
    <xdr:pic>
      <xdr:nvPicPr>
        <xdr:cNvPr id="231" name="Picture 230">
          <a:extLst>
            <a:ext uri="{FF2B5EF4-FFF2-40B4-BE49-F238E27FC236}">
              <a16:creationId xmlns:a16="http://schemas.microsoft.com/office/drawing/2014/main" id="{B5C8A075-24C2-5007-8F96-9DEEDF63083A}"/>
            </a:ext>
          </a:extLst>
        </xdr:cNvPr>
        <xdr:cNvPicPr>
          <a:picLocks noChangeAspect="1"/>
        </xdr:cNvPicPr>
      </xdr:nvPicPr>
      <xdr:blipFill>
        <a:blip xmlns:r="http://schemas.openxmlformats.org/officeDocument/2006/relationships" r:link="rId107"/>
        <a:stretch>
          <a:fillRect/>
        </a:stretch>
      </xdr:blipFill>
      <xdr:spPr>
        <a:xfrm>
          <a:off x="28452305" y="159219255"/>
          <a:ext cx="968644" cy="970752"/>
        </a:xfrm>
        <a:prstGeom prst="rect">
          <a:avLst/>
        </a:prstGeom>
      </xdr:spPr>
    </xdr:pic>
    <xdr:clientData/>
  </xdr:twoCellAnchor>
  <xdr:twoCellAnchor editAs="oneCell">
    <xdr:from>
      <xdr:col>12</xdr:col>
      <xdr:colOff>684508</xdr:colOff>
      <xdr:row>115</xdr:row>
      <xdr:rowOff>206643</xdr:rowOff>
    </xdr:from>
    <xdr:to>
      <xdr:col>12</xdr:col>
      <xdr:colOff>1653152</xdr:colOff>
      <xdr:row>115</xdr:row>
      <xdr:rowOff>1177395</xdr:rowOff>
    </xdr:to>
    <xdr:pic>
      <xdr:nvPicPr>
        <xdr:cNvPr id="233" name="Picture 232">
          <a:extLst>
            <a:ext uri="{FF2B5EF4-FFF2-40B4-BE49-F238E27FC236}">
              <a16:creationId xmlns:a16="http://schemas.microsoft.com/office/drawing/2014/main" id="{BBB61087-E7FF-292B-1FD5-6EE17C0CAB3A}"/>
            </a:ext>
          </a:extLst>
        </xdr:cNvPr>
        <xdr:cNvPicPr>
          <a:picLocks noChangeAspect="1"/>
        </xdr:cNvPicPr>
      </xdr:nvPicPr>
      <xdr:blipFill>
        <a:blip xmlns:r="http://schemas.openxmlformats.org/officeDocument/2006/relationships" r:link="rId108"/>
        <a:stretch>
          <a:fillRect/>
        </a:stretch>
      </xdr:blipFill>
      <xdr:spPr>
        <a:xfrm>
          <a:off x="28452305" y="160614101"/>
          <a:ext cx="968644" cy="970752"/>
        </a:xfrm>
        <a:prstGeom prst="rect">
          <a:avLst/>
        </a:prstGeom>
      </xdr:spPr>
    </xdr:pic>
    <xdr:clientData/>
  </xdr:twoCellAnchor>
  <xdr:twoCellAnchor editAs="oneCell">
    <xdr:from>
      <xdr:col>12</xdr:col>
      <xdr:colOff>684508</xdr:colOff>
      <xdr:row>116</xdr:row>
      <xdr:rowOff>206254</xdr:rowOff>
    </xdr:from>
    <xdr:to>
      <xdr:col>12</xdr:col>
      <xdr:colOff>1653152</xdr:colOff>
      <xdr:row>116</xdr:row>
      <xdr:rowOff>1177598</xdr:rowOff>
    </xdr:to>
    <xdr:pic>
      <xdr:nvPicPr>
        <xdr:cNvPr id="235" name="Picture 234">
          <a:extLst>
            <a:ext uri="{FF2B5EF4-FFF2-40B4-BE49-F238E27FC236}">
              <a16:creationId xmlns:a16="http://schemas.microsoft.com/office/drawing/2014/main" id="{FFB20FB5-28B9-802A-FB69-760C55F5ACA0}"/>
            </a:ext>
          </a:extLst>
        </xdr:cNvPr>
        <xdr:cNvPicPr>
          <a:picLocks noChangeAspect="1"/>
        </xdr:cNvPicPr>
      </xdr:nvPicPr>
      <xdr:blipFill>
        <a:blip xmlns:r="http://schemas.openxmlformats.org/officeDocument/2006/relationships" r:link="rId109"/>
        <a:stretch>
          <a:fillRect/>
        </a:stretch>
      </xdr:blipFill>
      <xdr:spPr>
        <a:xfrm>
          <a:off x="28452305" y="162008559"/>
          <a:ext cx="968644" cy="971344"/>
        </a:xfrm>
        <a:prstGeom prst="rect">
          <a:avLst/>
        </a:prstGeom>
      </xdr:spPr>
    </xdr:pic>
    <xdr:clientData/>
  </xdr:twoCellAnchor>
  <xdr:twoCellAnchor editAs="oneCell">
    <xdr:from>
      <xdr:col>12</xdr:col>
      <xdr:colOff>684508</xdr:colOff>
      <xdr:row>117</xdr:row>
      <xdr:rowOff>206249</xdr:rowOff>
    </xdr:from>
    <xdr:to>
      <xdr:col>12</xdr:col>
      <xdr:colOff>1653152</xdr:colOff>
      <xdr:row>117</xdr:row>
      <xdr:rowOff>1177594</xdr:rowOff>
    </xdr:to>
    <xdr:pic>
      <xdr:nvPicPr>
        <xdr:cNvPr id="237" name="Picture 236">
          <a:extLst>
            <a:ext uri="{FF2B5EF4-FFF2-40B4-BE49-F238E27FC236}">
              <a16:creationId xmlns:a16="http://schemas.microsoft.com/office/drawing/2014/main" id="{518A94D7-FAEE-196E-BF65-9EC7B26EFE03}"/>
            </a:ext>
          </a:extLst>
        </xdr:cNvPr>
        <xdr:cNvPicPr>
          <a:picLocks noChangeAspect="1"/>
        </xdr:cNvPicPr>
      </xdr:nvPicPr>
      <xdr:blipFill>
        <a:blip xmlns:r="http://schemas.openxmlformats.org/officeDocument/2006/relationships" r:link="rId110"/>
        <a:stretch>
          <a:fillRect/>
        </a:stretch>
      </xdr:blipFill>
      <xdr:spPr>
        <a:xfrm>
          <a:off x="28452305" y="163403402"/>
          <a:ext cx="968644" cy="971345"/>
        </a:xfrm>
        <a:prstGeom prst="rect">
          <a:avLst/>
        </a:prstGeom>
      </xdr:spPr>
    </xdr:pic>
    <xdr:clientData/>
  </xdr:twoCellAnchor>
  <xdr:twoCellAnchor editAs="oneCell">
    <xdr:from>
      <xdr:col>12</xdr:col>
      <xdr:colOff>684508</xdr:colOff>
      <xdr:row>118</xdr:row>
      <xdr:rowOff>206648</xdr:rowOff>
    </xdr:from>
    <xdr:to>
      <xdr:col>12</xdr:col>
      <xdr:colOff>1653152</xdr:colOff>
      <xdr:row>118</xdr:row>
      <xdr:rowOff>1177400</xdr:rowOff>
    </xdr:to>
    <xdr:pic>
      <xdr:nvPicPr>
        <xdr:cNvPr id="239" name="Picture 238">
          <a:extLst>
            <a:ext uri="{FF2B5EF4-FFF2-40B4-BE49-F238E27FC236}">
              <a16:creationId xmlns:a16="http://schemas.microsoft.com/office/drawing/2014/main" id="{84D7F59F-BF7B-437C-61E9-9185B52C37F7}"/>
            </a:ext>
          </a:extLst>
        </xdr:cNvPr>
        <xdr:cNvPicPr>
          <a:picLocks noChangeAspect="1"/>
        </xdr:cNvPicPr>
      </xdr:nvPicPr>
      <xdr:blipFill>
        <a:blip xmlns:r="http://schemas.openxmlformats.org/officeDocument/2006/relationships" r:link="rId111"/>
        <a:stretch>
          <a:fillRect/>
        </a:stretch>
      </xdr:blipFill>
      <xdr:spPr>
        <a:xfrm>
          <a:off x="28452305" y="164798648"/>
          <a:ext cx="968644" cy="970752"/>
        </a:xfrm>
        <a:prstGeom prst="rect">
          <a:avLst/>
        </a:prstGeom>
      </xdr:spPr>
    </xdr:pic>
    <xdr:clientData/>
  </xdr:twoCellAnchor>
  <xdr:twoCellAnchor editAs="oneCell">
    <xdr:from>
      <xdr:col>12</xdr:col>
      <xdr:colOff>684508</xdr:colOff>
      <xdr:row>119</xdr:row>
      <xdr:rowOff>206645</xdr:rowOff>
    </xdr:from>
    <xdr:to>
      <xdr:col>12</xdr:col>
      <xdr:colOff>1653152</xdr:colOff>
      <xdr:row>119</xdr:row>
      <xdr:rowOff>1177397</xdr:rowOff>
    </xdr:to>
    <xdr:pic>
      <xdr:nvPicPr>
        <xdr:cNvPr id="241" name="Picture 240">
          <a:extLst>
            <a:ext uri="{FF2B5EF4-FFF2-40B4-BE49-F238E27FC236}">
              <a16:creationId xmlns:a16="http://schemas.microsoft.com/office/drawing/2014/main" id="{FD57BC6E-FDF2-BD8C-CA08-1070C1809AC7}"/>
            </a:ext>
          </a:extLst>
        </xdr:cNvPr>
        <xdr:cNvPicPr>
          <a:picLocks noChangeAspect="1"/>
        </xdr:cNvPicPr>
      </xdr:nvPicPr>
      <xdr:blipFill>
        <a:blip xmlns:r="http://schemas.openxmlformats.org/officeDocument/2006/relationships" r:link="rId112"/>
        <a:stretch>
          <a:fillRect/>
        </a:stretch>
      </xdr:blipFill>
      <xdr:spPr>
        <a:xfrm>
          <a:off x="28452305" y="166193492"/>
          <a:ext cx="968644" cy="970752"/>
        </a:xfrm>
        <a:prstGeom prst="rect">
          <a:avLst/>
        </a:prstGeom>
      </xdr:spPr>
    </xdr:pic>
    <xdr:clientData/>
  </xdr:twoCellAnchor>
  <xdr:twoCellAnchor editAs="oneCell">
    <xdr:from>
      <xdr:col>12</xdr:col>
      <xdr:colOff>684508</xdr:colOff>
      <xdr:row>120</xdr:row>
      <xdr:rowOff>206643</xdr:rowOff>
    </xdr:from>
    <xdr:to>
      <xdr:col>12</xdr:col>
      <xdr:colOff>1653152</xdr:colOff>
      <xdr:row>120</xdr:row>
      <xdr:rowOff>1177395</xdr:rowOff>
    </xdr:to>
    <xdr:pic>
      <xdr:nvPicPr>
        <xdr:cNvPr id="243" name="Picture 242">
          <a:extLst>
            <a:ext uri="{FF2B5EF4-FFF2-40B4-BE49-F238E27FC236}">
              <a16:creationId xmlns:a16="http://schemas.microsoft.com/office/drawing/2014/main" id="{04DAE336-C08F-B02E-3A9D-08B34A305B11}"/>
            </a:ext>
          </a:extLst>
        </xdr:cNvPr>
        <xdr:cNvPicPr>
          <a:picLocks noChangeAspect="1"/>
        </xdr:cNvPicPr>
      </xdr:nvPicPr>
      <xdr:blipFill>
        <a:blip xmlns:r="http://schemas.openxmlformats.org/officeDocument/2006/relationships" r:link="rId113"/>
        <a:stretch>
          <a:fillRect/>
        </a:stretch>
      </xdr:blipFill>
      <xdr:spPr>
        <a:xfrm>
          <a:off x="28452305" y="167588338"/>
          <a:ext cx="968644" cy="970752"/>
        </a:xfrm>
        <a:prstGeom prst="rect">
          <a:avLst/>
        </a:prstGeom>
      </xdr:spPr>
    </xdr:pic>
    <xdr:clientData/>
  </xdr:twoCellAnchor>
  <xdr:twoCellAnchor editAs="oneCell">
    <xdr:from>
      <xdr:col>12</xdr:col>
      <xdr:colOff>684508</xdr:colOff>
      <xdr:row>121</xdr:row>
      <xdr:rowOff>206254</xdr:rowOff>
    </xdr:from>
    <xdr:to>
      <xdr:col>12</xdr:col>
      <xdr:colOff>1653152</xdr:colOff>
      <xdr:row>121</xdr:row>
      <xdr:rowOff>1177598</xdr:rowOff>
    </xdr:to>
    <xdr:pic>
      <xdr:nvPicPr>
        <xdr:cNvPr id="245" name="Picture 244">
          <a:extLst>
            <a:ext uri="{FF2B5EF4-FFF2-40B4-BE49-F238E27FC236}">
              <a16:creationId xmlns:a16="http://schemas.microsoft.com/office/drawing/2014/main" id="{06D99A7B-F35C-E533-D7BE-357719853655}"/>
            </a:ext>
          </a:extLst>
        </xdr:cNvPr>
        <xdr:cNvPicPr>
          <a:picLocks noChangeAspect="1"/>
        </xdr:cNvPicPr>
      </xdr:nvPicPr>
      <xdr:blipFill>
        <a:blip xmlns:r="http://schemas.openxmlformats.org/officeDocument/2006/relationships" r:link="rId114"/>
        <a:stretch>
          <a:fillRect/>
        </a:stretch>
      </xdr:blipFill>
      <xdr:spPr>
        <a:xfrm>
          <a:off x="28452305" y="168982796"/>
          <a:ext cx="968644" cy="971344"/>
        </a:xfrm>
        <a:prstGeom prst="rect">
          <a:avLst/>
        </a:prstGeom>
      </xdr:spPr>
    </xdr:pic>
    <xdr:clientData/>
  </xdr:twoCellAnchor>
  <xdr:twoCellAnchor editAs="oneCell">
    <xdr:from>
      <xdr:col>12</xdr:col>
      <xdr:colOff>684508</xdr:colOff>
      <xdr:row>122</xdr:row>
      <xdr:rowOff>206249</xdr:rowOff>
    </xdr:from>
    <xdr:to>
      <xdr:col>12</xdr:col>
      <xdr:colOff>1653152</xdr:colOff>
      <xdr:row>122</xdr:row>
      <xdr:rowOff>1177594</xdr:rowOff>
    </xdr:to>
    <xdr:pic>
      <xdr:nvPicPr>
        <xdr:cNvPr id="247" name="Picture 246">
          <a:extLst>
            <a:ext uri="{FF2B5EF4-FFF2-40B4-BE49-F238E27FC236}">
              <a16:creationId xmlns:a16="http://schemas.microsoft.com/office/drawing/2014/main" id="{148B0AD5-92C8-35A8-119B-8B1C51BF35FF}"/>
            </a:ext>
          </a:extLst>
        </xdr:cNvPr>
        <xdr:cNvPicPr>
          <a:picLocks noChangeAspect="1"/>
        </xdr:cNvPicPr>
      </xdr:nvPicPr>
      <xdr:blipFill>
        <a:blip xmlns:r="http://schemas.openxmlformats.org/officeDocument/2006/relationships" r:link="rId115"/>
        <a:stretch>
          <a:fillRect/>
        </a:stretch>
      </xdr:blipFill>
      <xdr:spPr>
        <a:xfrm>
          <a:off x="28452305" y="170377639"/>
          <a:ext cx="968644" cy="971345"/>
        </a:xfrm>
        <a:prstGeom prst="rect">
          <a:avLst/>
        </a:prstGeom>
      </xdr:spPr>
    </xdr:pic>
    <xdr:clientData/>
  </xdr:twoCellAnchor>
  <xdr:twoCellAnchor editAs="oneCell">
    <xdr:from>
      <xdr:col>12</xdr:col>
      <xdr:colOff>684508</xdr:colOff>
      <xdr:row>123</xdr:row>
      <xdr:rowOff>206648</xdr:rowOff>
    </xdr:from>
    <xdr:to>
      <xdr:col>12</xdr:col>
      <xdr:colOff>1653152</xdr:colOff>
      <xdr:row>123</xdr:row>
      <xdr:rowOff>1177400</xdr:rowOff>
    </xdr:to>
    <xdr:pic>
      <xdr:nvPicPr>
        <xdr:cNvPr id="249" name="Picture 248">
          <a:extLst>
            <a:ext uri="{FF2B5EF4-FFF2-40B4-BE49-F238E27FC236}">
              <a16:creationId xmlns:a16="http://schemas.microsoft.com/office/drawing/2014/main" id="{9EE1F08F-3A12-91E5-E1A6-9211304FDD06}"/>
            </a:ext>
          </a:extLst>
        </xdr:cNvPr>
        <xdr:cNvPicPr>
          <a:picLocks noChangeAspect="1"/>
        </xdr:cNvPicPr>
      </xdr:nvPicPr>
      <xdr:blipFill>
        <a:blip xmlns:r="http://schemas.openxmlformats.org/officeDocument/2006/relationships" r:link="rId116"/>
        <a:stretch>
          <a:fillRect/>
        </a:stretch>
      </xdr:blipFill>
      <xdr:spPr>
        <a:xfrm>
          <a:off x="28452305" y="171772885"/>
          <a:ext cx="968644" cy="970752"/>
        </a:xfrm>
        <a:prstGeom prst="rect">
          <a:avLst/>
        </a:prstGeom>
      </xdr:spPr>
    </xdr:pic>
    <xdr:clientData/>
  </xdr:twoCellAnchor>
  <xdr:twoCellAnchor editAs="oneCell">
    <xdr:from>
      <xdr:col>12</xdr:col>
      <xdr:colOff>684508</xdr:colOff>
      <xdr:row>124</xdr:row>
      <xdr:rowOff>206645</xdr:rowOff>
    </xdr:from>
    <xdr:to>
      <xdr:col>12</xdr:col>
      <xdr:colOff>1653152</xdr:colOff>
      <xdr:row>124</xdr:row>
      <xdr:rowOff>1177397</xdr:rowOff>
    </xdr:to>
    <xdr:pic>
      <xdr:nvPicPr>
        <xdr:cNvPr id="251" name="Picture 250">
          <a:extLst>
            <a:ext uri="{FF2B5EF4-FFF2-40B4-BE49-F238E27FC236}">
              <a16:creationId xmlns:a16="http://schemas.microsoft.com/office/drawing/2014/main" id="{26247E21-A73F-84EF-C156-C61879C24569}"/>
            </a:ext>
          </a:extLst>
        </xdr:cNvPr>
        <xdr:cNvPicPr>
          <a:picLocks noChangeAspect="1"/>
        </xdr:cNvPicPr>
      </xdr:nvPicPr>
      <xdr:blipFill>
        <a:blip xmlns:r="http://schemas.openxmlformats.org/officeDocument/2006/relationships" r:link="rId117"/>
        <a:stretch>
          <a:fillRect/>
        </a:stretch>
      </xdr:blipFill>
      <xdr:spPr>
        <a:xfrm>
          <a:off x="28452305" y="173167730"/>
          <a:ext cx="968644" cy="970752"/>
        </a:xfrm>
        <a:prstGeom prst="rect">
          <a:avLst/>
        </a:prstGeom>
      </xdr:spPr>
    </xdr:pic>
    <xdr:clientData/>
  </xdr:twoCellAnchor>
  <xdr:twoCellAnchor editAs="oneCell">
    <xdr:from>
      <xdr:col>12</xdr:col>
      <xdr:colOff>684508</xdr:colOff>
      <xdr:row>125</xdr:row>
      <xdr:rowOff>206643</xdr:rowOff>
    </xdr:from>
    <xdr:to>
      <xdr:col>12</xdr:col>
      <xdr:colOff>1653152</xdr:colOff>
      <xdr:row>125</xdr:row>
      <xdr:rowOff>1177395</xdr:rowOff>
    </xdr:to>
    <xdr:pic>
      <xdr:nvPicPr>
        <xdr:cNvPr id="253" name="Picture 252">
          <a:extLst>
            <a:ext uri="{FF2B5EF4-FFF2-40B4-BE49-F238E27FC236}">
              <a16:creationId xmlns:a16="http://schemas.microsoft.com/office/drawing/2014/main" id="{D7E40DD5-8A94-5697-854B-84BA39841A74}"/>
            </a:ext>
          </a:extLst>
        </xdr:cNvPr>
        <xdr:cNvPicPr>
          <a:picLocks noChangeAspect="1"/>
        </xdr:cNvPicPr>
      </xdr:nvPicPr>
      <xdr:blipFill>
        <a:blip xmlns:r="http://schemas.openxmlformats.org/officeDocument/2006/relationships" r:link="rId118"/>
        <a:stretch>
          <a:fillRect/>
        </a:stretch>
      </xdr:blipFill>
      <xdr:spPr>
        <a:xfrm>
          <a:off x="28452305" y="174562575"/>
          <a:ext cx="968644" cy="970752"/>
        </a:xfrm>
        <a:prstGeom prst="rect">
          <a:avLst/>
        </a:prstGeom>
      </xdr:spPr>
    </xdr:pic>
    <xdr:clientData/>
  </xdr:twoCellAnchor>
  <xdr:twoCellAnchor editAs="oneCell">
    <xdr:from>
      <xdr:col>12</xdr:col>
      <xdr:colOff>684508</xdr:colOff>
      <xdr:row>126</xdr:row>
      <xdr:rowOff>206252</xdr:rowOff>
    </xdr:from>
    <xdr:to>
      <xdr:col>12</xdr:col>
      <xdr:colOff>1653152</xdr:colOff>
      <xdr:row>126</xdr:row>
      <xdr:rowOff>1177597</xdr:rowOff>
    </xdr:to>
    <xdr:pic>
      <xdr:nvPicPr>
        <xdr:cNvPr id="255" name="Picture 254">
          <a:extLst>
            <a:ext uri="{FF2B5EF4-FFF2-40B4-BE49-F238E27FC236}">
              <a16:creationId xmlns:a16="http://schemas.microsoft.com/office/drawing/2014/main" id="{36FFB3F8-820B-9AC8-DE68-1D8135E196BF}"/>
            </a:ext>
          </a:extLst>
        </xdr:cNvPr>
        <xdr:cNvPicPr>
          <a:picLocks noChangeAspect="1"/>
        </xdr:cNvPicPr>
      </xdr:nvPicPr>
      <xdr:blipFill>
        <a:blip xmlns:r="http://schemas.openxmlformats.org/officeDocument/2006/relationships" r:link="rId119"/>
        <a:stretch>
          <a:fillRect/>
        </a:stretch>
      </xdr:blipFill>
      <xdr:spPr>
        <a:xfrm>
          <a:off x="28452305" y="175957032"/>
          <a:ext cx="968644" cy="971345"/>
        </a:xfrm>
        <a:prstGeom prst="rect">
          <a:avLst/>
        </a:prstGeom>
      </xdr:spPr>
    </xdr:pic>
    <xdr:clientData/>
  </xdr:twoCellAnchor>
  <xdr:twoCellAnchor editAs="oneCell">
    <xdr:from>
      <xdr:col>12</xdr:col>
      <xdr:colOff>684508</xdr:colOff>
      <xdr:row>127</xdr:row>
      <xdr:rowOff>206251</xdr:rowOff>
    </xdr:from>
    <xdr:to>
      <xdr:col>12</xdr:col>
      <xdr:colOff>1653152</xdr:colOff>
      <xdr:row>127</xdr:row>
      <xdr:rowOff>1177595</xdr:rowOff>
    </xdr:to>
    <xdr:pic>
      <xdr:nvPicPr>
        <xdr:cNvPr id="257" name="Picture 256">
          <a:extLst>
            <a:ext uri="{FF2B5EF4-FFF2-40B4-BE49-F238E27FC236}">
              <a16:creationId xmlns:a16="http://schemas.microsoft.com/office/drawing/2014/main" id="{2AC11A9D-72AB-FE1C-4A18-4841C0FAE077}"/>
            </a:ext>
          </a:extLst>
        </xdr:cNvPr>
        <xdr:cNvPicPr>
          <a:picLocks noChangeAspect="1"/>
        </xdr:cNvPicPr>
      </xdr:nvPicPr>
      <xdr:blipFill>
        <a:blip xmlns:r="http://schemas.openxmlformats.org/officeDocument/2006/relationships" r:link="rId120"/>
        <a:stretch>
          <a:fillRect/>
        </a:stretch>
      </xdr:blipFill>
      <xdr:spPr>
        <a:xfrm>
          <a:off x="28452305" y="177351878"/>
          <a:ext cx="968644" cy="971344"/>
        </a:xfrm>
        <a:prstGeom prst="rect">
          <a:avLst/>
        </a:prstGeom>
      </xdr:spPr>
    </xdr:pic>
    <xdr:clientData/>
  </xdr:twoCellAnchor>
  <xdr:twoCellAnchor editAs="oneCell">
    <xdr:from>
      <xdr:col>12</xdr:col>
      <xdr:colOff>684508</xdr:colOff>
      <xdr:row>128</xdr:row>
      <xdr:rowOff>206648</xdr:rowOff>
    </xdr:from>
    <xdr:to>
      <xdr:col>12</xdr:col>
      <xdr:colOff>1653152</xdr:colOff>
      <xdr:row>128</xdr:row>
      <xdr:rowOff>1177400</xdr:rowOff>
    </xdr:to>
    <xdr:pic>
      <xdr:nvPicPr>
        <xdr:cNvPr id="259" name="Picture 258">
          <a:extLst>
            <a:ext uri="{FF2B5EF4-FFF2-40B4-BE49-F238E27FC236}">
              <a16:creationId xmlns:a16="http://schemas.microsoft.com/office/drawing/2014/main" id="{C87F1234-CC0F-A4AB-AC65-EA6A0C25917E}"/>
            </a:ext>
          </a:extLst>
        </xdr:cNvPr>
        <xdr:cNvPicPr>
          <a:picLocks noChangeAspect="1"/>
        </xdr:cNvPicPr>
      </xdr:nvPicPr>
      <xdr:blipFill>
        <a:blip xmlns:r="http://schemas.openxmlformats.org/officeDocument/2006/relationships" r:link="rId121"/>
        <a:stretch>
          <a:fillRect/>
        </a:stretch>
      </xdr:blipFill>
      <xdr:spPr>
        <a:xfrm>
          <a:off x="28452305" y="178747123"/>
          <a:ext cx="968644" cy="970752"/>
        </a:xfrm>
        <a:prstGeom prst="rect">
          <a:avLst/>
        </a:prstGeom>
      </xdr:spPr>
    </xdr:pic>
    <xdr:clientData/>
  </xdr:twoCellAnchor>
  <xdr:twoCellAnchor editAs="oneCell">
    <xdr:from>
      <xdr:col>12</xdr:col>
      <xdr:colOff>684508</xdr:colOff>
      <xdr:row>129</xdr:row>
      <xdr:rowOff>206645</xdr:rowOff>
    </xdr:from>
    <xdr:to>
      <xdr:col>12</xdr:col>
      <xdr:colOff>1653152</xdr:colOff>
      <xdr:row>129</xdr:row>
      <xdr:rowOff>1177397</xdr:rowOff>
    </xdr:to>
    <xdr:pic>
      <xdr:nvPicPr>
        <xdr:cNvPr id="261" name="Picture 260">
          <a:extLst>
            <a:ext uri="{FF2B5EF4-FFF2-40B4-BE49-F238E27FC236}">
              <a16:creationId xmlns:a16="http://schemas.microsoft.com/office/drawing/2014/main" id="{548D6F4F-8395-2088-EFF0-11B2BD304C8D}"/>
            </a:ext>
          </a:extLst>
        </xdr:cNvPr>
        <xdr:cNvPicPr>
          <a:picLocks noChangeAspect="1"/>
        </xdr:cNvPicPr>
      </xdr:nvPicPr>
      <xdr:blipFill>
        <a:blip xmlns:r="http://schemas.openxmlformats.org/officeDocument/2006/relationships" r:link="rId122"/>
        <a:stretch>
          <a:fillRect/>
        </a:stretch>
      </xdr:blipFill>
      <xdr:spPr>
        <a:xfrm>
          <a:off x="28452305" y="180141967"/>
          <a:ext cx="968644" cy="970752"/>
        </a:xfrm>
        <a:prstGeom prst="rect">
          <a:avLst/>
        </a:prstGeom>
      </xdr:spPr>
    </xdr:pic>
    <xdr:clientData/>
  </xdr:twoCellAnchor>
  <xdr:twoCellAnchor editAs="oneCell">
    <xdr:from>
      <xdr:col>12</xdr:col>
      <xdr:colOff>684508</xdr:colOff>
      <xdr:row>130</xdr:row>
      <xdr:rowOff>206643</xdr:rowOff>
    </xdr:from>
    <xdr:to>
      <xdr:col>12</xdr:col>
      <xdr:colOff>1653152</xdr:colOff>
      <xdr:row>130</xdr:row>
      <xdr:rowOff>1177395</xdr:rowOff>
    </xdr:to>
    <xdr:pic>
      <xdr:nvPicPr>
        <xdr:cNvPr id="263" name="Picture 262">
          <a:extLst>
            <a:ext uri="{FF2B5EF4-FFF2-40B4-BE49-F238E27FC236}">
              <a16:creationId xmlns:a16="http://schemas.microsoft.com/office/drawing/2014/main" id="{807EE1B1-9BE7-CB52-A65E-B4875C975AFF}"/>
            </a:ext>
          </a:extLst>
        </xdr:cNvPr>
        <xdr:cNvPicPr>
          <a:picLocks noChangeAspect="1"/>
        </xdr:cNvPicPr>
      </xdr:nvPicPr>
      <xdr:blipFill>
        <a:blip xmlns:r="http://schemas.openxmlformats.org/officeDocument/2006/relationships" r:link="rId123"/>
        <a:stretch>
          <a:fillRect/>
        </a:stretch>
      </xdr:blipFill>
      <xdr:spPr>
        <a:xfrm>
          <a:off x="28452305" y="181536812"/>
          <a:ext cx="968644" cy="970752"/>
        </a:xfrm>
        <a:prstGeom prst="rect">
          <a:avLst/>
        </a:prstGeom>
      </xdr:spPr>
    </xdr:pic>
    <xdr:clientData/>
  </xdr:twoCellAnchor>
  <xdr:twoCellAnchor editAs="oneCell">
    <xdr:from>
      <xdr:col>12</xdr:col>
      <xdr:colOff>684508</xdr:colOff>
      <xdr:row>131</xdr:row>
      <xdr:rowOff>206252</xdr:rowOff>
    </xdr:from>
    <xdr:to>
      <xdr:col>12</xdr:col>
      <xdr:colOff>1653152</xdr:colOff>
      <xdr:row>131</xdr:row>
      <xdr:rowOff>1177597</xdr:rowOff>
    </xdr:to>
    <xdr:pic>
      <xdr:nvPicPr>
        <xdr:cNvPr id="265" name="Picture 264">
          <a:extLst>
            <a:ext uri="{FF2B5EF4-FFF2-40B4-BE49-F238E27FC236}">
              <a16:creationId xmlns:a16="http://schemas.microsoft.com/office/drawing/2014/main" id="{809A1F80-A426-437A-DA4C-679E19A82093}"/>
            </a:ext>
          </a:extLst>
        </xdr:cNvPr>
        <xdr:cNvPicPr>
          <a:picLocks noChangeAspect="1"/>
        </xdr:cNvPicPr>
      </xdr:nvPicPr>
      <xdr:blipFill>
        <a:blip xmlns:r="http://schemas.openxmlformats.org/officeDocument/2006/relationships" r:link="rId124"/>
        <a:stretch>
          <a:fillRect/>
        </a:stretch>
      </xdr:blipFill>
      <xdr:spPr>
        <a:xfrm>
          <a:off x="28452305" y="182931269"/>
          <a:ext cx="968644" cy="971345"/>
        </a:xfrm>
        <a:prstGeom prst="rect">
          <a:avLst/>
        </a:prstGeom>
      </xdr:spPr>
    </xdr:pic>
    <xdr:clientData/>
  </xdr:twoCellAnchor>
  <xdr:twoCellAnchor editAs="oneCell">
    <xdr:from>
      <xdr:col>12</xdr:col>
      <xdr:colOff>684508</xdr:colOff>
      <xdr:row>132</xdr:row>
      <xdr:rowOff>206251</xdr:rowOff>
    </xdr:from>
    <xdr:to>
      <xdr:col>12</xdr:col>
      <xdr:colOff>1653152</xdr:colOff>
      <xdr:row>132</xdr:row>
      <xdr:rowOff>1177595</xdr:rowOff>
    </xdr:to>
    <xdr:pic>
      <xdr:nvPicPr>
        <xdr:cNvPr id="267" name="Picture 266">
          <a:extLst>
            <a:ext uri="{FF2B5EF4-FFF2-40B4-BE49-F238E27FC236}">
              <a16:creationId xmlns:a16="http://schemas.microsoft.com/office/drawing/2014/main" id="{F45C7D8B-D32E-D979-CAB7-526EB3159B83}"/>
            </a:ext>
          </a:extLst>
        </xdr:cNvPr>
        <xdr:cNvPicPr>
          <a:picLocks noChangeAspect="1"/>
        </xdr:cNvPicPr>
      </xdr:nvPicPr>
      <xdr:blipFill>
        <a:blip xmlns:r="http://schemas.openxmlformats.org/officeDocument/2006/relationships" r:link="rId125"/>
        <a:stretch>
          <a:fillRect/>
        </a:stretch>
      </xdr:blipFill>
      <xdr:spPr>
        <a:xfrm>
          <a:off x="28452305" y="184326115"/>
          <a:ext cx="968644" cy="971344"/>
        </a:xfrm>
        <a:prstGeom prst="rect">
          <a:avLst/>
        </a:prstGeom>
      </xdr:spPr>
    </xdr:pic>
    <xdr:clientData/>
  </xdr:twoCellAnchor>
  <xdr:twoCellAnchor editAs="oneCell">
    <xdr:from>
      <xdr:col>12</xdr:col>
      <xdr:colOff>684508</xdr:colOff>
      <xdr:row>133</xdr:row>
      <xdr:rowOff>206648</xdr:rowOff>
    </xdr:from>
    <xdr:to>
      <xdr:col>12</xdr:col>
      <xdr:colOff>1653152</xdr:colOff>
      <xdr:row>133</xdr:row>
      <xdr:rowOff>1177400</xdr:rowOff>
    </xdr:to>
    <xdr:pic>
      <xdr:nvPicPr>
        <xdr:cNvPr id="269" name="Picture 268">
          <a:extLst>
            <a:ext uri="{FF2B5EF4-FFF2-40B4-BE49-F238E27FC236}">
              <a16:creationId xmlns:a16="http://schemas.microsoft.com/office/drawing/2014/main" id="{75007A5D-415B-1150-3CD5-BBC578BC1CA6}"/>
            </a:ext>
          </a:extLst>
        </xdr:cNvPr>
        <xdr:cNvPicPr>
          <a:picLocks noChangeAspect="1"/>
        </xdr:cNvPicPr>
      </xdr:nvPicPr>
      <xdr:blipFill>
        <a:blip xmlns:r="http://schemas.openxmlformats.org/officeDocument/2006/relationships" r:link="rId126"/>
        <a:stretch>
          <a:fillRect/>
        </a:stretch>
      </xdr:blipFill>
      <xdr:spPr>
        <a:xfrm>
          <a:off x="28452305" y="185721360"/>
          <a:ext cx="968644" cy="970752"/>
        </a:xfrm>
        <a:prstGeom prst="rect">
          <a:avLst/>
        </a:prstGeom>
      </xdr:spPr>
    </xdr:pic>
    <xdr:clientData/>
  </xdr:twoCellAnchor>
  <xdr:twoCellAnchor editAs="oneCell">
    <xdr:from>
      <xdr:col>12</xdr:col>
      <xdr:colOff>684508</xdr:colOff>
      <xdr:row>134</xdr:row>
      <xdr:rowOff>206645</xdr:rowOff>
    </xdr:from>
    <xdr:to>
      <xdr:col>12</xdr:col>
      <xdr:colOff>1653152</xdr:colOff>
      <xdr:row>134</xdr:row>
      <xdr:rowOff>1177397</xdr:rowOff>
    </xdr:to>
    <xdr:pic>
      <xdr:nvPicPr>
        <xdr:cNvPr id="271" name="Picture 270">
          <a:extLst>
            <a:ext uri="{FF2B5EF4-FFF2-40B4-BE49-F238E27FC236}">
              <a16:creationId xmlns:a16="http://schemas.microsoft.com/office/drawing/2014/main" id="{9D962C0B-A808-B218-4FC8-2E6B5BE7C058}"/>
            </a:ext>
          </a:extLst>
        </xdr:cNvPr>
        <xdr:cNvPicPr>
          <a:picLocks noChangeAspect="1"/>
        </xdr:cNvPicPr>
      </xdr:nvPicPr>
      <xdr:blipFill>
        <a:blip xmlns:r="http://schemas.openxmlformats.org/officeDocument/2006/relationships" r:link="rId127"/>
        <a:stretch>
          <a:fillRect/>
        </a:stretch>
      </xdr:blipFill>
      <xdr:spPr>
        <a:xfrm>
          <a:off x="28452305" y="187116204"/>
          <a:ext cx="968644" cy="970752"/>
        </a:xfrm>
        <a:prstGeom prst="rect">
          <a:avLst/>
        </a:prstGeom>
      </xdr:spPr>
    </xdr:pic>
    <xdr:clientData/>
  </xdr:twoCellAnchor>
  <xdr:twoCellAnchor editAs="oneCell">
    <xdr:from>
      <xdr:col>12</xdr:col>
      <xdr:colOff>684508</xdr:colOff>
      <xdr:row>135</xdr:row>
      <xdr:rowOff>206643</xdr:rowOff>
    </xdr:from>
    <xdr:to>
      <xdr:col>12</xdr:col>
      <xdr:colOff>1653152</xdr:colOff>
      <xdr:row>135</xdr:row>
      <xdr:rowOff>1177395</xdr:rowOff>
    </xdr:to>
    <xdr:pic>
      <xdr:nvPicPr>
        <xdr:cNvPr id="273" name="Picture 272">
          <a:extLst>
            <a:ext uri="{FF2B5EF4-FFF2-40B4-BE49-F238E27FC236}">
              <a16:creationId xmlns:a16="http://schemas.microsoft.com/office/drawing/2014/main" id="{A0E77F12-6A69-4B2D-6393-C2BF8BA1A98B}"/>
            </a:ext>
          </a:extLst>
        </xdr:cNvPr>
        <xdr:cNvPicPr>
          <a:picLocks noChangeAspect="1"/>
        </xdr:cNvPicPr>
      </xdr:nvPicPr>
      <xdr:blipFill>
        <a:blip xmlns:r="http://schemas.openxmlformats.org/officeDocument/2006/relationships" r:link="rId128"/>
        <a:stretch>
          <a:fillRect/>
        </a:stretch>
      </xdr:blipFill>
      <xdr:spPr>
        <a:xfrm>
          <a:off x="28452305" y="188511050"/>
          <a:ext cx="968644" cy="970752"/>
        </a:xfrm>
        <a:prstGeom prst="rect">
          <a:avLst/>
        </a:prstGeom>
      </xdr:spPr>
    </xdr:pic>
    <xdr:clientData/>
  </xdr:twoCellAnchor>
  <xdr:twoCellAnchor editAs="oneCell">
    <xdr:from>
      <xdr:col>12</xdr:col>
      <xdr:colOff>684508</xdr:colOff>
      <xdr:row>136</xdr:row>
      <xdr:rowOff>206254</xdr:rowOff>
    </xdr:from>
    <xdr:to>
      <xdr:col>12</xdr:col>
      <xdr:colOff>1653152</xdr:colOff>
      <xdr:row>136</xdr:row>
      <xdr:rowOff>1177598</xdr:rowOff>
    </xdr:to>
    <xdr:pic>
      <xdr:nvPicPr>
        <xdr:cNvPr id="275" name="Picture 274">
          <a:extLst>
            <a:ext uri="{FF2B5EF4-FFF2-40B4-BE49-F238E27FC236}">
              <a16:creationId xmlns:a16="http://schemas.microsoft.com/office/drawing/2014/main" id="{F9F208C9-B7E6-1369-8D23-6CC19FB5973C}"/>
            </a:ext>
          </a:extLst>
        </xdr:cNvPr>
        <xdr:cNvPicPr>
          <a:picLocks noChangeAspect="1"/>
        </xdr:cNvPicPr>
      </xdr:nvPicPr>
      <xdr:blipFill>
        <a:blip xmlns:r="http://schemas.openxmlformats.org/officeDocument/2006/relationships" r:link="rId129"/>
        <a:stretch>
          <a:fillRect/>
        </a:stretch>
      </xdr:blipFill>
      <xdr:spPr>
        <a:xfrm>
          <a:off x="28452305" y="189905508"/>
          <a:ext cx="968644" cy="971344"/>
        </a:xfrm>
        <a:prstGeom prst="rect">
          <a:avLst/>
        </a:prstGeom>
      </xdr:spPr>
    </xdr:pic>
    <xdr:clientData/>
  </xdr:twoCellAnchor>
  <xdr:twoCellAnchor editAs="oneCell">
    <xdr:from>
      <xdr:col>12</xdr:col>
      <xdr:colOff>684508</xdr:colOff>
      <xdr:row>137</xdr:row>
      <xdr:rowOff>206249</xdr:rowOff>
    </xdr:from>
    <xdr:to>
      <xdr:col>12</xdr:col>
      <xdr:colOff>1653152</xdr:colOff>
      <xdr:row>137</xdr:row>
      <xdr:rowOff>1177594</xdr:rowOff>
    </xdr:to>
    <xdr:pic>
      <xdr:nvPicPr>
        <xdr:cNvPr id="277" name="Picture 276">
          <a:extLst>
            <a:ext uri="{FF2B5EF4-FFF2-40B4-BE49-F238E27FC236}">
              <a16:creationId xmlns:a16="http://schemas.microsoft.com/office/drawing/2014/main" id="{62CE9B79-8269-1A2D-E2BE-6508F11DC883}"/>
            </a:ext>
          </a:extLst>
        </xdr:cNvPr>
        <xdr:cNvPicPr>
          <a:picLocks noChangeAspect="1"/>
        </xdr:cNvPicPr>
      </xdr:nvPicPr>
      <xdr:blipFill>
        <a:blip xmlns:r="http://schemas.openxmlformats.org/officeDocument/2006/relationships" r:link="rId130"/>
        <a:stretch>
          <a:fillRect/>
        </a:stretch>
      </xdr:blipFill>
      <xdr:spPr>
        <a:xfrm>
          <a:off x="28452305" y="191300351"/>
          <a:ext cx="968644" cy="971345"/>
        </a:xfrm>
        <a:prstGeom prst="rect">
          <a:avLst/>
        </a:prstGeom>
      </xdr:spPr>
    </xdr:pic>
    <xdr:clientData/>
  </xdr:twoCellAnchor>
  <xdr:twoCellAnchor editAs="oneCell">
    <xdr:from>
      <xdr:col>12</xdr:col>
      <xdr:colOff>684508</xdr:colOff>
      <xdr:row>138</xdr:row>
      <xdr:rowOff>206648</xdr:rowOff>
    </xdr:from>
    <xdr:to>
      <xdr:col>12</xdr:col>
      <xdr:colOff>1653152</xdr:colOff>
      <xdr:row>138</xdr:row>
      <xdr:rowOff>1177400</xdr:rowOff>
    </xdr:to>
    <xdr:pic>
      <xdr:nvPicPr>
        <xdr:cNvPr id="279" name="Picture 278">
          <a:extLst>
            <a:ext uri="{FF2B5EF4-FFF2-40B4-BE49-F238E27FC236}">
              <a16:creationId xmlns:a16="http://schemas.microsoft.com/office/drawing/2014/main" id="{980F7CD1-B61D-0A59-95A1-62FC45B3B382}"/>
            </a:ext>
          </a:extLst>
        </xdr:cNvPr>
        <xdr:cNvPicPr>
          <a:picLocks noChangeAspect="1"/>
        </xdr:cNvPicPr>
      </xdr:nvPicPr>
      <xdr:blipFill>
        <a:blip xmlns:r="http://schemas.openxmlformats.org/officeDocument/2006/relationships" r:link="rId131"/>
        <a:stretch>
          <a:fillRect/>
        </a:stretch>
      </xdr:blipFill>
      <xdr:spPr>
        <a:xfrm>
          <a:off x="28452305" y="192695597"/>
          <a:ext cx="968644" cy="970752"/>
        </a:xfrm>
        <a:prstGeom prst="rect">
          <a:avLst/>
        </a:prstGeom>
      </xdr:spPr>
    </xdr:pic>
    <xdr:clientData/>
  </xdr:twoCellAnchor>
  <xdr:twoCellAnchor editAs="oneCell">
    <xdr:from>
      <xdr:col>12</xdr:col>
      <xdr:colOff>684508</xdr:colOff>
      <xdr:row>139</xdr:row>
      <xdr:rowOff>206645</xdr:rowOff>
    </xdr:from>
    <xdr:to>
      <xdr:col>12</xdr:col>
      <xdr:colOff>1653152</xdr:colOff>
      <xdr:row>139</xdr:row>
      <xdr:rowOff>1177397</xdr:rowOff>
    </xdr:to>
    <xdr:pic>
      <xdr:nvPicPr>
        <xdr:cNvPr id="281" name="Picture 280">
          <a:extLst>
            <a:ext uri="{FF2B5EF4-FFF2-40B4-BE49-F238E27FC236}">
              <a16:creationId xmlns:a16="http://schemas.microsoft.com/office/drawing/2014/main" id="{B2413B3A-20C6-5753-7868-9627539D6ADC}"/>
            </a:ext>
          </a:extLst>
        </xdr:cNvPr>
        <xdr:cNvPicPr>
          <a:picLocks noChangeAspect="1"/>
        </xdr:cNvPicPr>
      </xdr:nvPicPr>
      <xdr:blipFill>
        <a:blip xmlns:r="http://schemas.openxmlformats.org/officeDocument/2006/relationships" r:link="rId132"/>
        <a:stretch>
          <a:fillRect/>
        </a:stretch>
      </xdr:blipFill>
      <xdr:spPr>
        <a:xfrm>
          <a:off x="28452305" y="194090442"/>
          <a:ext cx="968644" cy="970752"/>
        </a:xfrm>
        <a:prstGeom prst="rect">
          <a:avLst/>
        </a:prstGeom>
      </xdr:spPr>
    </xdr:pic>
    <xdr:clientData/>
  </xdr:twoCellAnchor>
  <xdr:twoCellAnchor editAs="oneCell">
    <xdr:from>
      <xdr:col>12</xdr:col>
      <xdr:colOff>684508</xdr:colOff>
      <xdr:row>140</xdr:row>
      <xdr:rowOff>206643</xdr:rowOff>
    </xdr:from>
    <xdr:to>
      <xdr:col>12</xdr:col>
      <xdr:colOff>1653152</xdr:colOff>
      <xdr:row>140</xdr:row>
      <xdr:rowOff>1177395</xdr:rowOff>
    </xdr:to>
    <xdr:pic>
      <xdr:nvPicPr>
        <xdr:cNvPr id="283" name="Picture 282">
          <a:extLst>
            <a:ext uri="{FF2B5EF4-FFF2-40B4-BE49-F238E27FC236}">
              <a16:creationId xmlns:a16="http://schemas.microsoft.com/office/drawing/2014/main" id="{602370E2-7DF7-C826-D270-7F603CDF178D}"/>
            </a:ext>
          </a:extLst>
        </xdr:cNvPr>
        <xdr:cNvPicPr>
          <a:picLocks noChangeAspect="1"/>
        </xdr:cNvPicPr>
      </xdr:nvPicPr>
      <xdr:blipFill>
        <a:blip xmlns:r="http://schemas.openxmlformats.org/officeDocument/2006/relationships" r:link="rId133"/>
        <a:stretch>
          <a:fillRect/>
        </a:stretch>
      </xdr:blipFill>
      <xdr:spPr>
        <a:xfrm>
          <a:off x="28452305" y="195485287"/>
          <a:ext cx="968644" cy="970752"/>
        </a:xfrm>
        <a:prstGeom prst="rect">
          <a:avLst/>
        </a:prstGeom>
      </xdr:spPr>
    </xdr:pic>
    <xdr:clientData/>
  </xdr:twoCellAnchor>
  <xdr:twoCellAnchor editAs="oneCell">
    <xdr:from>
      <xdr:col>12</xdr:col>
      <xdr:colOff>684508</xdr:colOff>
      <xdr:row>141</xdr:row>
      <xdr:rowOff>206252</xdr:rowOff>
    </xdr:from>
    <xdr:to>
      <xdr:col>12</xdr:col>
      <xdr:colOff>1653152</xdr:colOff>
      <xdr:row>141</xdr:row>
      <xdr:rowOff>1177597</xdr:rowOff>
    </xdr:to>
    <xdr:pic>
      <xdr:nvPicPr>
        <xdr:cNvPr id="285" name="Picture 284">
          <a:extLst>
            <a:ext uri="{FF2B5EF4-FFF2-40B4-BE49-F238E27FC236}">
              <a16:creationId xmlns:a16="http://schemas.microsoft.com/office/drawing/2014/main" id="{B63DDCBA-D730-324E-D3F3-11B53E54237D}"/>
            </a:ext>
          </a:extLst>
        </xdr:cNvPr>
        <xdr:cNvPicPr>
          <a:picLocks noChangeAspect="1"/>
        </xdr:cNvPicPr>
      </xdr:nvPicPr>
      <xdr:blipFill>
        <a:blip xmlns:r="http://schemas.openxmlformats.org/officeDocument/2006/relationships" r:link="rId134"/>
        <a:stretch>
          <a:fillRect/>
        </a:stretch>
      </xdr:blipFill>
      <xdr:spPr>
        <a:xfrm>
          <a:off x="28452305" y="196879744"/>
          <a:ext cx="968644" cy="971345"/>
        </a:xfrm>
        <a:prstGeom prst="rect">
          <a:avLst/>
        </a:prstGeom>
      </xdr:spPr>
    </xdr:pic>
    <xdr:clientData/>
  </xdr:twoCellAnchor>
  <xdr:twoCellAnchor editAs="oneCell">
    <xdr:from>
      <xdr:col>12</xdr:col>
      <xdr:colOff>684508</xdr:colOff>
      <xdr:row>142</xdr:row>
      <xdr:rowOff>206251</xdr:rowOff>
    </xdr:from>
    <xdr:to>
      <xdr:col>12</xdr:col>
      <xdr:colOff>1653152</xdr:colOff>
      <xdr:row>142</xdr:row>
      <xdr:rowOff>1177595</xdr:rowOff>
    </xdr:to>
    <xdr:pic>
      <xdr:nvPicPr>
        <xdr:cNvPr id="287" name="Picture 286">
          <a:extLst>
            <a:ext uri="{FF2B5EF4-FFF2-40B4-BE49-F238E27FC236}">
              <a16:creationId xmlns:a16="http://schemas.microsoft.com/office/drawing/2014/main" id="{289D2FE5-069F-77DA-EFD9-7276DF837109}"/>
            </a:ext>
          </a:extLst>
        </xdr:cNvPr>
        <xdr:cNvPicPr>
          <a:picLocks noChangeAspect="1"/>
        </xdr:cNvPicPr>
      </xdr:nvPicPr>
      <xdr:blipFill>
        <a:blip xmlns:r="http://schemas.openxmlformats.org/officeDocument/2006/relationships" r:link="rId135"/>
        <a:stretch>
          <a:fillRect/>
        </a:stretch>
      </xdr:blipFill>
      <xdr:spPr>
        <a:xfrm>
          <a:off x="28452305" y="198274590"/>
          <a:ext cx="968644" cy="971344"/>
        </a:xfrm>
        <a:prstGeom prst="rect">
          <a:avLst/>
        </a:prstGeom>
      </xdr:spPr>
    </xdr:pic>
    <xdr:clientData/>
  </xdr:twoCellAnchor>
  <xdr:twoCellAnchor editAs="oneCell">
    <xdr:from>
      <xdr:col>12</xdr:col>
      <xdr:colOff>684508</xdr:colOff>
      <xdr:row>143</xdr:row>
      <xdr:rowOff>206648</xdr:rowOff>
    </xdr:from>
    <xdr:to>
      <xdr:col>12</xdr:col>
      <xdr:colOff>1653152</xdr:colOff>
      <xdr:row>143</xdr:row>
      <xdr:rowOff>1177400</xdr:rowOff>
    </xdr:to>
    <xdr:pic>
      <xdr:nvPicPr>
        <xdr:cNvPr id="289" name="Picture 288">
          <a:extLst>
            <a:ext uri="{FF2B5EF4-FFF2-40B4-BE49-F238E27FC236}">
              <a16:creationId xmlns:a16="http://schemas.microsoft.com/office/drawing/2014/main" id="{C906B5B0-A4F6-25FD-7453-605FFBDD6BDE}"/>
            </a:ext>
          </a:extLst>
        </xdr:cNvPr>
        <xdr:cNvPicPr>
          <a:picLocks noChangeAspect="1"/>
        </xdr:cNvPicPr>
      </xdr:nvPicPr>
      <xdr:blipFill>
        <a:blip xmlns:r="http://schemas.openxmlformats.org/officeDocument/2006/relationships" r:link="rId136"/>
        <a:stretch>
          <a:fillRect/>
        </a:stretch>
      </xdr:blipFill>
      <xdr:spPr>
        <a:xfrm>
          <a:off x="28452305" y="199669834"/>
          <a:ext cx="968644" cy="970752"/>
        </a:xfrm>
        <a:prstGeom prst="rect">
          <a:avLst/>
        </a:prstGeom>
      </xdr:spPr>
    </xdr:pic>
    <xdr:clientData/>
  </xdr:twoCellAnchor>
  <xdr:twoCellAnchor editAs="oneCell">
    <xdr:from>
      <xdr:col>12</xdr:col>
      <xdr:colOff>684508</xdr:colOff>
      <xdr:row>144</xdr:row>
      <xdr:rowOff>206645</xdr:rowOff>
    </xdr:from>
    <xdr:to>
      <xdr:col>12</xdr:col>
      <xdr:colOff>1653152</xdr:colOff>
      <xdr:row>144</xdr:row>
      <xdr:rowOff>1177397</xdr:rowOff>
    </xdr:to>
    <xdr:pic>
      <xdr:nvPicPr>
        <xdr:cNvPr id="291" name="Picture 290">
          <a:extLst>
            <a:ext uri="{FF2B5EF4-FFF2-40B4-BE49-F238E27FC236}">
              <a16:creationId xmlns:a16="http://schemas.microsoft.com/office/drawing/2014/main" id="{3C8E52FF-C375-AA8B-0EFA-CBEA1AEDB89F}"/>
            </a:ext>
          </a:extLst>
        </xdr:cNvPr>
        <xdr:cNvPicPr>
          <a:picLocks noChangeAspect="1"/>
        </xdr:cNvPicPr>
      </xdr:nvPicPr>
      <xdr:blipFill>
        <a:blip xmlns:r="http://schemas.openxmlformats.org/officeDocument/2006/relationships" r:link="rId137"/>
        <a:stretch>
          <a:fillRect/>
        </a:stretch>
      </xdr:blipFill>
      <xdr:spPr>
        <a:xfrm>
          <a:off x="28452305" y="201064679"/>
          <a:ext cx="968644" cy="970752"/>
        </a:xfrm>
        <a:prstGeom prst="rect">
          <a:avLst/>
        </a:prstGeom>
      </xdr:spPr>
    </xdr:pic>
    <xdr:clientData/>
  </xdr:twoCellAnchor>
  <xdr:twoCellAnchor editAs="oneCell">
    <xdr:from>
      <xdr:col>12</xdr:col>
      <xdr:colOff>684508</xdr:colOff>
      <xdr:row>145</xdr:row>
      <xdr:rowOff>206643</xdr:rowOff>
    </xdr:from>
    <xdr:to>
      <xdr:col>12</xdr:col>
      <xdr:colOff>1653152</xdr:colOff>
      <xdr:row>145</xdr:row>
      <xdr:rowOff>1177395</xdr:rowOff>
    </xdr:to>
    <xdr:pic>
      <xdr:nvPicPr>
        <xdr:cNvPr id="293" name="Picture 292">
          <a:extLst>
            <a:ext uri="{FF2B5EF4-FFF2-40B4-BE49-F238E27FC236}">
              <a16:creationId xmlns:a16="http://schemas.microsoft.com/office/drawing/2014/main" id="{F9A3E5E9-9CAD-D21B-7767-F1D96048C401}"/>
            </a:ext>
          </a:extLst>
        </xdr:cNvPr>
        <xdr:cNvPicPr>
          <a:picLocks noChangeAspect="1"/>
        </xdr:cNvPicPr>
      </xdr:nvPicPr>
      <xdr:blipFill>
        <a:blip xmlns:r="http://schemas.openxmlformats.org/officeDocument/2006/relationships" r:link="rId138"/>
        <a:stretch>
          <a:fillRect/>
        </a:stretch>
      </xdr:blipFill>
      <xdr:spPr>
        <a:xfrm>
          <a:off x="28452305" y="202459524"/>
          <a:ext cx="968644" cy="970752"/>
        </a:xfrm>
        <a:prstGeom prst="rect">
          <a:avLst/>
        </a:prstGeom>
      </xdr:spPr>
    </xdr:pic>
    <xdr:clientData/>
  </xdr:twoCellAnchor>
  <xdr:twoCellAnchor editAs="oneCell">
    <xdr:from>
      <xdr:col>12</xdr:col>
      <xdr:colOff>684508</xdr:colOff>
      <xdr:row>146</xdr:row>
      <xdr:rowOff>206252</xdr:rowOff>
    </xdr:from>
    <xdr:to>
      <xdr:col>12</xdr:col>
      <xdr:colOff>1653152</xdr:colOff>
      <xdr:row>146</xdr:row>
      <xdr:rowOff>1177597</xdr:rowOff>
    </xdr:to>
    <xdr:pic>
      <xdr:nvPicPr>
        <xdr:cNvPr id="295" name="Picture 294">
          <a:extLst>
            <a:ext uri="{FF2B5EF4-FFF2-40B4-BE49-F238E27FC236}">
              <a16:creationId xmlns:a16="http://schemas.microsoft.com/office/drawing/2014/main" id="{F9711F76-41CE-17F2-F182-A8ADD5CA3EB5}"/>
            </a:ext>
          </a:extLst>
        </xdr:cNvPr>
        <xdr:cNvPicPr>
          <a:picLocks noChangeAspect="1"/>
        </xdr:cNvPicPr>
      </xdr:nvPicPr>
      <xdr:blipFill>
        <a:blip xmlns:r="http://schemas.openxmlformats.org/officeDocument/2006/relationships" r:link="rId139"/>
        <a:stretch>
          <a:fillRect/>
        </a:stretch>
      </xdr:blipFill>
      <xdr:spPr>
        <a:xfrm>
          <a:off x="28452305" y="203853981"/>
          <a:ext cx="968644" cy="971345"/>
        </a:xfrm>
        <a:prstGeom prst="rect">
          <a:avLst/>
        </a:prstGeom>
      </xdr:spPr>
    </xdr:pic>
    <xdr:clientData/>
  </xdr:twoCellAnchor>
  <xdr:twoCellAnchor editAs="oneCell">
    <xdr:from>
      <xdr:col>12</xdr:col>
      <xdr:colOff>684508</xdr:colOff>
      <xdr:row>147</xdr:row>
      <xdr:rowOff>206251</xdr:rowOff>
    </xdr:from>
    <xdr:to>
      <xdr:col>12</xdr:col>
      <xdr:colOff>1653152</xdr:colOff>
      <xdr:row>147</xdr:row>
      <xdr:rowOff>1177595</xdr:rowOff>
    </xdr:to>
    <xdr:pic>
      <xdr:nvPicPr>
        <xdr:cNvPr id="297" name="Picture 296">
          <a:extLst>
            <a:ext uri="{FF2B5EF4-FFF2-40B4-BE49-F238E27FC236}">
              <a16:creationId xmlns:a16="http://schemas.microsoft.com/office/drawing/2014/main" id="{99D81D57-AE88-5D56-42F4-F86915A0D1ED}"/>
            </a:ext>
          </a:extLst>
        </xdr:cNvPr>
        <xdr:cNvPicPr>
          <a:picLocks noChangeAspect="1"/>
        </xdr:cNvPicPr>
      </xdr:nvPicPr>
      <xdr:blipFill>
        <a:blip xmlns:r="http://schemas.openxmlformats.org/officeDocument/2006/relationships" r:link="rId140"/>
        <a:stretch>
          <a:fillRect/>
        </a:stretch>
      </xdr:blipFill>
      <xdr:spPr>
        <a:xfrm>
          <a:off x="28452305" y="205248827"/>
          <a:ext cx="968644" cy="971344"/>
        </a:xfrm>
        <a:prstGeom prst="rect">
          <a:avLst/>
        </a:prstGeom>
      </xdr:spPr>
    </xdr:pic>
    <xdr:clientData/>
  </xdr:twoCellAnchor>
  <xdr:twoCellAnchor editAs="oneCell">
    <xdr:from>
      <xdr:col>12</xdr:col>
      <xdr:colOff>684508</xdr:colOff>
      <xdr:row>148</xdr:row>
      <xdr:rowOff>206648</xdr:rowOff>
    </xdr:from>
    <xdr:to>
      <xdr:col>12</xdr:col>
      <xdr:colOff>1653152</xdr:colOff>
      <xdr:row>148</xdr:row>
      <xdr:rowOff>1177400</xdr:rowOff>
    </xdr:to>
    <xdr:pic>
      <xdr:nvPicPr>
        <xdr:cNvPr id="299" name="Picture 298">
          <a:extLst>
            <a:ext uri="{FF2B5EF4-FFF2-40B4-BE49-F238E27FC236}">
              <a16:creationId xmlns:a16="http://schemas.microsoft.com/office/drawing/2014/main" id="{F5EE3255-2659-BDBE-6619-47F314AB985D}"/>
            </a:ext>
          </a:extLst>
        </xdr:cNvPr>
        <xdr:cNvPicPr>
          <a:picLocks noChangeAspect="1"/>
        </xdr:cNvPicPr>
      </xdr:nvPicPr>
      <xdr:blipFill>
        <a:blip xmlns:r="http://schemas.openxmlformats.org/officeDocument/2006/relationships" r:link="rId141"/>
        <a:stretch>
          <a:fillRect/>
        </a:stretch>
      </xdr:blipFill>
      <xdr:spPr>
        <a:xfrm>
          <a:off x="28452305" y="206644072"/>
          <a:ext cx="968644" cy="970752"/>
        </a:xfrm>
        <a:prstGeom prst="rect">
          <a:avLst/>
        </a:prstGeom>
      </xdr:spPr>
    </xdr:pic>
    <xdr:clientData/>
  </xdr:twoCellAnchor>
  <xdr:twoCellAnchor editAs="oneCell">
    <xdr:from>
      <xdr:col>12</xdr:col>
      <xdr:colOff>684508</xdr:colOff>
      <xdr:row>149</xdr:row>
      <xdr:rowOff>206645</xdr:rowOff>
    </xdr:from>
    <xdr:to>
      <xdr:col>12</xdr:col>
      <xdr:colOff>1653152</xdr:colOff>
      <xdr:row>149</xdr:row>
      <xdr:rowOff>1177397</xdr:rowOff>
    </xdr:to>
    <xdr:pic>
      <xdr:nvPicPr>
        <xdr:cNvPr id="301" name="Picture 300">
          <a:extLst>
            <a:ext uri="{FF2B5EF4-FFF2-40B4-BE49-F238E27FC236}">
              <a16:creationId xmlns:a16="http://schemas.microsoft.com/office/drawing/2014/main" id="{EC5A0EB5-433B-DE78-3124-67BE2528FB98}"/>
            </a:ext>
          </a:extLst>
        </xdr:cNvPr>
        <xdr:cNvPicPr>
          <a:picLocks noChangeAspect="1"/>
        </xdr:cNvPicPr>
      </xdr:nvPicPr>
      <xdr:blipFill>
        <a:blip xmlns:r="http://schemas.openxmlformats.org/officeDocument/2006/relationships" r:link="rId142"/>
        <a:stretch>
          <a:fillRect/>
        </a:stretch>
      </xdr:blipFill>
      <xdr:spPr>
        <a:xfrm>
          <a:off x="28452305" y="208038916"/>
          <a:ext cx="968644" cy="970752"/>
        </a:xfrm>
        <a:prstGeom prst="rect">
          <a:avLst/>
        </a:prstGeom>
      </xdr:spPr>
    </xdr:pic>
    <xdr:clientData/>
  </xdr:twoCellAnchor>
  <xdr:twoCellAnchor editAs="oneCell">
    <xdr:from>
      <xdr:col>12</xdr:col>
      <xdr:colOff>684508</xdr:colOff>
      <xdr:row>150</xdr:row>
      <xdr:rowOff>206643</xdr:rowOff>
    </xdr:from>
    <xdr:to>
      <xdr:col>12</xdr:col>
      <xdr:colOff>1653152</xdr:colOff>
      <xdr:row>150</xdr:row>
      <xdr:rowOff>1177395</xdr:rowOff>
    </xdr:to>
    <xdr:pic>
      <xdr:nvPicPr>
        <xdr:cNvPr id="303" name="Picture 302">
          <a:extLst>
            <a:ext uri="{FF2B5EF4-FFF2-40B4-BE49-F238E27FC236}">
              <a16:creationId xmlns:a16="http://schemas.microsoft.com/office/drawing/2014/main" id="{D2D84AE4-1783-C2A8-07FC-7B51C38B08FB}"/>
            </a:ext>
          </a:extLst>
        </xdr:cNvPr>
        <xdr:cNvPicPr>
          <a:picLocks noChangeAspect="1"/>
        </xdr:cNvPicPr>
      </xdr:nvPicPr>
      <xdr:blipFill>
        <a:blip xmlns:r="http://schemas.openxmlformats.org/officeDocument/2006/relationships" r:link="rId143"/>
        <a:stretch>
          <a:fillRect/>
        </a:stretch>
      </xdr:blipFill>
      <xdr:spPr>
        <a:xfrm>
          <a:off x="28452305" y="209433762"/>
          <a:ext cx="968644" cy="970752"/>
        </a:xfrm>
        <a:prstGeom prst="rect">
          <a:avLst/>
        </a:prstGeom>
      </xdr:spPr>
    </xdr:pic>
    <xdr:clientData/>
  </xdr:twoCellAnchor>
  <xdr:twoCellAnchor editAs="oneCell">
    <xdr:from>
      <xdr:col>12</xdr:col>
      <xdr:colOff>684508</xdr:colOff>
      <xdr:row>151</xdr:row>
      <xdr:rowOff>206653</xdr:rowOff>
    </xdr:from>
    <xdr:to>
      <xdr:col>12</xdr:col>
      <xdr:colOff>1653152</xdr:colOff>
      <xdr:row>151</xdr:row>
      <xdr:rowOff>1177405</xdr:rowOff>
    </xdr:to>
    <xdr:pic>
      <xdr:nvPicPr>
        <xdr:cNvPr id="305" name="Picture 304">
          <a:extLst>
            <a:ext uri="{FF2B5EF4-FFF2-40B4-BE49-F238E27FC236}">
              <a16:creationId xmlns:a16="http://schemas.microsoft.com/office/drawing/2014/main" id="{CC569E33-014E-A6F7-6F65-5D0595698715}"/>
            </a:ext>
          </a:extLst>
        </xdr:cNvPr>
        <xdr:cNvPicPr>
          <a:picLocks noChangeAspect="1"/>
        </xdr:cNvPicPr>
      </xdr:nvPicPr>
      <xdr:blipFill>
        <a:blip xmlns:r="http://schemas.openxmlformats.org/officeDocument/2006/relationships" r:link="rId144"/>
        <a:stretch>
          <a:fillRect/>
        </a:stretch>
      </xdr:blipFill>
      <xdr:spPr>
        <a:xfrm>
          <a:off x="28452305" y="210828619"/>
          <a:ext cx="968644" cy="970752"/>
        </a:xfrm>
        <a:prstGeom prst="rect">
          <a:avLst/>
        </a:prstGeom>
      </xdr:spPr>
    </xdr:pic>
    <xdr:clientData/>
  </xdr:twoCellAnchor>
  <xdr:twoCellAnchor editAs="oneCell">
    <xdr:from>
      <xdr:col>12</xdr:col>
      <xdr:colOff>684508</xdr:colOff>
      <xdr:row>152</xdr:row>
      <xdr:rowOff>206249</xdr:rowOff>
    </xdr:from>
    <xdr:to>
      <xdr:col>12</xdr:col>
      <xdr:colOff>1653152</xdr:colOff>
      <xdr:row>152</xdr:row>
      <xdr:rowOff>1177594</xdr:rowOff>
    </xdr:to>
    <xdr:pic>
      <xdr:nvPicPr>
        <xdr:cNvPr id="307" name="Picture 306">
          <a:extLst>
            <a:ext uri="{FF2B5EF4-FFF2-40B4-BE49-F238E27FC236}">
              <a16:creationId xmlns:a16="http://schemas.microsoft.com/office/drawing/2014/main" id="{D3FF908D-1873-7843-6CF5-2A333A020E4C}"/>
            </a:ext>
          </a:extLst>
        </xdr:cNvPr>
        <xdr:cNvPicPr>
          <a:picLocks noChangeAspect="1"/>
        </xdr:cNvPicPr>
      </xdr:nvPicPr>
      <xdr:blipFill>
        <a:blip xmlns:r="http://schemas.openxmlformats.org/officeDocument/2006/relationships" r:link="rId145"/>
        <a:stretch>
          <a:fillRect/>
        </a:stretch>
      </xdr:blipFill>
      <xdr:spPr>
        <a:xfrm>
          <a:off x="28452305" y="212223063"/>
          <a:ext cx="968644" cy="971345"/>
        </a:xfrm>
        <a:prstGeom prst="rect">
          <a:avLst/>
        </a:prstGeom>
      </xdr:spPr>
    </xdr:pic>
    <xdr:clientData/>
  </xdr:twoCellAnchor>
  <xdr:twoCellAnchor editAs="oneCell">
    <xdr:from>
      <xdr:col>12</xdr:col>
      <xdr:colOff>684508</xdr:colOff>
      <xdr:row>153</xdr:row>
      <xdr:rowOff>206648</xdr:rowOff>
    </xdr:from>
    <xdr:to>
      <xdr:col>12</xdr:col>
      <xdr:colOff>1653152</xdr:colOff>
      <xdr:row>153</xdr:row>
      <xdr:rowOff>1177400</xdr:rowOff>
    </xdr:to>
    <xdr:pic>
      <xdr:nvPicPr>
        <xdr:cNvPr id="309" name="Picture 308">
          <a:extLst>
            <a:ext uri="{FF2B5EF4-FFF2-40B4-BE49-F238E27FC236}">
              <a16:creationId xmlns:a16="http://schemas.microsoft.com/office/drawing/2014/main" id="{DB7A5EFA-437C-CE73-6AB6-41A9F9AAF40E}"/>
            </a:ext>
          </a:extLst>
        </xdr:cNvPr>
        <xdr:cNvPicPr>
          <a:picLocks noChangeAspect="1"/>
        </xdr:cNvPicPr>
      </xdr:nvPicPr>
      <xdr:blipFill>
        <a:blip xmlns:r="http://schemas.openxmlformats.org/officeDocument/2006/relationships" r:link="rId146"/>
        <a:stretch>
          <a:fillRect/>
        </a:stretch>
      </xdr:blipFill>
      <xdr:spPr>
        <a:xfrm>
          <a:off x="28452305" y="213618309"/>
          <a:ext cx="968644" cy="970752"/>
        </a:xfrm>
        <a:prstGeom prst="rect">
          <a:avLst/>
        </a:prstGeom>
      </xdr:spPr>
    </xdr:pic>
    <xdr:clientData/>
  </xdr:twoCellAnchor>
  <xdr:twoCellAnchor editAs="oneCell">
    <xdr:from>
      <xdr:col>12</xdr:col>
      <xdr:colOff>684508</xdr:colOff>
      <xdr:row>154</xdr:row>
      <xdr:rowOff>206246</xdr:rowOff>
    </xdr:from>
    <xdr:to>
      <xdr:col>12</xdr:col>
      <xdr:colOff>1653152</xdr:colOff>
      <xdr:row>154</xdr:row>
      <xdr:rowOff>1177590</xdr:rowOff>
    </xdr:to>
    <xdr:pic>
      <xdr:nvPicPr>
        <xdr:cNvPr id="311" name="Picture 310">
          <a:extLst>
            <a:ext uri="{FF2B5EF4-FFF2-40B4-BE49-F238E27FC236}">
              <a16:creationId xmlns:a16="http://schemas.microsoft.com/office/drawing/2014/main" id="{E5B260A0-F75A-BA88-4D8A-A5EF68A5D62F}"/>
            </a:ext>
          </a:extLst>
        </xdr:cNvPr>
        <xdr:cNvPicPr>
          <a:picLocks noChangeAspect="1"/>
        </xdr:cNvPicPr>
      </xdr:nvPicPr>
      <xdr:blipFill>
        <a:blip xmlns:r="http://schemas.openxmlformats.org/officeDocument/2006/relationships" r:link="rId147"/>
        <a:stretch>
          <a:fillRect/>
        </a:stretch>
      </xdr:blipFill>
      <xdr:spPr>
        <a:xfrm>
          <a:off x="28452305" y="215012754"/>
          <a:ext cx="968644" cy="971344"/>
        </a:xfrm>
        <a:prstGeom prst="rect">
          <a:avLst/>
        </a:prstGeom>
      </xdr:spPr>
    </xdr:pic>
    <xdr:clientData/>
  </xdr:twoCellAnchor>
  <xdr:twoCellAnchor editAs="oneCell">
    <xdr:from>
      <xdr:col>12</xdr:col>
      <xdr:colOff>684508</xdr:colOff>
      <xdr:row>155</xdr:row>
      <xdr:rowOff>206643</xdr:rowOff>
    </xdr:from>
    <xdr:to>
      <xdr:col>12</xdr:col>
      <xdr:colOff>1653152</xdr:colOff>
      <xdr:row>155</xdr:row>
      <xdr:rowOff>1177395</xdr:rowOff>
    </xdr:to>
    <xdr:pic>
      <xdr:nvPicPr>
        <xdr:cNvPr id="313" name="Picture 312">
          <a:extLst>
            <a:ext uri="{FF2B5EF4-FFF2-40B4-BE49-F238E27FC236}">
              <a16:creationId xmlns:a16="http://schemas.microsoft.com/office/drawing/2014/main" id="{EC838EEE-1CD4-8E11-FC09-B63FBAF3BA61}"/>
            </a:ext>
          </a:extLst>
        </xdr:cNvPr>
        <xdr:cNvPicPr>
          <a:picLocks noChangeAspect="1"/>
        </xdr:cNvPicPr>
      </xdr:nvPicPr>
      <xdr:blipFill>
        <a:blip xmlns:r="http://schemas.openxmlformats.org/officeDocument/2006/relationships" r:link="rId148"/>
        <a:stretch>
          <a:fillRect/>
        </a:stretch>
      </xdr:blipFill>
      <xdr:spPr>
        <a:xfrm>
          <a:off x="28452305" y="216407999"/>
          <a:ext cx="968644" cy="970752"/>
        </a:xfrm>
        <a:prstGeom prst="rect">
          <a:avLst/>
        </a:prstGeom>
      </xdr:spPr>
    </xdr:pic>
    <xdr:clientData/>
  </xdr:twoCellAnchor>
  <xdr:twoCellAnchor editAs="oneCell">
    <xdr:from>
      <xdr:col>12</xdr:col>
      <xdr:colOff>684508</xdr:colOff>
      <xdr:row>156</xdr:row>
      <xdr:rowOff>206653</xdr:rowOff>
    </xdr:from>
    <xdr:to>
      <xdr:col>12</xdr:col>
      <xdr:colOff>1653152</xdr:colOff>
      <xdr:row>156</xdr:row>
      <xdr:rowOff>1177405</xdr:rowOff>
    </xdr:to>
    <xdr:pic>
      <xdr:nvPicPr>
        <xdr:cNvPr id="315" name="Picture 314">
          <a:extLst>
            <a:ext uri="{FF2B5EF4-FFF2-40B4-BE49-F238E27FC236}">
              <a16:creationId xmlns:a16="http://schemas.microsoft.com/office/drawing/2014/main" id="{C5ACA8D7-037A-DEB8-28C3-870BE2A6B0BA}"/>
            </a:ext>
          </a:extLst>
        </xdr:cNvPr>
        <xdr:cNvPicPr>
          <a:picLocks noChangeAspect="1"/>
        </xdr:cNvPicPr>
      </xdr:nvPicPr>
      <xdr:blipFill>
        <a:blip xmlns:r="http://schemas.openxmlformats.org/officeDocument/2006/relationships" r:link="rId149"/>
        <a:stretch>
          <a:fillRect/>
        </a:stretch>
      </xdr:blipFill>
      <xdr:spPr>
        <a:xfrm>
          <a:off x="28452305" y="217802856"/>
          <a:ext cx="968644" cy="970752"/>
        </a:xfrm>
        <a:prstGeom prst="rect">
          <a:avLst/>
        </a:prstGeom>
      </xdr:spPr>
    </xdr:pic>
    <xdr:clientData/>
  </xdr:twoCellAnchor>
  <xdr:twoCellAnchor editAs="oneCell">
    <xdr:from>
      <xdr:col>12</xdr:col>
      <xdr:colOff>684508</xdr:colOff>
      <xdr:row>157</xdr:row>
      <xdr:rowOff>206249</xdr:rowOff>
    </xdr:from>
    <xdr:to>
      <xdr:col>12</xdr:col>
      <xdr:colOff>1653152</xdr:colOff>
      <xdr:row>157</xdr:row>
      <xdr:rowOff>1177594</xdr:rowOff>
    </xdr:to>
    <xdr:pic>
      <xdr:nvPicPr>
        <xdr:cNvPr id="317" name="Picture 316">
          <a:extLst>
            <a:ext uri="{FF2B5EF4-FFF2-40B4-BE49-F238E27FC236}">
              <a16:creationId xmlns:a16="http://schemas.microsoft.com/office/drawing/2014/main" id="{C7884D2A-76DC-13F0-6B9B-A3582E4B78C0}"/>
            </a:ext>
          </a:extLst>
        </xdr:cNvPr>
        <xdr:cNvPicPr>
          <a:picLocks noChangeAspect="1"/>
        </xdr:cNvPicPr>
      </xdr:nvPicPr>
      <xdr:blipFill>
        <a:blip xmlns:r="http://schemas.openxmlformats.org/officeDocument/2006/relationships" r:link="rId150"/>
        <a:stretch>
          <a:fillRect/>
        </a:stretch>
      </xdr:blipFill>
      <xdr:spPr>
        <a:xfrm>
          <a:off x="28452305" y="219197300"/>
          <a:ext cx="968644" cy="971345"/>
        </a:xfrm>
        <a:prstGeom prst="rect">
          <a:avLst/>
        </a:prstGeom>
      </xdr:spPr>
    </xdr:pic>
    <xdr:clientData/>
  </xdr:twoCellAnchor>
  <xdr:twoCellAnchor editAs="oneCell">
    <xdr:from>
      <xdr:col>12</xdr:col>
      <xdr:colOff>684508</xdr:colOff>
      <xdr:row>158</xdr:row>
      <xdr:rowOff>206648</xdr:rowOff>
    </xdr:from>
    <xdr:to>
      <xdr:col>12</xdr:col>
      <xdr:colOff>1653152</xdr:colOff>
      <xdr:row>158</xdr:row>
      <xdr:rowOff>1177400</xdr:rowOff>
    </xdr:to>
    <xdr:pic>
      <xdr:nvPicPr>
        <xdr:cNvPr id="319" name="Picture 318">
          <a:extLst>
            <a:ext uri="{FF2B5EF4-FFF2-40B4-BE49-F238E27FC236}">
              <a16:creationId xmlns:a16="http://schemas.microsoft.com/office/drawing/2014/main" id="{2A8549EB-2851-9255-4B22-A61B679BF5DA}"/>
            </a:ext>
          </a:extLst>
        </xdr:cNvPr>
        <xdr:cNvPicPr>
          <a:picLocks noChangeAspect="1"/>
        </xdr:cNvPicPr>
      </xdr:nvPicPr>
      <xdr:blipFill>
        <a:blip xmlns:r="http://schemas.openxmlformats.org/officeDocument/2006/relationships" r:link="rId151"/>
        <a:stretch>
          <a:fillRect/>
        </a:stretch>
      </xdr:blipFill>
      <xdr:spPr>
        <a:xfrm>
          <a:off x="28452305" y="220592546"/>
          <a:ext cx="968644" cy="970752"/>
        </a:xfrm>
        <a:prstGeom prst="rect">
          <a:avLst/>
        </a:prstGeom>
      </xdr:spPr>
    </xdr:pic>
    <xdr:clientData/>
  </xdr:twoCellAnchor>
  <xdr:twoCellAnchor editAs="oneCell">
    <xdr:from>
      <xdr:col>12</xdr:col>
      <xdr:colOff>684508</xdr:colOff>
      <xdr:row>159</xdr:row>
      <xdr:rowOff>206244</xdr:rowOff>
    </xdr:from>
    <xdr:to>
      <xdr:col>12</xdr:col>
      <xdr:colOff>1653152</xdr:colOff>
      <xdr:row>159</xdr:row>
      <xdr:rowOff>1177589</xdr:rowOff>
    </xdr:to>
    <xdr:pic>
      <xdr:nvPicPr>
        <xdr:cNvPr id="321" name="Picture 320">
          <a:extLst>
            <a:ext uri="{FF2B5EF4-FFF2-40B4-BE49-F238E27FC236}">
              <a16:creationId xmlns:a16="http://schemas.microsoft.com/office/drawing/2014/main" id="{FEC1BFA1-92A3-DF9E-35E4-E8F8AC3BED5A}"/>
            </a:ext>
          </a:extLst>
        </xdr:cNvPr>
        <xdr:cNvPicPr>
          <a:picLocks noChangeAspect="1"/>
        </xdr:cNvPicPr>
      </xdr:nvPicPr>
      <xdr:blipFill>
        <a:blip xmlns:r="http://schemas.openxmlformats.org/officeDocument/2006/relationships" r:link="rId152"/>
        <a:stretch>
          <a:fillRect/>
        </a:stretch>
      </xdr:blipFill>
      <xdr:spPr>
        <a:xfrm>
          <a:off x="28452305" y="221986990"/>
          <a:ext cx="968644" cy="971345"/>
        </a:xfrm>
        <a:prstGeom prst="rect">
          <a:avLst/>
        </a:prstGeom>
      </xdr:spPr>
    </xdr:pic>
    <xdr:clientData/>
  </xdr:twoCellAnchor>
  <xdr:twoCellAnchor editAs="oneCell">
    <xdr:from>
      <xdr:col>12</xdr:col>
      <xdr:colOff>684508</xdr:colOff>
      <xdr:row>160</xdr:row>
      <xdr:rowOff>206643</xdr:rowOff>
    </xdr:from>
    <xdr:to>
      <xdr:col>12</xdr:col>
      <xdr:colOff>1653152</xdr:colOff>
      <xdr:row>160</xdr:row>
      <xdr:rowOff>1177395</xdr:rowOff>
    </xdr:to>
    <xdr:pic>
      <xdr:nvPicPr>
        <xdr:cNvPr id="323" name="Picture 322">
          <a:extLst>
            <a:ext uri="{FF2B5EF4-FFF2-40B4-BE49-F238E27FC236}">
              <a16:creationId xmlns:a16="http://schemas.microsoft.com/office/drawing/2014/main" id="{768B0971-984E-FB2D-F7CE-39B6EBDA28F0}"/>
            </a:ext>
          </a:extLst>
        </xdr:cNvPr>
        <xdr:cNvPicPr>
          <a:picLocks noChangeAspect="1"/>
        </xdr:cNvPicPr>
      </xdr:nvPicPr>
      <xdr:blipFill>
        <a:blip xmlns:r="http://schemas.openxmlformats.org/officeDocument/2006/relationships" r:link="rId153"/>
        <a:stretch>
          <a:fillRect/>
        </a:stretch>
      </xdr:blipFill>
      <xdr:spPr>
        <a:xfrm>
          <a:off x="28452305" y="223382236"/>
          <a:ext cx="968644" cy="970752"/>
        </a:xfrm>
        <a:prstGeom prst="rect">
          <a:avLst/>
        </a:prstGeom>
      </xdr:spPr>
    </xdr:pic>
    <xdr:clientData/>
  </xdr:twoCellAnchor>
  <xdr:twoCellAnchor editAs="oneCell">
    <xdr:from>
      <xdr:col>12</xdr:col>
      <xdr:colOff>684508</xdr:colOff>
      <xdr:row>161</xdr:row>
      <xdr:rowOff>206653</xdr:rowOff>
    </xdr:from>
    <xdr:to>
      <xdr:col>12</xdr:col>
      <xdr:colOff>1653152</xdr:colOff>
      <xdr:row>161</xdr:row>
      <xdr:rowOff>1177405</xdr:rowOff>
    </xdr:to>
    <xdr:pic>
      <xdr:nvPicPr>
        <xdr:cNvPr id="325" name="Picture 324">
          <a:extLst>
            <a:ext uri="{FF2B5EF4-FFF2-40B4-BE49-F238E27FC236}">
              <a16:creationId xmlns:a16="http://schemas.microsoft.com/office/drawing/2014/main" id="{F067F451-6A3E-1F9A-714D-A52DCD3FAAF6}"/>
            </a:ext>
          </a:extLst>
        </xdr:cNvPr>
        <xdr:cNvPicPr>
          <a:picLocks noChangeAspect="1"/>
        </xdr:cNvPicPr>
      </xdr:nvPicPr>
      <xdr:blipFill>
        <a:blip xmlns:r="http://schemas.openxmlformats.org/officeDocument/2006/relationships" r:link="rId154"/>
        <a:stretch>
          <a:fillRect/>
        </a:stretch>
      </xdr:blipFill>
      <xdr:spPr>
        <a:xfrm>
          <a:off x="28452305" y="224777094"/>
          <a:ext cx="968644" cy="970752"/>
        </a:xfrm>
        <a:prstGeom prst="rect">
          <a:avLst/>
        </a:prstGeom>
      </xdr:spPr>
    </xdr:pic>
    <xdr:clientData/>
  </xdr:twoCellAnchor>
  <xdr:twoCellAnchor editAs="oneCell">
    <xdr:from>
      <xdr:col>12</xdr:col>
      <xdr:colOff>684508</xdr:colOff>
      <xdr:row>162</xdr:row>
      <xdr:rowOff>206251</xdr:rowOff>
    </xdr:from>
    <xdr:to>
      <xdr:col>12</xdr:col>
      <xdr:colOff>1653152</xdr:colOff>
      <xdr:row>162</xdr:row>
      <xdr:rowOff>1177595</xdr:rowOff>
    </xdr:to>
    <xdr:pic>
      <xdr:nvPicPr>
        <xdr:cNvPr id="327" name="Picture 326">
          <a:extLst>
            <a:ext uri="{FF2B5EF4-FFF2-40B4-BE49-F238E27FC236}">
              <a16:creationId xmlns:a16="http://schemas.microsoft.com/office/drawing/2014/main" id="{DDECD78F-C864-9D9D-08F5-AFE862B461F6}"/>
            </a:ext>
          </a:extLst>
        </xdr:cNvPr>
        <xdr:cNvPicPr>
          <a:picLocks noChangeAspect="1"/>
        </xdr:cNvPicPr>
      </xdr:nvPicPr>
      <xdr:blipFill>
        <a:blip xmlns:r="http://schemas.openxmlformats.org/officeDocument/2006/relationships" r:link="rId155"/>
        <a:stretch>
          <a:fillRect/>
        </a:stretch>
      </xdr:blipFill>
      <xdr:spPr>
        <a:xfrm>
          <a:off x="28452305" y="226171539"/>
          <a:ext cx="968644" cy="971344"/>
        </a:xfrm>
        <a:prstGeom prst="rect">
          <a:avLst/>
        </a:prstGeom>
      </xdr:spPr>
    </xdr:pic>
    <xdr:clientData/>
  </xdr:twoCellAnchor>
  <xdr:twoCellAnchor editAs="oneCell">
    <xdr:from>
      <xdr:col>12</xdr:col>
      <xdr:colOff>684508</xdr:colOff>
      <xdr:row>163</xdr:row>
      <xdr:rowOff>206648</xdr:rowOff>
    </xdr:from>
    <xdr:to>
      <xdr:col>12</xdr:col>
      <xdr:colOff>1653152</xdr:colOff>
      <xdr:row>163</xdr:row>
      <xdr:rowOff>1177400</xdr:rowOff>
    </xdr:to>
    <xdr:pic>
      <xdr:nvPicPr>
        <xdr:cNvPr id="329" name="Picture 328">
          <a:extLst>
            <a:ext uri="{FF2B5EF4-FFF2-40B4-BE49-F238E27FC236}">
              <a16:creationId xmlns:a16="http://schemas.microsoft.com/office/drawing/2014/main" id="{CFE60B3A-E194-93FA-8F7A-B23C5040EF46}"/>
            </a:ext>
          </a:extLst>
        </xdr:cNvPr>
        <xdr:cNvPicPr>
          <a:picLocks noChangeAspect="1"/>
        </xdr:cNvPicPr>
      </xdr:nvPicPr>
      <xdr:blipFill>
        <a:blip xmlns:r="http://schemas.openxmlformats.org/officeDocument/2006/relationships" r:link="rId156"/>
        <a:stretch>
          <a:fillRect/>
        </a:stretch>
      </xdr:blipFill>
      <xdr:spPr>
        <a:xfrm>
          <a:off x="28452305" y="227566784"/>
          <a:ext cx="968644" cy="970752"/>
        </a:xfrm>
        <a:prstGeom prst="rect">
          <a:avLst/>
        </a:prstGeom>
      </xdr:spPr>
    </xdr:pic>
    <xdr:clientData/>
  </xdr:twoCellAnchor>
  <xdr:twoCellAnchor editAs="oneCell">
    <xdr:from>
      <xdr:col>12</xdr:col>
      <xdr:colOff>684508</xdr:colOff>
      <xdr:row>164</xdr:row>
      <xdr:rowOff>206246</xdr:rowOff>
    </xdr:from>
    <xdr:to>
      <xdr:col>12</xdr:col>
      <xdr:colOff>1653152</xdr:colOff>
      <xdr:row>164</xdr:row>
      <xdr:rowOff>1177590</xdr:rowOff>
    </xdr:to>
    <xdr:pic>
      <xdr:nvPicPr>
        <xdr:cNvPr id="331" name="Picture 330">
          <a:extLst>
            <a:ext uri="{FF2B5EF4-FFF2-40B4-BE49-F238E27FC236}">
              <a16:creationId xmlns:a16="http://schemas.microsoft.com/office/drawing/2014/main" id="{EB5CC87B-CC9D-B65E-80DE-D7E30C7F0A03}"/>
            </a:ext>
          </a:extLst>
        </xdr:cNvPr>
        <xdr:cNvPicPr>
          <a:picLocks noChangeAspect="1"/>
        </xdr:cNvPicPr>
      </xdr:nvPicPr>
      <xdr:blipFill>
        <a:blip xmlns:r="http://schemas.openxmlformats.org/officeDocument/2006/relationships" r:link="rId157"/>
        <a:stretch>
          <a:fillRect/>
        </a:stretch>
      </xdr:blipFill>
      <xdr:spPr>
        <a:xfrm>
          <a:off x="28452305" y="228961229"/>
          <a:ext cx="968644" cy="971344"/>
        </a:xfrm>
        <a:prstGeom prst="rect">
          <a:avLst/>
        </a:prstGeom>
      </xdr:spPr>
    </xdr:pic>
    <xdr:clientData/>
  </xdr:twoCellAnchor>
  <xdr:twoCellAnchor editAs="oneCell">
    <xdr:from>
      <xdr:col>12</xdr:col>
      <xdr:colOff>684508</xdr:colOff>
      <xdr:row>165</xdr:row>
      <xdr:rowOff>206643</xdr:rowOff>
    </xdr:from>
    <xdr:to>
      <xdr:col>12</xdr:col>
      <xdr:colOff>1653152</xdr:colOff>
      <xdr:row>165</xdr:row>
      <xdr:rowOff>1177395</xdr:rowOff>
    </xdr:to>
    <xdr:pic>
      <xdr:nvPicPr>
        <xdr:cNvPr id="333" name="Picture 332">
          <a:extLst>
            <a:ext uri="{FF2B5EF4-FFF2-40B4-BE49-F238E27FC236}">
              <a16:creationId xmlns:a16="http://schemas.microsoft.com/office/drawing/2014/main" id="{1492DF48-9BA6-BEC2-790F-795F94008C00}"/>
            </a:ext>
          </a:extLst>
        </xdr:cNvPr>
        <xdr:cNvPicPr>
          <a:picLocks noChangeAspect="1"/>
        </xdr:cNvPicPr>
      </xdr:nvPicPr>
      <xdr:blipFill>
        <a:blip xmlns:r="http://schemas.openxmlformats.org/officeDocument/2006/relationships" r:link="rId158"/>
        <a:stretch>
          <a:fillRect/>
        </a:stretch>
      </xdr:blipFill>
      <xdr:spPr>
        <a:xfrm>
          <a:off x="28452305" y="230356474"/>
          <a:ext cx="968644" cy="970752"/>
        </a:xfrm>
        <a:prstGeom prst="rect">
          <a:avLst/>
        </a:prstGeom>
      </xdr:spPr>
    </xdr:pic>
    <xdr:clientData/>
  </xdr:twoCellAnchor>
  <xdr:twoCellAnchor editAs="oneCell">
    <xdr:from>
      <xdr:col>12</xdr:col>
      <xdr:colOff>684508</xdr:colOff>
      <xdr:row>166</xdr:row>
      <xdr:rowOff>206653</xdr:rowOff>
    </xdr:from>
    <xdr:to>
      <xdr:col>12</xdr:col>
      <xdr:colOff>1653152</xdr:colOff>
      <xdr:row>166</xdr:row>
      <xdr:rowOff>1177405</xdr:rowOff>
    </xdr:to>
    <xdr:pic>
      <xdr:nvPicPr>
        <xdr:cNvPr id="335" name="Picture 334">
          <a:extLst>
            <a:ext uri="{FF2B5EF4-FFF2-40B4-BE49-F238E27FC236}">
              <a16:creationId xmlns:a16="http://schemas.microsoft.com/office/drawing/2014/main" id="{AD483A1B-56BD-DE0D-937E-40BA2B6E33C4}"/>
            </a:ext>
          </a:extLst>
        </xdr:cNvPr>
        <xdr:cNvPicPr>
          <a:picLocks noChangeAspect="1"/>
        </xdr:cNvPicPr>
      </xdr:nvPicPr>
      <xdr:blipFill>
        <a:blip xmlns:r="http://schemas.openxmlformats.org/officeDocument/2006/relationships" r:link="rId159"/>
        <a:stretch>
          <a:fillRect/>
        </a:stretch>
      </xdr:blipFill>
      <xdr:spPr>
        <a:xfrm>
          <a:off x="28452305" y="231751331"/>
          <a:ext cx="968644" cy="970752"/>
        </a:xfrm>
        <a:prstGeom prst="rect">
          <a:avLst/>
        </a:prstGeom>
      </xdr:spPr>
    </xdr:pic>
    <xdr:clientData/>
  </xdr:twoCellAnchor>
  <xdr:twoCellAnchor editAs="oneCell">
    <xdr:from>
      <xdr:col>12</xdr:col>
      <xdr:colOff>684508</xdr:colOff>
      <xdr:row>167</xdr:row>
      <xdr:rowOff>206251</xdr:rowOff>
    </xdr:from>
    <xdr:to>
      <xdr:col>12</xdr:col>
      <xdr:colOff>1653152</xdr:colOff>
      <xdr:row>167</xdr:row>
      <xdr:rowOff>1177595</xdr:rowOff>
    </xdr:to>
    <xdr:pic>
      <xdr:nvPicPr>
        <xdr:cNvPr id="337" name="Picture 336">
          <a:extLst>
            <a:ext uri="{FF2B5EF4-FFF2-40B4-BE49-F238E27FC236}">
              <a16:creationId xmlns:a16="http://schemas.microsoft.com/office/drawing/2014/main" id="{B015A2BC-8758-0317-2DCE-482BDA645A23}"/>
            </a:ext>
          </a:extLst>
        </xdr:cNvPr>
        <xdr:cNvPicPr>
          <a:picLocks noChangeAspect="1"/>
        </xdr:cNvPicPr>
      </xdr:nvPicPr>
      <xdr:blipFill>
        <a:blip xmlns:r="http://schemas.openxmlformats.org/officeDocument/2006/relationships" r:link="rId160"/>
        <a:stretch>
          <a:fillRect/>
        </a:stretch>
      </xdr:blipFill>
      <xdr:spPr>
        <a:xfrm>
          <a:off x="28452305" y="233145776"/>
          <a:ext cx="968644" cy="971344"/>
        </a:xfrm>
        <a:prstGeom prst="rect">
          <a:avLst/>
        </a:prstGeom>
      </xdr:spPr>
    </xdr:pic>
    <xdr:clientData/>
  </xdr:twoCellAnchor>
  <xdr:twoCellAnchor editAs="oneCell">
    <xdr:from>
      <xdr:col>12</xdr:col>
      <xdr:colOff>684508</xdr:colOff>
      <xdr:row>168</xdr:row>
      <xdr:rowOff>206648</xdr:rowOff>
    </xdr:from>
    <xdr:to>
      <xdr:col>12</xdr:col>
      <xdr:colOff>1653152</xdr:colOff>
      <xdr:row>168</xdr:row>
      <xdr:rowOff>1177400</xdr:rowOff>
    </xdr:to>
    <xdr:pic>
      <xdr:nvPicPr>
        <xdr:cNvPr id="339" name="Picture 338">
          <a:extLst>
            <a:ext uri="{FF2B5EF4-FFF2-40B4-BE49-F238E27FC236}">
              <a16:creationId xmlns:a16="http://schemas.microsoft.com/office/drawing/2014/main" id="{DA59514F-827F-BEB7-9D71-FE644E0A17CD}"/>
            </a:ext>
          </a:extLst>
        </xdr:cNvPr>
        <xdr:cNvPicPr>
          <a:picLocks noChangeAspect="1"/>
        </xdr:cNvPicPr>
      </xdr:nvPicPr>
      <xdr:blipFill>
        <a:blip xmlns:r="http://schemas.openxmlformats.org/officeDocument/2006/relationships" r:link="rId161"/>
        <a:stretch>
          <a:fillRect/>
        </a:stretch>
      </xdr:blipFill>
      <xdr:spPr>
        <a:xfrm>
          <a:off x="28452305" y="234541021"/>
          <a:ext cx="968644" cy="970752"/>
        </a:xfrm>
        <a:prstGeom prst="rect">
          <a:avLst/>
        </a:prstGeom>
      </xdr:spPr>
    </xdr:pic>
    <xdr:clientData/>
  </xdr:twoCellAnchor>
  <xdr:twoCellAnchor editAs="oneCell">
    <xdr:from>
      <xdr:col>12</xdr:col>
      <xdr:colOff>684508</xdr:colOff>
      <xdr:row>169</xdr:row>
      <xdr:rowOff>206246</xdr:rowOff>
    </xdr:from>
    <xdr:to>
      <xdr:col>12</xdr:col>
      <xdr:colOff>1653152</xdr:colOff>
      <xdr:row>169</xdr:row>
      <xdr:rowOff>1177590</xdr:rowOff>
    </xdr:to>
    <xdr:pic>
      <xdr:nvPicPr>
        <xdr:cNvPr id="341" name="Picture 340">
          <a:extLst>
            <a:ext uri="{FF2B5EF4-FFF2-40B4-BE49-F238E27FC236}">
              <a16:creationId xmlns:a16="http://schemas.microsoft.com/office/drawing/2014/main" id="{9D420B83-31A7-FEFD-5291-60CB9A98BF27}"/>
            </a:ext>
          </a:extLst>
        </xdr:cNvPr>
        <xdr:cNvPicPr>
          <a:picLocks noChangeAspect="1"/>
        </xdr:cNvPicPr>
      </xdr:nvPicPr>
      <xdr:blipFill>
        <a:blip xmlns:r="http://schemas.openxmlformats.org/officeDocument/2006/relationships" r:link="rId162"/>
        <a:stretch>
          <a:fillRect/>
        </a:stretch>
      </xdr:blipFill>
      <xdr:spPr>
        <a:xfrm>
          <a:off x="28452305" y="235935466"/>
          <a:ext cx="968644" cy="971344"/>
        </a:xfrm>
        <a:prstGeom prst="rect">
          <a:avLst/>
        </a:prstGeom>
      </xdr:spPr>
    </xdr:pic>
    <xdr:clientData/>
  </xdr:twoCellAnchor>
  <xdr:twoCellAnchor editAs="oneCell">
    <xdr:from>
      <xdr:col>12</xdr:col>
      <xdr:colOff>684508</xdr:colOff>
      <xdr:row>170</xdr:row>
      <xdr:rowOff>206643</xdr:rowOff>
    </xdr:from>
    <xdr:to>
      <xdr:col>12</xdr:col>
      <xdr:colOff>1653152</xdr:colOff>
      <xdr:row>170</xdr:row>
      <xdr:rowOff>1177395</xdr:rowOff>
    </xdr:to>
    <xdr:pic>
      <xdr:nvPicPr>
        <xdr:cNvPr id="343" name="Picture 342">
          <a:extLst>
            <a:ext uri="{FF2B5EF4-FFF2-40B4-BE49-F238E27FC236}">
              <a16:creationId xmlns:a16="http://schemas.microsoft.com/office/drawing/2014/main" id="{019AAB9F-D365-CE5D-4180-E32CFCD66189}"/>
            </a:ext>
          </a:extLst>
        </xdr:cNvPr>
        <xdr:cNvPicPr>
          <a:picLocks noChangeAspect="1"/>
        </xdr:cNvPicPr>
      </xdr:nvPicPr>
      <xdr:blipFill>
        <a:blip xmlns:r="http://schemas.openxmlformats.org/officeDocument/2006/relationships" r:link="rId163"/>
        <a:stretch>
          <a:fillRect/>
        </a:stretch>
      </xdr:blipFill>
      <xdr:spPr>
        <a:xfrm>
          <a:off x="28452305" y="237330711"/>
          <a:ext cx="968644" cy="970752"/>
        </a:xfrm>
        <a:prstGeom prst="rect">
          <a:avLst/>
        </a:prstGeom>
      </xdr:spPr>
    </xdr:pic>
    <xdr:clientData/>
  </xdr:twoCellAnchor>
  <xdr:twoCellAnchor editAs="oneCell">
    <xdr:from>
      <xdr:col>12</xdr:col>
      <xdr:colOff>684508</xdr:colOff>
      <xdr:row>171</xdr:row>
      <xdr:rowOff>206653</xdr:rowOff>
    </xdr:from>
    <xdr:to>
      <xdr:col>12</xdr:col>
      <xdr:colOff>1653152</xdr:colOff>
      <xdr:row>171</xdr:row>
      <xdr:rowOff>1177405</xdr:rowOff>
    </xdr:to>
    <xdr:pic>
      <xdr:nvPicPr>
        <xdr:cNvPr id="345" name="Picture 344">
          <a:extLst>
            <a:ext uri="{FF2B5EF4-FFF2-40B4-BE49-F238E27FC236}">
              <a16:creationId xmlns:a16="http://schemas.microsoft.com/office/drawing/2014/main" id="{5D1637FB-BE40-5FF1-DA6D-C28DB9115A92}"/>
            </a:ext>
          </a:extLst>
        </xdr:cNvPr>
        <xdr:cNvPicPr>
          <a:picLocks noChangeAspect="1"/>
        </xdr:cNvPicPr>
      </xdr:nvPicPr>
      <xdr:blipFill>
        <a:blip xmlns:r="http://schemas.openxmlformats.org/officeDocument/2006/relationships" r:link="rId164"/>
        <a:stretch>
          <a:fillRect/>
        </a:stretch>
      </xdr:blipFill>
      <xdr:spPr>
        <a:xfrm>
          <a:off x="28452305" y="238725568"/>
          <a:ext cx="968644" cy="970752"/>
        </a:xfrm>
        <a:prstGeom prst="rect">
          <a:avLst/>
        </a:prstGeom>
      </xdr:spPr>
    </xdr:pic>
    <xdr:clientData/>
  </xdr:twoCellAnchor>
  <xdr:twoCellAnchor editAs="oneCell">
    <xdr:from>
      <xdr:col>12</xdr:col>
      <xdr:colOff>684508</xdr:colOff>
      <xdr:row>172</xdr:row>
      <xdr:rowOff>206249</xdr:rowOff>
    </xdr:from>
    <xdr:to>
      <xdr:col>12</xdr:col>
      <xdr:colOff>1653152</xdr:colOff>
      <xdr:row>172</xdr:row>
      <xdr:rowOff>1177594</xdr:rowOff>
    </xdr:to>
    <xdr:pic>
      <xdr:nvPicPr>
        <xdr:cNvPr id="347" name="Picture 346">
          <a:extLst>
            <a:ext uri="{FF2B5EF4-FFF2-40B4-BE49-F238E27FC236}">
              <a16:creationId xmlns:a16="http://schemas.microsoft.com/office/drawing/2014/main" id="{D6A3CCD8-1C76-7601-0F2A-4BE8249D89A4}"/>
            </a:ext>
          </a:extLst>
        </xdr:cNvPr>
        <xdr:cNvPicPr>
          <a:picLocks noChangeAspect="1"/>
        </xdr:cNvPicPr>
      </xdr:nvPicPr>
      <xdr:blipFill>
        <a:blip xmlns:r="http://schemas.openxmlformats.org/officeDocument/2006/relationships" r:link="rId165"/>
        <a:stretch>
          <a:fillRect/>
        </a:stretch>
      </xdr:blipFill>
      <xdr:spPr>
        <a:xfrm>
          <a:off x="28452305" y="240120012"/>
          <a:ext cx="968644" cy="971345"/>
        </a:xfrm>
        <a:prstGeom prst="rect">
          <a:avLst/>
        </a:prstGeom>
      </xdr:spPr>
    </xdr:pic>
    <xdr:clientData/>
  </xdr:twoCellAnchor>
  <xdr:twoCellAnchor editAs="oneCell">
    <xdr:from>
      <xdr:col>12</xdr:col>
      <xdr:colOff>684508</xdr:colOff>
      <xdr:row>173</xdr:row>
      <xdr:rowOff>206648</xdr:rowOff>
    </xdr:from>
    <xdr:to>
      <xdr:col>12</xdr:col>
      <xdr:colOff>1653152</xdr:colOff>
      <xdr:row>173</xdr:row>
      <xdr:rowOff>1177400</xdr:rowOff>
    </xdr:to>
    <xdr:pic>
      <xdr:nvPicPr>
        <xdr:cNvPr id="349" name="Picture 348">
          <a:extLst>
            <a:ext uri="{FF2B5EF4-FFF2-40B4-BE49-F238E27FC236}">
              <a16:creationId xmlns:a16="http://schemas.microsoft.com/office/drawing/2014/main" id="{85EBB909-658F-C93F-46EB-C55A1A85F626}"/>
            </a:ext>
          </a:extLst>
        </xdr:cNvPr>
        <xdr:cNvPicPr>
          <a:picLocks noChangeAspect="1"/>
        </xdr:cNvPicPr>
      </xdr:nvPicPr>
      <xdr:blipFill>
        <a:blip xmlns:r="http://schemas.openxmlformats.org/officeDocument/2006/relationships" r:link="rId166"/>
        <a:stretch>
          <a:fillRect/>
        </a:stretch>
      </xdr:blipFill>
      <xdr:spPr>
        <a:xfrm>
          <a:off x="28452305" y="241515258"/>
          <a:ext cx="968644" cy="970752"/>
        </a:xfrm>
        <a:prstGeom prst="rect">
          <a:avLst/>
        </a:prstGeom>
      </xdr:spPr>
    </xdr:pic>
    <xdr:clientData/>
  </xdr:twoCellAnchor>
  <xdr:twoCellAnchor editAs="oneCell">
    <xdr:from>
      <xdr:col>12</xdr:col>
      <xdr:colOff>684508</xdr:colOff>
      <xdr:row>174</xdr:row>
      <xdr:rowOff>206244</xdr:rowOff>
    </xdr:from>
    <xdr:to>
      <xdr:col>12</xdr:col>
      <xdr:colOff>1653152</xdr:colOff>
      <xdr:row>174</xdr:row>
      <xdr:rowOff>1177589</xdr:rowOff>
    </xdr:to>
    <xdr:pic>
      <xdr:nvPicPr>
        <xdr:cNvPr id="351" name="Picture 350">
          <a:extLst>
            <a:ext uri="{FF2B5EF4-FFF2-40B4-BE49-F238E27FC236}">
              <a16:creationId xmlns:a16="http://schemas.microsoft.com/office/drawing/2014/main" id="{62DD94E0-627F-198A-7F09-906D25A19E73}"/>
            </a:ext>
          </a:extLst>
        </xdr:cNvPr>
        <xdr:cNvPicPr>
          <a:picLocks noChangeAspect="1"/>
        </xdr:cNvPicPr>
      </xdr:nvPicPr>
      <xdr:blipFill>
        <a:blip xmlns:r="http://schemas.openxmlformats.org/officeDocument/2006/relationships" r:link="rId167"/>
        <a:stretch>
          <a:fillRect/>
        </a:stretch>
      </xdr:blipFill>
      <xdr:spPr>
        <a:xfrm>
          <a:off x="28452305" y="242909702"/>
          <a:ext cx="968644" cy="971345"/>
        </a:xfrm>
        <a:prstGeom prst="rect">
          <a:avLst/>
        </a:prstGeom>
      </xdr:spPr>
    </xdr:pic>
    <xdr:clientData/>
  </xdr:twoCellAnchor>
  <xdr:twoCellAnchor editAs="oneCell">
    <xdr:from>
      <xdr:col>12</xdr:col>
      <xdr:colOff>684508</xdr:colOff>
      <xdr:row>175</xdr:row>
      <xdr:rowOff>206643</xdr:rowOff>
    </xdr:from>
    <xdr:to>
      <xdr:col>12</xdr:col>
      <xdr:colOff>1653152</xdr:colOff>
      <xdr:row>175</xdr:row>
      <xdr:rowOff>1177395</xdr:rowOff>
    </xdr:to>
    <xdr:pic>
      <xdr:nvPicPr>
        <xdr:cNvPr id="353" name="Picture 352">
          <a:extLst>
            <a:ext uri="{FF2B5EF4-FFF2-40B4-BE49-F238E27FC236}">
              <a16:creationId xmlns:a16="http://schemas.microsoft.com/office/drawing/2014/main" id="{104675DE-61FC-78CD-DFE2-E5AFD08286DE}"/>
            </a:ext>
          </a:extLst>
        </xdr:cNvPr>
        <xdr:cNvPicPr>
          <a:picLocks noChangeAspect="1"/>
        </xdr:cNvPicPr>
      </xdr:nvPicPr>
      <xdr:blipFill>
        <a:blip xmlns:r="http://schemas.openxmlformats.org/officeDocument/2006/relationships" r:link="rId168"/>
        <a:stretch>
          <a:fillRect/>
        </a:stretch>
      </xdr:blipFill>
      <xdr:spPr>
        <a:xfrm>
          <a:off x="28452305" y="244304948"/>
          <a:ext cx="968644" cy="970752"/>
        </a:xfrm>
        <a:prstGeom prst="rect">
          <a:avLst/>
        </a:prstGeom>
      </xdr:spPr>
    </xdr:pic>
    <xdr:clientData/>
  </xdr:twoCellAnchor>
  <xdr:twoCellAnchor editAs="oneCell">
    <xdr:from>
      <xdr:col>12</xdr:col>
      <xdr:colOff>684508</xdr:colOff>
      <xdr:row>176</xdr:row>
      <xdr:rowOff>206653</xdr:rowOff>
    </xdr:from>
    <xdr:to>
      <xdr:col>12</xdr:col>
      <xdr:colOff>1653152</xdr:colOff>
      <xdr:row>176</xdr:row>
      <xdr:rowOff>1177405</xdr:rowOff>
    </xdr:to>
    <xdr:pic>
      <xdr:nvPicPr>
        <xdr:cNvPr id="355" name="Picture 354">
          <a:extLst>
            <a:ext uri="{FF2B5EF4-FFF2-40B4-BE49-F238E27FC236}">
              <a16:creationId xmlns:a16="http://schemas.microsoft.com/office/drawing/2014/main" id="{00525F14-35EB-02A3-AA40-75EC8B2F961F}"/>
            </a:ext>
          </a:extLst>
        </xdr:cNvPr>
        <xdr:cNvPicPr>
          <a:picLocks noChangeAspect="1"/>
        </xdr:cNvPicPr>
      </xdr:nvPicPr>
      <xdr:blipFill>
        <a:blip xmlns:r="http://schemas.openxmlformats.org/officeDocument/2006/relationships" r:link="rId169"/>
        <a:stretch>
          <a:fillRect/>
        </a:stretch>
      </xdr:blipFill>
      <xdr:spPr>
        <a:xfrm>
          <a:off x="28452305" y="245699806"/>
          <a:ext cx="968644" cy="970752"/>
        </a:xfrm>
        <a:prstGeom prst="rect">
          <a:avLst/>
        </a:prstGeom>
      </xdr:spPr>
    </xdr:pic>
    <xdr:clientData/>
  </xdr:twoCellAnchor>
  <xdr:twoCellAnchor editAs="oneCell">
    <xdr:from>
      <xdr:col>12</xdr:col>
      <xdr:colOff>684508</xdr:colOff>
      <xdr:row>177</xdr:row>
      <xdr:rowOff>206251</xdr:rowOff>
    </xdr:from>
    <xdr:to>
      <xdr:col>12</xdr:col>
      <xdr:colOff>1653152</xdr:colOff>
      <xdr:row>177</xdr:row>
      <xdr:rowOff>1177595</xdr:rowOff>
    </xdr:to>
    <xdr:pic>
      <xdr:nvPicPr>
        <xdr:cNvPr id="357" name="Picture 356">
          <a:extLst>
            <a:ext uri="{FF2B5EF4-FFF2-40B4-BE49-F238E27FC236}">
              <a16:creationId xmlns:a16="http://schemas.microsoft.com/office/drawing/2014/main" id="{0666E976-AC52-1F50-2DA5-7BA80FD12001}"/>
            </a:ext>
          </a:extLst>
        </xdr:cNvPr>
        <xdr:cNvPicPr>
          <a:picLocks noChangeAspect="1"/>
        </xdr:cNvPicPr>
      </xdr:nvPicPr>
      <xdr:blipFill>
        <a:blip xmlns:r="http://schemas.openxmlformats.org/officeDocument/2006/relationships" r:link="rId170"/>
        <a:stretch>
          <a:fillRect/>
        </a:stretch>
      </xdr:blipFill>
      <xdr:spPr>
        <a:xfrm>
          <a:off x="28452305" y="247094251"/>
          <a:ext cx="968644" cy="971344"/>
        </a:xfrm>
        <a:prstGeom prst="rect">
          <a:avLst/>
        </a:prstGeom>
      </xdr:spPr>
    </xdr:pic>
    <xdr:clientData/>
  </xdr:twoCellAnchor>
  <xdr:twoCellAnchor editAs="oneCell">
    <xdr:from>
      <xdr:col>12</xdr:col>
      <xdr:colOff>684508</xdr:colOff>
      <xdr:row>178</xdr:row>
      <xdr:rowOff>206648</xdr:rowOff>
    </xdr:from>
    <xdr:to>
      <xdr:col>12</xdr:col>
      <xdr:colOff>1653152</xdr:colOff>
      <xdr:row>178</xdr:row>
      <xdr:rowOff>1177400</xdr:rowOff>
    </xdr:to>
    <xdr:pic>
      <xdr:nvPicPr>
        <xdr:cNvPr id="359" name="Picture 358">
          <a:extLst>
            <a:ext uri="{FF2B5EF4-FFF2-40B4-BE49-F238E27FC236}">
              <a16:creationId xmlns:a16="http://schemas.microsoft.com/office/drawing/2014/main" id="{116BA5E5-B667-3436-FBE3-765D860A2C7A}"/>
            </a:ext>
          </a:extLst>
        </xdr:cNvPr>
        <xdr:cNvPicPr>
          <a:picLocks noChangeAspect="1"/>
        </xdr:cNvPicPr>
      </xdr:nvPicPr>
      <xdr:blipFill>
        <a:blip xmlns:r="http://schemas.openxmlformats.org/officeDocument/2006/relationships" r:link="rId171"/>
        <a:stretch>
          <a:fillRect/>
        </a:stretch>
      </xdr:blipFill>
      <xdr:spPr>
        <a:xfrm>
          <a:off x="28452305" y="248489495"/>
          <a:ext cx="968644" cy="970752"/>
        </a:xfrm>
        <a:prstGeom prst="rect">
          <a:avLst/>
        </a:prstGeom>
      </xdr:spPr>
    </xdr:pic>
    <xdr:clientData/>
  </xdr:twoCellAnchor>
  <xdr:twoCellAnchor editAs="oneCell">
    <xdr:from>
      <xdr:col>12</xdr:col>
      <xdr:colOff>684508</xdr:colOff>
      <xdr:row>179</xdr:row>
      <xdr:rowOff>206244</xdr:rowOff>
    </xdr:from>
    <xdr:to>
      <xdr:col>12</xdr:col>
      <xdr:colOff>1653152</xdr:colOff>
      <xdr:row>179</xdr:row>
      <xdr:rowOff>1177589</xdr:rowOff>
    </xdr:to>
    <xdr:pic>
      <xdr:nvPicPr>
        <xdr:cNvPr id="361" name="Picture 360">
          <a:extLst>
            <a:ext uri="{FF2B5EF4-FFF2-40B4-BE49-F238E27FC236}">
              <a16:creationId xmlns:a16="http://schemas.microsoft.com/office/drawing/2014/main" id="{112586FC-3021-5B06-3FFB-28610E895571}"/>
            </a:ext>
          </a:extLst>
        </xdr:cNvPr>
        <xdr:cNvPicPr>
          <a:picLocks noChangeAspect="1"/>
        </xdr:cNvPicPr>
      </xdr:nvPicPr>
      <xdr:blipFill>
        <a:blip xmlns:r="http://schemas.openxmlformats.org/officeDocument/2006/relationships" r:link="rId172"/>
        <a:stretch>
          <a:fillRect/>
        </a:stretch>
      </xdr:blipFill>
      <xdr:spPr>
        <a:xfrm>
          <a:off x="28452305" y="249883939"/>
          <a:ext cx="968644" cy="971345"/>
        </a:xfrm>
        <a:prstGeom prst="rect">
          <a:avLst/>
        </a:prstGeom>
      </xdr:spPr>
    </xdr:pic>
    <xdr:clientData/>
  </xdr:twoCellAnchor>
  <xdr:twoCellAnchor editAs="oneCell">
    <xdr:from>
      <xdr:col>12</xdr:col>
      <xdr:colOff>684508</xdr:colOff>
      <xdr:row>180</xdr:row>
      <xdr:rowOff>206643</xdr:rowOff>
    </xdr:from>
    <xdr:to>
      <xdr:col>12</xdr:col>
      <xdr:colOff>1653152</xdr:colOff>
      <xdr:row>180</xdr:row>
      <xdr:rowOff>1177395</xdr:rowOff>
    </xdr:to>
    <xdr:pic>
      <xdr:nvPicPr>
        <xdr:cNvPr id="363" name="Picture 362">
          <a:extLst>
            <a:ext uri="{FF2B5EF4-FFF2-40B4-BE49-F238E27FC236}">
              <a16:creationId xmlns:a16="http://schemas.microsoft.com/office/drawing/2014/main" id="{13939E52-C212-27C2-ECED-BA6024AF0006}"/>
            </a:ext>
          </a:extLst>
        </xdr:cNvPr>
        <xdr:cNvPicPr>
          <a:picLocks noChangeAspect="1"/>
        </xdr:cNvPicPr>
      </xdr:nvPicPr>
      <xdr:blipFill>
        <a:blip xmlns:r="http://schemas.openxmlformats.org/officeDocument/2006/relationships" r:link="rId173"/>
        <a:stretch>
          <a:fillRect/>
        </a:stretch>
      </xdr:blipFill>
      <xdr:spPr>
        <a:xfrm>
          <a:off x="28452305" y="251279185"/>
          <a:ext cx="968644" cy="970752"/>
        </a:xfrm>
        <a:prstGeom prst="rect">
          <a:avLst/>
        </a:prstGeom>
      </xdr:spPr>
    </xdr:pic>
    <xdr:clientData/>
  </xdr:twoCellAnchor>
  <xdr:twoCellAnchor editAs="oneCell">
    <xdr:from>
      <xdr:col>12</xdr:col>
      <xdr:colOff>684508</xdr:colOff>
      <xdr:row>181</xdr:row>
      <xdr:rowOff>206653</xdr:rowOff>
    </xdr:from>
    <xdr:to>
      <xdr:col>12</xdr:col>
      <xdr:colOff>1653152</xdr:colOff>
      <xdr:row>181</xdr:row>
      <xdr:rowOff>1177405</xdr:rowOff>
    </xdr:to>
    <xdr:pic>
      <xdr:nvPicPr>
        <xdr:cNvPr id="365" name="Picture 364">
          <a:extLst>
            <a:ext uri="{FF2B5EF4-FFF2-40B4-BE49-F238E27FC236}">
              <a16:creationId xmlns:a16="http://schemas.microsoft.com/office/drawing/2014/main" id="{A63DB505-5C86-2D89-D3DC-02F414FB5379}"/>
            </a:ext>
          </a:extLst>
        </xdr:cNvPr>
        <xdr:cNvPicPr>
          <a:picLocks noChangeAspect="1"/>
        </xdr:cNvPicPr>
      </xdr:nvPicPr>
      <xdr:blipFill>
        <a:blip xmlns:r="http://schemas.openxmlformats.org/officeDocument/2006/relationships" r:link="rId174"/>
        <a:stretch>
          <a:fillRect/>
        </a:stretch>
      </xdr:blipFill>
      <xdr:spPr>
        <a:xfrm>
          <a:off x="28452305" y="252674043"/>
          <a:ext cx="968644" cy="970752"/>
        </a:xfrm>
        <a:prstGeom prst="rect">
          <a:avLst/>
        </a:prstGeom>
      </xdr:spPr>
    </xdr:pic>
    <xdr:clientData/>
  </xdr:twoCellAnchor>
  <xdr:twoCellAnchor editAs="oneCell">
    <xdr:from>
      <xdr:col>12</xdr:col>
      <xdr:colOff>684508</xdr:colOff>
      <xdr:row>182</xdr:row>
      <xdr:rowOff>206251</xdr:rowOff>
    </xdr:from>
    <xdr:to>
      <xdr:col>12</xdr:col>
      <xdr:colOff>1653152</xdr:colOff>
      <xdr:row>182</xdr:row>
      <xdr:rowOff>1177595</xdr:rowOff>
    </xdr:to>
    <xdr:pic>
      <xdr:nvPicPr>
        <xdr:cNvPr id="367" name="Picture 366">
          <a:extLst>
            <a:ext uri="{FF2B5EF4-FFF2-40B4-BE49-F238E27FC236}">
              <a16:creationId xmlns:a16="http://schemas.microsoft.com/office/drawing/2014/main" id="{0D52FBC9-9166-726F-F6B6-27285732DD43}"/>
            </a:ext>
          </a:extLst>
        </xdr:cNvPr>
        <xdr:cNvPicPr>
          <a:picLocks noChangeAspect="1"/>
        </xdr:cNvPicPr>
      </xdr:nvPicPr>
      <xdr:blipFill>
        <a:blip xmlns:r="http://schemas.openxmlformats.org/officeDocument/2006/relationships" r:link="rId175"/>
        <a:stretch>
          <a:fillRect/>
        </a:stretch>
      </xdr:blipFill>
      <xdr:spPr>
        <a:xfrm>
          <a:off x="28452305" y="254068488"/>
          <a:ext cx="968644" cy="971344"/>
        </a:xfrm>
        <a:prstGeom prst="rect">
          <a:avLst/>
        </a:prstGeom>
      </xdr:spPr>
    </xdr:pic>
    <xdr:clientData/>
  </xdr:twoCellAnchor>
  <xdr:twoCellAnchor editAs="oneCell">
    <xdr:from>
      <xdr:col>12</xdr:col>
      <xdr:colOff>684508</xdr:colOff>
      <xdr:row>183</xdr:row>
      <xdr:rowOff>206648</xdr:rowOff>
    </xdr:from>
    <xdr:to>
      <xdr:col>12</xdr:col>
      <xdr:colOff>1653152</xdr:colOff>
      <xdr:row>183</xdr:row>
      <xdr:rowOff>1177400</xdr:rowOff>
    </xdr:to>
    <xdr:pic>
      <xdr:nvPicPr>
        <xdr:cNvPr id="369" name="Picture 368">
          <a:extLst>
            <a:ext uri="{FF2B5EF4-FFF2-40B4-BE49-F238E27FC236}">
              <a16:creationId xmlns:a16="http://schemas.microsoft.com/office/drawing/2014/main" id="{A9B2F38C-C347-6216-962B-8E1B87F35299}"/>
            </a:ext>
          </a:extLst>
        </xdr:cNvPr>
        <xdr:cNvPicPr>
          <a:picLocks noChangeAspect="1"/>
        </xdr:cNvPicPr>
      </xdr:nvPicPr>
      <xdr:blipFill>
        <a:blip xmlns:r="http://schemas.openxmlformats.org/officeDocument/2006/relationships" r:link="rId176"/>
        <a:stretch>
          <a:fillRect/>
        </a:stretch>
      </xdr:blipFill>
      <xdr:spPr>
        <a:xfrm>
          <a:off x="28452305" y="255463733"/>
          <a:ext cx="968644" cy="970752"/>
        </a:xfrm>
        <a:prstGeom prst="rect">
          <a:avLst/>
        </a:prstGeom>
      </xdr:spPr>
    </xdr:pic>
    <xdr:clientData/>
  </xdr:twoCellAnchor>
  <xdr:twoCellAnchor editAs="oneCell">
    <xdr:from>
      <xdr:col>12</xdr:col>
      <xdr:colOff>684508</xdr:colOff>
      <xdr:row>184</xdr:row>
      <xdr:rowOff>206246</xdr:rowOff>
    </xdr:from>
    <xdr:to>
      <xdr:col>12</xdr:col>
      <xdr:colOff>1653152</xdr:colOff>
      <xdr:row>184</xdr:row>
      <xdr:rowOff>1177590</xdr:rowOff>
    </xdr:to>
    <xdr:pic>
      <xdr:nvPicPr>
        <xdr:cNvPr id="371" name="Picture 370">
          <a:extLst>
            <a:ext uri="{FF2B5EF4-FFF2-40B4-BE49-F238E27FC236}">
              <a16:creationId xmlns:a16="http://schemas.microsoft.com/office/drawing/2014/main" id="{D7E1A6FB-00C2-137B-1908-56CE80793AC0}"/>
            </a:ext>
          </a:extLst>
        </xdr:cNvPr>
        <xdr:cNvPicPr>
          <a:picLocks noChangeAspect="1"/>
        </xdr:cNvPicPr>
      </xdr:nvPicPr>
      <xdr:blipFill>
        <a:blip xmlns:r="http://schemas.openxmlformats.org/officeDocument/2006/relationships" r:link="rId177"/>
        <a:stretch>
          <a:fillRect/>
        </a:stretch>
      </xdr:blipFill>
      <xdr:spPr>
        <a:xfrm>
          <a:off x="28452305" y="256858178"/>
          <a:ext cx="968644" cy="971344"/>
        </a:xfrm>
        <a:prstGeom prst="rect">
          <a:avLst/>
        </a:prstGeom>
      </xdr:spPr>
    </xdr:pic>
    <xdr:clientData/>
  </xdr:twoCellAnchor>
  <xdr:twoCellAnchor editAs="oneCell">
    <xdr:from>
      <xdr:col>12</xdr:col>
      <xdr:colOff>684508</xdr:colOff>
      <xdr:row>185</xdr:row>
      <xdr:rowOff>206643</xdr:rowOff>
    </xdr:from>
    <xdr:to>
      <xdr:col>12</xdr:col>
      <xdr:colOff>1653152</xdr:colOff>
      <xdr:row>185</xdr:row>
      <xdr:rowOff>1177395</xdr:rowOff>
    </xdr:to>
    <xdr:pic>
      <xdr:nvPicPr>
        <xdr:cNvPr id="373" name="Picture 372">
          <a:extLst>
            <a:ext uri="{FF2B5EF4-FFF2-40B4-BE49-F238E27FC236}">
              <a16:creationId xmlns:a16="http://schemas.microsoft.com/office/drawing/2014/main" id="{5F0CB60B-EC93-694D-D264-50167F7E9CF0}"/>
            </a:ext>
          </a:extLst>
        </xdr:cNvPr>
        <xdr:cNvPicPr>
          <a:picLocks noChangeAspect="1"/>
        </xdr:cNvPicPr>
      </xdr:nvPicPr>
      <xdr:blipFill>
        <a:blip xmlns:r="http://schemas.openxmlformats.org/officeDocument/2006/relationships" r:link="rId178"/>
        <a:stretch>
          <a:fillRect/>
        </a:stretch>
      </xdr:blipFill>
      <xdr:spPr>
        <a:xfrm>
          <a:off x="28452305" y="258253423"/>
          <a:ext cx="968644" cy="970752"/>
        </a:xfrm>
        <a:prstGeom prst="rect">
          <a:avLst/>
        </a:prstGeom>
      </xdr:spPr>
    </xdr:pic>
    <xdr:clientData/>
  </xdr:twoCellAnchor>
  <xdr:twoCellAnchor editAs="oneCell">
    <xdr:from>
      <xdr:col>12</xdr:col>
      <xdr:colOff>684508</xdr:colOff>
      <xdr:row>186</xdr:row>
      <xdr:rowOff>206653</xdr:rowOff>
    </xdr:from>
    <xdr:to>
      <xdr:col>12</xdr:col>
      <xdr:colOff>1653152</xdr:colOff>
      <xdr:row>186</xdr:row>
      <xdr:rowOff>1177405</xdr:rowOff>
    </xdr:to>
    <xdr:pic>
      <xdr:nvPicPr>
        <xdr:cNvPr id="375" name="Picture 374">
          <a:extLst>
            <a:ext uri="{FF2B5EF4-FFF2-40B4-BE49-F238E27FC236}">
              <a16:creationId xmlns:a16="http://schemas.microsoft.com/office/drawing/2014/main" id="{F8EB0F31-C3EB-90B7-AEA1-FAB0670B256D}"/>
            </a:ext>
          </a:extLst>
        </xdr:cNvPr>
        <xdr:cNvPicPr>
          <a:picLocks noChangeAspect="1"/>
        </xdr:cNvPicPr>
      </xdr:nvPicPr>
      <xdr:blipFill>
        <a:blip xmlns:r="http://schemas.openxmlformats.org/officeDocument/2006/relationships" r:link="rId179"/>
        <a:stretch>
          <a:fillRect/>
        </a:stretch>
      </xdr:blipFill>
      <xdr:spPr>
        <a:xfrm>
          <a:off x="28452305" y="259648280"/>
          <a:ext cx="968644" cy="970752"/>
        </a:xfrm>
        <a:prstGeom prst="rect">
          <a:avLst/>
        </a:prstGeom>
      </xdr:spPr>
    </xdr:pic>
    <xdr:clientData/>
  </xdr:twoCellAnchor>
  <xdr:twoCellAnchor editAs="oneCell">
    <xdr:from>
      <xdr:col>12</xdr:col>
      <xdr:colOff>684508</xdr:colOff>
      <xdr:row>187</xdr:row>
      <xdr:rowOff>206249</xdr:rowOff>
    </xdr:from>
    <xdr:to>
      <xdr:col>12</xdr:col>
      <xdr:colOff>1653152</xdr:colOff>
      <xdr:row>187</xdr:row>
      <xdr:rowOff>1177594</xdr:rowOff>
    </xdr:to>
    <xdr:pic>
      <xdr:nvPicPr>
        <xdr:cNvPr id="377" name="Picture 376">
          <a:extLst>
            <a:ext uri="{FF2B5EF4-FFF2-40B4-BE49-F238E27FC236}">
              <a16:creationId xmlns:a16="http://schemas.microsoft.com/office/drawing/2014/main" id="{92EF6510-A04A-D553-C7FE-673A4FE96AB9}"/>
            </a:ext>
          </a:extLst>
        </xdr:cNvPr>
        <xdr:cNvPicPr>
          <a:picLocks noChangeAspect="1"/>
        </xdr:cNvPicPr>
      </xdr:nvPicPr>
      <xdr:blipFill>
        <a:blip xmlns:r="http://schemas.openxmlformats.org/officeDocument/2006/relationships" r:link="rId180"/>
        <a:stretch>
          <a:fillRect/>
        </a:stretch>
      </xdr:blipFill>
      <xdr:spPr>
        <a:xfrm>
          <a:off x="28452305" y="261042724"/>
          <a:ext cx="968644" cy="971345"/>
        </a:xfrm>
        <a:prstGeom prst="rect">
          <a:avLst/>
        </a:prstGeom>
      </xdr:spPr>
    </xdr:pic>
    <xdr:clientData/>
  </xdr:twoCellAnchor>
  <xdr:twoCellAnchor editAs="oneCell">
    <xdr:from>
      <xdr:col>12</xdr:col>
      <xdr:colOff>684508</xdr:colOff>
      <xdr:row>188</xdr:row>
      <xdr:rowOff>206648</xdr:rowOff>
    </xdr:from>
    <xdr:to>
      <xdr:col>12</xdr:col>
      <xdr:colOff>1653152</xdr:colOff>
      <xdr:row>188</xdr:row>
      <xdr:rowOff>1177400</xdr:rowOff>
    </xdr:to>
    <xdr:pic>
      <xdr:nvPicPr>
        <xdr:cNvPr id="379" name="Picture 378">
          <a:extLst>
            <a:ext uri="{FF2B5EF4-FFF2-40B4-BE49-F238E27FC236}">
              <a16:creationId xmlns:a16="http://schemas.microsoft.com/office/drawing/2014/main" id="{8E0A17F9-B31A-4109-0039-27C819EC0F4E}"/>
            </a:ext>
          </a:extLst>
        </xdr:cNvPr>
        <xdr:cNvPicPr>
          <a:picLocks noChangeAspect="1"/>
        </xdr:cNvPicPr>
      </xdr:nvPicPr>
      <xdr:blipFill>
        <a:blip xmlns:r="http://schemas.openxmlformats.org/officeDocument/2006/relationships" r:link="rId181"/>
        <a:stretch>
          <a:fillRect/>
        </a:stretch>
      </xdr:blipFill>
      <xdr:spPr>
        <a:xfrm>
          <a:off x="28452305" y="262437970"/>
          <a:ext cx="968644" cy="970752"/>
        </a:xfrm>
        <a:prstGeom prst="rect">
          <a:avLst/>
        </a:prstGeom>
      </xdr:spPr>
    </xdr:pic>
    <xdr:clientData/>
  </xdr:twoCellAnchor>
  <xdr:twoCellAnchor editAs="oneCell">
    <xdr:from>
      <xdr:col>12</xdr:col>
      <xdr:colOff>684508</xdr:colOff>
      <xdr:row>189</xdr:row>
      <xdr:rowOff>206246</xdr:rowOff>
    </xdr:from>
    <xdr:to>
      <xdr:col>12</xdr:col>
      <xdr:colOff>1653152</xdr:colOff>
      <xdr:row>189</xdr:row>
      <xdr:rowOff>1177590</xdr:rowOff>
    </xdr:to>
    <xdr:pic>
      <xdr:nvPicPr>
        <xdr:cNvPr id="381" name="Picture 380">
          <a:extLst>
            <a:ext uri="{FF2B5EF4-FFF2-40B4-BE49-F238E27FC236}">
              <a16:creationId xmlns:a16="http://schemas.microsoft.com/office/drawing/2014/main" id="{F2962357-E127-FA1D-82ED-9C5D5159D93E}"/>
            </a:ext>
          </a:extLst>
        </xdr:cNvPr>
        <xdr:cNvPicPr>
          <a:picLocks noChangeAspect="1"/>
        </xdr:cNvPicPr>
      </xdr:nvPicPr>
      <xdr:blipFill>
        <a:blip xmlns:r="http://schemas.openxmlformats.org/officeDocument/2006/relationships" r:link="rId182"/>
        <a:stretch>
          <a:fillRect/>
        </a:stretch>
      </xdr:blipFill>
      <xdr:spPr>
        <a:xfrm>
          <a:off x="28452305" y="263832415"/>
          <a:ext cx="968644" cy="971344"/>
        </a:xfrm>
        <a:prstGeom prst="rect">
          <a:avLst/>
        </a:prstGeom>
      </xdr:spPr>
    </xdr:pic>
    <xdr:clientData/>
  </xdr:twoCellAnchor>
  <xdr:twoCellAnchor editAs="oneCell">
    <xdr:from>
      <xdr:col>12</xdr:col>
      <xdr:colOff>684508</xdr:colOff>
      <xdr:row>190</xdr:row>
      <xdr:rowOff>206643</xdr:rowOff>
    </xdr:from>
    <xdr:to>
      <xdr:col>12</xdr:col>
      <xdr:colOff>1653152</xdr:colOff>
      <xdr:row>190</xdr:row>
      <xdr:rowOff>1177395</xdr:rowOff>
    </xdr:to>
    <xdr:pic>
      <xdr:nvPicPr>
        <xdr:cNvPr id="383" name="Picture 382">
          <a:extLst>
            <a:ext uri="{FF2B5EF4-FFF2-40B4-BE49-F238E27FC236}">
              <a16:creationId xmlns:a16="http://schemas.microsoft.com/office/drawing/2014/main" id="{16C520D1-58F0-49BA-FDB9-2FC75122F854}"/>
            </a:ext>
          </a:extLst>
        </xdr:cNvPr>
        <xdr:cNvPicPr>
          <a:picLocks noChangeAspect="1"/>
        </xdr:cNvPicPr>
      </xdr:nvPicPr>
      <xdr:blipFill>
        <a:blip xmlns:r="http://schemas.openxmlformats.org/officeDocument/2006/relationships" r:link="rId183"/>
        <a:stretch>
          <a:fillRect/>
        </a:stretch>
      </xdr:blipFill>
      <xdr:spPr>
        <a:xfrm>
          <a:off x="28452305" y="265227660"/>
          <a:ext cx="968644" cy="970752"/>
        </a:xfrm>
        <a:prstGeom prst="rect">
          <a:avLst/>
        </a:prstGeom>
      </xdr:spPr>
    </xdr:pic>
    <xdr:clientData/>
  </xdr:twoCellAnchor>
  <xdr:twoCellAnchor editAs="oneCell">
    <xdr:from>
      <xdr:col>12</xdr:col>
      <xdr:colOff>684508</xdr:colOff>
      <xdr:row>191</xdr:row>
      <xdr:rowOff>206653</xdr:rowOff>
    </xdr:from>
    <xdr:to>
      <xdr:col>12</xdr:col>
      <xdr:colOff>1653152</xdr:colOff>
      <xdr:row>191</xdr:row>
      <xdr:rowOff>1177405</xdr:rowOff>
    </xdr:to>
    <xdr:pic>
      <xdr:nvPicPr>
        <xdr:cNvPr id="385" name="Picture 384">
          <a:extLst>
            <a:ext uri="{FF2B5EF4-FFF2-40B4-BE49-F238E27FC236}">
              <a16:creationId xmlns:a16="http://schemas.microsoft.com/office/drawing/2014/main" id="{1058963A-8E19-0E79-C522-BF32C67653FB}"/>
            </a:ext>
          </a:extLst>
        </xdr:cNvPr>
        <xdr:cNvPicPr>
          <a:picLocks noChangeAspect="1"/>
        </xdr:cNvPicPr>
      </xdr:nvPicPr>
      <xdr:blipFill>
        <a:blip xmlns:r="http://schemas.openxmlformats.org/officeDocument/2006/relationships" r:link="rId184"/>
        <a:stretch>
          <a:fillRect/>
        </a:stretch>
      </xdr:blipFill>
      <xdr:spPr>
        <a:xfrm>
          <a:off x="28452305" y="266622517"/>
          <a:ext cx="968644" cy="970752"/>
        </a:xfrm>
        <a:prstGeom prst="rect">
          <a:avLst/>
        </a:prstGeom>
      </xdr:spPr>
    </xdr:pic>
    <xdr:clientData/>
  </xdr:twoCellAnchor>
  <xdr:twoCellAnchor editAs="oneCell">
    <xdr:from>
      <xdr:col>12</xdr:col>
      <xdr:colOff>684508</xdr:colOff>
      <xdr:row>192</xdr:row>
      <xdr:rowOff>206249</xdr:rowOff>
    </xdr:from>
    <xdr:to>
      <xdr:col>12</xdr:col>
      <xdr:colOff>1653152</xdr:colOff>
      <xdr:row>192</xdr:row>
      <xdr:rowOff>1177594</xdr:rowOff>
    </xdr:to>
    <xdr:pic>
      <xdr:nvPicPr>
        <xdr:cNvPr id="387" name="Picture 386">
          <a:extLst>
            <a:ext uri="{FF2B5EF4-FFF2-40B4-BE49-F238E27FC236}">
              <a16:creationId xmlns:a16="http://schemas.microsoft.com/office/drawing/2014/main" id="{CBC08D64-7200-D472-C0E2-1164630899FB}"/>
            </a:ext>
          </a:extLst>
        </xdr:cNvPr>
        <xdr:cNvPicPr>
          <a:picLocks noChangeAspect="1"/>
        </xdr:cNvPicPr>
      </xdr:nvPicPr>
      <xdr:blipFill>
        <a:blip xmlns:r="http://schemas.openxmlformats.org/officeDocument/2006/relationships" r:link="rId185"/>
        <a:stretch>
          <a:fillRect/>
        </a:stretch>
      </xdr:blipFill>
      <xdr:spPr>
        <a:xfrm>
          <a:off x="28452305" y="268016961"/>
          <a:ext cx="968644" cy="971345"/>
        </a:xfrm>
        <a:prstGeom prst="rect">
          <a:avLst/>
        </a:prstGeom>
      </xdr:spPr>
    </xdr:pic>
    <xdr:clientData/>
  </xdr:twoCellAnchor>
  <xdr:twoCellAnchor editAs="oneCell">
    <xdr:from>
      <xdr:col>12</xdr:col>
      <xdr:colOff>684508</xdr:colOff>
      <xdr:row>193</xdr:row>
      <xdr:rowOff>206648</xdr:rowOff>
    </xdr:from>
    <xdr:to>
      <xdr:col>12</xdr:col>
      <xdr:colOff>1653152</xdr:colOff>
      <xdr:row>193</xdr:row>
      <xdr:rowOff>1177400</xdr:rowOff>
    </xdr:to>
    <xdr:pic>
      <xdr:nvPicPr>
        <xdr:cNvPr id="389" name="Picture 388">
          <a:extLst>
            <a:ext uri="{FF2B5EF4-FFF2-40B4-BE49-F238E27FC236}">
              <a16:creationId xmlns:a16="http://schemas.microsoft.com/office/drawing/2014/main" id="{B8C1A86C-7792-6433-34B4-A0E6F46E0AC1}"/>
            </a:ext>
          </a:extLst>
        </xdr:cNvPr>
        <xdr:cNvPicPr>
          <a:picLocks noChangeAspect="1"/>
        </xdr:cNvPicPr>
      </xdr:nvPicPr>
      <xdr:blipFill>
        <a:blip xmlns:r="http://schemas.openxmlformats.org/officeDocument/2006/relationships" r:link="rId186"/>
        <a:stretch>
          <a:fillRect/>
        </a:stretch>
      </xdr:blipFill>
      <xdr:spPr>
        <a:xfrm>
          <a:off x="28452305" y="269412207"/>
          <a:ext cx="968644" cy="970752"/>
        </a:xfrm>
        <a:prstGeom prst="rect">
          <a:avLst/>
        </a:prstGeom>
      </xdr:spPr>
    </xdr:pic>
    <xdr:clientData/>
  </xdr:twoCellAnchor>
  <xdr:twoCellAnchor editAs="oneCell">
    <xdr:from>
      <xdr:col>12</xdr:col>
      <xdr:colOff>684508</xdr:colOff>
      <xdr:row>194</xdr:row>
      <xdr:rowOff>206244</xdr:rowOff>
    </xdr:from>
    <xdr:to>
      <xdr:col>12</xdr:col>
      <xdr:colOff>1653152</xdr:colOff>
      <xdr:row>194</xdr:row>
      <xdr:rowOff>1177589</xdr:rowOff>
    </xdr:to>
    <xdr:pic>
      <xdr:nvPicPr>
        <xdr:cNvPr id="391" name="Picture 390">
          <a:extLst>
            <a:ext uri="{FF2B5EF4-FFF2-40B4-BE49-F238E27FC236}">
              <a16:creationId xmlns:a16="http://schemas.microsoft.com/office/drawing/2014/main" id="{299C031E-03D2-1E21-A21D-53E48F8DE0B4}"/>
            </a:ext>
          </a:extLst>
        </xdr:cNvPr>
        <xdr:cNvPicPr>
          <a:picLocks noChangeAspect="1"/>
        </xdr:cNvPicPr>
      </xdr:nvPicPr>
      <xdr:blipFill>
        <a:blip xmlns:r="http://schemas.openxmlformats.org/officeDocument/2006/relationships" r:link="rId187"/>
        <a:stretch>
          <a:fillRect/>
        </a:stretch>
      </xdr:blipFill>
      <xdr:spPr>
        <a:xfrm>
          <a:off x="28452305" y="270806651"/>
          <a:ext cx="968644" cy="971345"/>
        </a:xfrm>
        <a:prstGeom prst="rect">
          <a:avLst/>
        </a:prstGeom>
      </xdr:spPr>
    </xdr:pic>
    <xdr:clientData/>
  </xdr:twoCellAnchor>
  <xdr:twoCellAnchor editAs="oneCell">
    <xdr:from>
      <xdr:col>12</xdr:col>
      <xdr:colOff>684508</xdr:colOff>
      <xdr:row>195</xdr:row>
      <xdr:rowOff>206643</xdr:rowOff>
    </xdr:from>
    <xdr:to>
      <xdr:col>12</xdr:col>
      <xdr:colOff>1653152</xdr:colOff>
      <xdr:row>195</xdr:row>
      <xdr:rowOff>1177395</xdr:rowOff>
    </xdr:to>
    <xdr:pic>
      <xdr:nvPicPr>
        <xdr:cNvPr id="393" name="Picture 392">
          <a:extLst>
            <a:ext uri="{FF2B5EF4-FFF2-40B4-BE49-F238E27FC236}">
              <a16:creationId xmlns:a16="http://schemas.microsoft.com/office/drawing/2014/main" id="{360BF110-74A7-12D8-B8C2-F86FCF2BD744}"/>
            </a:ext>
          </a:extLst>
        </xdr:cNvPr>
        <xdr:cNvPicPr>
          <a:picLocks noChangeAspect="1"/>
        </xdr:cNvPicPr>
      </xdr:nvPicPr>
      <xdr:blipFill>
        <a:blip xmlns:r="http://schemas.openxmlformats.org/officeDocument/2006/relationships" r:link="rId188"/>
        <a:stretch>
          <a:fillRect/>
        </a:stretch>
      </xdr:blipFill>
      <xdr:spPr>
        <a:xfrm>
          <a:off x="28452305" y="272201897"/>
          <a:ext cx="968644" cy="970752"/>
        </a:xfrm>
        <a:prstGeom prst="rect">
          <a:avLst/>
        </a:prstGeom>
      </xdr:spPr>
    </xdr:pic>
    <xdr:clientData/>
  </xdr:twoCellAnchor>
  <xdr:twoCellAnchor editAs="oneCell">
    <xdr:from>
      <xdr:col>12</xdr:col>
      <xdr:colOff>684508</xdr:colOff>
      <xdr:row>196</xdr:row>
      <xdr:rowOff>206653</xdr:rowOff>
    </xdr:from>
    <xdr:to>
      <xdr:col>12</xdr:col>
      <xdr:colOff>1653152</xdr:colOff>
      <xdr:row>196</xdr:row>
      <xdr:rowOff>1177405</xdr:rowOff>
    </xdr:to>
    <xdr:pic>
      <xdr:nvPicPr>
        <xdr:cNvPr id="395" name="Picture 394">
          <a:extLst>
            <a:ext uri="{FF2B5EF4-FFF2-40B4-BE49-F238E27FC236}">
              <a16:creationId xmlns:a16="http://schemas.microsoft.com/office/drawing/2014/main" id="{0940F8CD-E59F-CE0F-ACB6-C2B158A100F9}"/>
            </a:ext>
          </a:extLst>
        </xdr:cNvPr>
        <xdr:cNvPicPr>
          <a:picLocks noChangeAspect="1"/>
        </xdr:cNvPicPr>
      </xdr:nvPicPr>
      <xdr:blipFill>
        <a:blip xmlns:r="http://schemas.openxmlformats.org/officeDocument/2006/relationships" r:link="rId189"/>
        <a:stretch>
          <a:fillRect/>
        </a:stretch>
      </xdr:blipFill>
      <xdr:spPr>
        <a:xfrm>
          <a:off x="28452305" y="273596755"/>
          <a:ext cx="968644" cy="970752"/>
        </a:xfrm>
        <a:prstGeom prst="rect">
          <a:avLst/>
        </a:prstGeom>
      </xdr:spPr>
    </xdr:pic>
    <xdr:clientData/>
  </xdr:twoCellAnchor>
  <xdr:twoCellAnchor editAs="oneCell">
    <xdr:from>
      <xdr:col>12</xdr:col>
      <xdr:colOff>684508</xdr:colOff>
      <xdr:row>197</xdr:row>
      <xdr:rowOff>206251</xdr:rowOff>
    </xdr:from>
    <xdr:to>
      <xdr:col>12</xdr:col>
      <xdr:colOff>1653152</xdr:colOff>
      <xdr:row>197</xdr:row>
      <xdr:rowOff>1177595</xdr:rowOff>
    </xdr:to>
    <xdr:pic>
      <xdr:nvPicPr>
        <xdr:cNvPr id="397" name="Picture 396">
          <a:extLst>
            <a:ext uri="{FF2B5EF4-FFF2-40B4-BE49-F238E27FC236}">
              <a16:creationId xmlns:a16="http://schemas.microsoft.com/office/drawing/2014/main" id="{3896F318-AC34-39FC-83C3-F93B69DC8EE2}"/>
            </a:ext>
          </a:extLst>
        </xdr:cNvPr>
        <xdr:cNvPicPr>
          <a:picLocks noChangeAspect="1"/>
        </xdr:cNvPicPr>
      </xdr:nvPicPr>
      <xdr:blipFill>
        <a:blip xmlns:r="http://schemas.openxmlformats.org/officeDocument/2006/relationships" r:link="rId190"/>
        <a:stretch>
          <a:fillRect/>
        </a:stretch>
      </xdr:blipFill>
      <xdr:spPr>
        <a:xfrm>
          <a:off x="28452305" y="274991200"/>
          <a:ext cx="968644" cy="971344"/>
        </a:xfrm>
        <a:prstGeom prst="rect">
          <a:avLst/>
        </a:prstGeom>
      </xdr:spPr>
    </xdr:pic>
    <xdr:clientData/>
  </xdr:twoCellAnchor>
  <xdr:twoCellAnchor editAs="oneCell">
    <xdr:from>
      <xdr:col>12</xdr:col>
      <xdr:colOff>684508</xdr:colOff>
      <xdr:row>198</xdr:row>
      <xdr:rowOff>206648</xdr:rowOff>
    </xdr:from>
    <xdr:to>
      <xdr:col>12</xdr:col>
      <xdr:colOff>1653152</xdr:colOff>
      <xdr:row>198</xdr:row>
      <xdr:rowOff>1177400</xdr:rowOff>
    </xdr:to>
    <xdr:pic>
      <xdr:nvPicPr>
        <xdr:cNvPr id="399" name="Picture 398">
          <a:extLst>
            <a:ext uri="{FF2B5EF4-FFF2-40B4-BE49-F238E27FC236}">
              <a16:creationId xmlns:a16="http://schemas.microsoft.com/office/drawing/2014/main" id="{D36B6A44-5682-56AB-C389-EE1CC0B46E4A}"/>
            </a:ext>
          </a:extLst>
        </xdr:cNvPr>
        <xdr:cNvPicPr>
          <a:picLocks noChangeAspect="1"/>
        </xdr:cNvPicPr>
      </xdr:nvPicPr>
      <xdr:blipFill>
        <a:blip xmlns:r="http://schemas.openxmlformats.org/officeDocument/2006/relationships" r:link="rId191"/>
        <a:stretch>
          <a:fillRect/>
        </a:stretch>
      </xdr:blipFill>
      <xdr:spPr>
        <a:xfrm>
          <a:off x="28452305" y="276386445"/>
          <a:ext cx="968644" cy="970752"/>
        </a:xfrm>
        <a:prstGeom prst="rect">
          <a:avLst/>
        </a:prstGeom>
      </xdr:spPr>
    </xdr:pic>
    <xdr:clientData/>
  </xdr:twoCellAnchor>
  <xdr:twoCellAnchor editAs="oneCell">
    <xdr:from>
      <xdr:col>12</xdr:col>
      <xdr:colOff>684508</xdr:colOff>
      <xdr:row>199</xdr:row>
      <xdr:rowOff>206246</xdr:rowOff>
    </xdr:from>
    <xdr:to>
      <xdr:col>12</xdr:col>
      <xdr:colOff>1653152</xdr:colOff>
      <xdr:row>199</xdr:row>
      <xdr:rowOff>1177590</xdr:rowOff>
    </xdr:to>
    <xdr:pic>
      <xdr:nvPicPr>
        <xdr:cNvPr id="401" name="Picture 400">
          <a:extLst>
            <a:ext uri="{FF2B5EF4-FFF2-40B4-BE49-F238E27FC236}">
              <a16:creationId xmlns:a16="http://schemas.microsoft.com/office/drawing/2014/main" id="{35CA8AD5-DC3F-3EA0-2F9B-0F2ECD79293C}"/>
            </a:ext>
          </a:extLst>
        </xdr:cNvPr>
        <xdr:cNvPicPr>
          <a:picLocks noChangeAspect="1"/>
        </xdr:cNvPicPr>
      </xdr:nvPicPr>
      <xdr:blipFill>
        <a:blip xmlns:r="http://schemas.openxmlformats.org/officeDocument/2006/relationships" r:link="rId192"/>
        <a:stretch>
          <a:fillRect/>
        </a:stretch>
      </xdr:blipFill>
      <xdr:spPr>
        <a:xfrm>
          <a:off x="28452305" y="277780890"/>
          <a:ext cx="968644" cy="971344"/>
        </a:xfrm>
        <a:prstGeom prst="rect">
          <a:avLst/>
        </a:prstGeom>
      </xdr:spPr>
    </xdr:pic>
    <xdr:clientData/>
  </xdr:twoCellAnchor>
  <xdr:twoCellAnchor editAs="oneCell">
    <xdr:from>
      <xdr:col>12</xdr:col>
      <xdr:colOff>684508</xdr:colOff>
      <xdr:row>200</xdr:row>
      <xdr:rowOff>206643</xdr:rowOff>
    </xdr:from>
    <xdr:to>
      <xdr:col>12</xdr:col>
      <xdr:colOff>1653152</xdr:colOff>
      <xdr:row>200</xdr:row>
      <xdr:rowOff>1177395</xdr:rowOff>
    </xdr:to>
    <xdr:pic>
      <xdr:nvPicPr>
        <xdr:cNvPr id="403" name="Picture 402">
          <a:extLst>
            <a:ext uri="{FF2B5EF4-FFF2-40B4-BE49-F238E27FC236}">
              <a16:creationId xmlns:a16="http://schemas.microsoft.com/office/drawing/2014/main" id="{3FDE681F-DC44-1E44-B3D8-ECB8FB966DFD}"/>
            </a:ext>
          </a:extLst>
        </xdr:cNvPr>
        <xdr:cNvPicPr>
          <a:picLocks noChangeAspect="1"/>
        </xdr:cNvPicPr>
      </xdr:nvPicPr>
      <xdr:blipFill>
        <a:blip xmlns:r="http://schemas.openxmlformats.org/officeDocument/2006/relationships" r:link="rId193"/>
        <a:stretch>
          <a:fillRect/>
        </a:stretch>
      </xdr:blipFill>
      <xdr:spPr>
        <a:xfrm>
          <a:off x="28452305" y="279176135"/>
          <a:ext cx="968644" cy="970752"/>
        </a:xfrm>
        <a:prstGeom prst="rect">
          <a:avLst/>
        </a:prstGeom>
      </xdr:spPr>
    </xdr:pic>
    <xdr:clientData/>
  </xdr:twoCellAnchor>
  <xdr:twoCellAnchor editAs="oneCell">
    <xdr:from>
      <xdr:col>12</xdr:col>
      <xdr:colOff>684508</xdr:colOff>
      <xdr:row>201</xdr:row>
      <xdr:rowOff>206653</xdr:rowOff>
    </xdr:from>
    <xdr:to>
      <xdr:col>12</xdr:col>
      <xdr:colOff>1653152</xdr:colOff>
      <xdr:row>201</xdr:row>
      <xdr:rowOff>1177405</xdr:rowOff>
    </xdr:to>
    <xdr:pic>
      <xdr:nvPicPr>
        <xdr:cNvPr id="405" name="Picture 404">
          <a:extLst>
            <a:ext uri="{FF2B5EF4-FFF2-40B4-BE49-F238E27FC236}">
              <a16:creationId xmlns:a16="http://schemas.microsoft.com/office/drawing/2014/main" id="{F7B06F0C-2DC3-469B-3CD4-C8D5DCFF5192}"/>
            </a:ext>
          </a:extLst>
        </xdr:cNvPr>
        <xdr:cNvPicPr>
          <a:picLocks noChangeAspect="1"/>
        </xdr:cNvPicPr>
      </xdr:nvPicPr>
      <xdr:blipFill>
        <a:blip xmlns:r="http://schemas.openxmlformats.org/officeDocument/2006/relationships" r:link="rId194"/>
        <a:stretch>
          <a:fillRect/>
        </a:stretch>
      </xdr:blipFill>
      <xdr:spPr>
        <a:xfrm>
          <a:off x="28452305" y="280570992"/>
          <a:ext cx="968644" cy="970752"/>
        </a:xfrm>
        <a:prstGeom prst="rect">
          <a:avLst/>
        </a:prstGeom>
      </xdr:spPr>
    </xdr:pic>
    <xdr:clientData/>
  </xdr:twoCellAnchor>
  <xdr:twoCellAnchor editAs="oneCell">
    <xdr:from>
      <xdr:col>12</xdr:col>
      <xdr:colOff>684508</xdr:colOff>
      <xdr:row>202</xdr:row>
      <xdr:rowOff>206251</xdr:rowOff>
    </xdr:from>
    <xdr:to>
      <xdr:col>12</xdr:col>
      <xdr:colOff>1653152</xdr:colOff>
      <xdr:row>202</xdr:row>
      <xdr:rowOff>1177595</xdr:rowOff>
    </xdr:to>
    <xdr:pic>
      <xdr:nvPicPr>
        <xdr:cNvPr id="407" name="Picture 406">
          <a:extLst>
            <a:ext uri="{FF2B5EF4-FFF2-40B4-BE49-F238E27FC236}">
              <a16:creationId xmlns:a16="http://schemas.microsoft.com/office/drawing/2014/main" id="{A72177C3-9E51-A4A9-C99D-13324DAEE39A}"/>
            </a:ext>
          </a:extLst>
        </xdr:cNvPr>
        <xdr:cNvPicPr>
          <a:picLocks noChangeAspect="1"/>
        </xdr:cNvPicPr>
      </xdr:nvPicPr>
      <xdr:blipFill>
        <a:blip xmlns:r="http://schemas.openxmlformats.org/officeDocument/2006/relationships" r:link="rId195"/>
        <a:stretch>
          <a:fillRect/>
        </a:stretch>
      </xdr:blipFill>
      <xdr:spPr>
        <a:xfrm>
          <a:off x="28452305" y="281965437"/>
          <a:ext cx="968644" cy="971344"/>
        </a:xfrm>
        <a:prstGeom prst="rect">
          <a:avLst/>
        </a:prstGeom>
      </xdr:spPr>
    </xdr:pic>
    <xdr:clientData/>
  </xdr:twoCellAnchor>
  <xdr:twoCellAnchor editAs="oneCell">
    <xdr:from>
      <xdr:col>12</xdr:col>
      <xdr:colOff>684508</xdr:colOff>
      <xdr:row>203</xdr:row>
      <xdr:rowOff>206648</xdr:rowOff>
    </xdr:from>
    <xdr:to>
      <xdr:col>12</xdr:col>
      <xdr:colOff>1653152</xdr:colOff>
      <xdr:row>203</xdr:row>
      <xdr:rowOff>1177400</xdr:rowOff>
    </xdr:to>
    <xdr:pic>
      <xdr:nvPicPr>
        <xdr:cNvPr id="409" name="Picture 408">
          <a:extLst>
            <a:ext uri="{FF2B5EF4-FFF2-40B4-BE49-F238E27FC236}">
              <a16:creationId xmlns:a16="http://schemas.microsoft.com/office/drawing/2014/main" id="{AE5D2E17-583A-A52A-2252-72FADB6B4BD9}"/>
            </a:ext>
          </a:extLst>
        </xdr:cNvPr>
        <xdr:cNvPicPr>
          <a:picLocks noChangeAspect="1"/>
        </xdr:cNvPicPr>
      </xdr:nvPicPr>
      <xdr:blipFill>
        <a:blip xmlns:r="http://schemas.openxmlformats.org/officeDocument/2006/relationships" r:link="rId196"/>
        <a:stretch>
          <a:fillRect/>
        </a:stretch>
      </xdr:blipFill>
      <xdr:spPr>
        <a:xfrm>
          <a:off x="28452305" y="283360682"/>
          <a:ext cx="968644" cy="970752"/>
        </a:xfrm>
        <a:prstGeom prst="rect">
          <a:avLst/>
        </a:prstGeom>
      </xdr:spPr>
    </xdr:pic>
    <xdr:clientData/>
  </xdr:twoCellAnchor>
  <xdr:twoCellAnchor editAs="oneCell">
    <xdr:from>
      <xdr:col>12</xdr:col>
      <xdr:colOff>684508</xdr:colOff>
      <xdr:row>204</xdr:row>
      <xdr:rowOff>206246</xdr:rowOff>
    </xdr:from>
    <xdr:to>
      <xdr:col>12</xdr:col>
      <xdr:colOff>1653152</xdr:colOff>
      <xdr:row>204</xdr:row>
      <xdr:rowOff>1177590</xdr:rowOff>
    </xdr:to>
    <xdr:pic>
      <xdr:nvPicPr>
        <xdr:cNvPr id="411" name="Picture 410">
          <a:extLst>
            <a:ext uri="{FF2B5EF4-FFF2-40B4-BE49-F238E27FC236}">
              <a16:creationId xmlns:a16="http://schemas.microsoft.com/office/drawing/2014/main" id="{F1320638-14A6-23DC-3B73-43A5802BF09B}"/>
            </a:ext>
          </a:extLst>
        </xdr:cNvPr>
        <xdr:cNvPicPr>
          <a:picLocks noChangeAspect="1"/>
        </xdr:cNvPicPr>
      </xdr:nvPicPr>
      <xdr:blipFill>
        <a:blip xmlns:r="http://schemas.openxmlformats.org/officeDocument/2006/relationships" r:link="rId197"/>
        <a:stretch>
          <a:fillRect/>
        </a:stretch>
      </xdr:blipFill>
      <xdr:spPr>
        <a:xfrm>
          <a:off x="28452305" y="284755127"/>
          <a:ext cx="968644" cy="971344"/>
        </a:xfrm>
        <a:prstGeom prst="rect">
          <a:avLst/>
        </a:prstGeom>
      </xdr:spPr>
    </xdr:pic>
    <xdr:clientData/>
  </xdr:twoCellAnchor>
  <xdr:twoCellAnchor editAs="oneCell">
    <xdr:from>
      <xdr:col>12</xdr:col>
      <xdr:colOff>684508</xdr:colOff>
      <xdr:row>205</xdr:row>
      <xdr:rowOff>206643</xdr:rowOff>
    </xdr:from>
    <xdr:to>
      <xdr:col>12</xdr:col>
      <xdr:colOff>1653152</xdr:colOff>
      <xdr:row>205</xdr:row>
      <xdr:rowOff>1177395</xdr:rowOff>
    </xdr:to>
    <xdr:pic>
      <xdr:nvPicPr>
        <xdr:cNvPr id="413" name="Picture 412">
          <a:extLst>
            <a:ext uri="{FF2B5EF4-FFF2-40B4-BE49-F238E27FC236}">
              <a16:creationId xmlns:a16="http://schemas.microsoft.com/office/drawing/2014/main" id="{ABE7945B-BC48-1247-02B4-8312E2B41DBD}"/>
            </a:ext>
          </a:extLst>
        </xdr:cNvPr>
        <xdr:cNvPicPr>
          <a:picLocks noChangeAspect="1"/>
        </xdr:cNvPicPr>
      </xdr:nvPicPr>
      <xdr:blipFill>
        <a:blip xmlns:r="http://schemas.openxmlformats.org/officeDocument/2006/relationships" r:link="rId198"/>
        <a:stretch>
          <a:fillRect/>
        </a:stretch>
      </xdr:blipFill>
      <xdr:spPr>
        <a:xfrm>
          <a:off x="28452305" y="286150372"/>
          <a:ext cx="968644" cy="970752"/>
        </a:xfrm>
        <a:prstGeom prst="rect">
          <a:avLst/>
        </a:prstGeom>
      </xdr:spPr>
    </xdr:pic>
    <xdr:clientData/>
  </xdr:twoCellAnchor>
  <xdr:twoCellAnchor editAs="oneCell">
    <xdr:from>
      <xdr:col>12</xdr:col>
      <xdr:colOff>684508</xdr:colOff>
      <xdr:row>206</xdr:row>
      <xdr:rowOff>206653</xdr:rowOff>
    </xdr:from>
    <xdr:to>
      <xdr:col>12</xdr:col>
      <xdr:colOff>1653152</xdr:colOff>
      <xdr:row>206</xdr:row>
      <xdr:rowOff>1177405</xdr:rowOff>
    </xdr:to>
    <xdr:pic>
      <xdr:nvPicPr>
        <xdr:cNvPr id="415" name="Picture 414">
          <a:extLst>
            <a:ext uri="{FF2B5EF4-FFF2-40B4-BE49-F238E27FC236}">
              <a16:creationId xmlns:a16="http://schemas.microsoft.com/office/drawing/2014/main" id="{11089EDD-E5C2-CCC1-608C-02C32BBB8326}"/>
            </a:ext>
          </a:extLst>
        </xdr:cNvPr>
        <xdr:cNvPicPr>
          <a:picLocks noChangeAspect="1"/>
        </xdr:cNvPicPr>
      </xdr:nvPicPr>
      <xdr:blipFill>
        <a:blip xmlns:r="http://schemas.openxmlformats.org/officeDocument/2006/relationships" r:link="rId199"/>
        <a:stretch>
          <a:fillRect/>
        </a:stretch>
      </xdr:blipFill>
      <xdr:spPr>
        <a:xfrm>
          <a:off x="28452305" y="287545229"/>
          <a:ext cx="968644" cy="970752"/>
        </a:xfrm>
        <a:prstGeom prst="rect">
          <a:avLst/>
        </a:prstGeom>
      </xdr:spPr>
    </xdr:pic>
    <xdr:clientData/>
  </xdr:twoCellAnchor>
  <xdr:twoCellAnchor editAs="oneCell">
    <xdr:from>
      <xdr:col>12</xdr:col>
      <xdr:colOff>684508</xdr:colOff>
      <xdr:row>207</xdr:row>
      <xdr:rowOff>206249</xdr:rowOff>
    </xdr:from>
    <xdr:to>
      <xdr:col>12</xdr:col>
      <xdr:colOff>1653152</xdr:colOff>
      <xdr:row>207</xdr:row>
      <xdr:rowOff>1177594</xdr:rowOff>
    </xdr:to>
    <xdr:pic>
      <xdr:nvPicPr>
        <xdr:cNvPr id="417" name="Picture 416">
          <a:extLst>
            <a:ext uri="{FF2B5EF4-FFF2-40B4-BE49-F238E27FC236}">
              <a16:creationId xmlns:a16="http://schemas.microsoft.com/office/drawing/2014/main" id="{20B58A51-EA58-3650-8EAC-10ABACA869B6}"/>
            </a:ext>
          </a:extLst>
        </xdr:cNvPr>
        <xdr:cNvPicPr>
          <a:picLocks noChangeAspect="1"/>
        </xdr:cNvPicPr>
      </xdr:nvPicPr>
      <xdr:blipFill>
        <a:blip xmlns:r="http://schemas.openxmlformats.org/officeDocument/2006/relationships" r:link="rId200"/>
        <a:stretch>
          <a:fillRect/>
        </a:stretch>
      </xdr:blipFill>
      <xdr:spPr>
        <a:xfrm>
          <a:off x="28452305" y="288939673"/>
          <a:ext cx="968644" cy="971345"/>
        </a:xfrm>
        <a:prstGeom prst="rect">
          <a:avLst/>
        </a:prstGeom>
      </xdr:spPr>
    </xdr:pic>
    <xdr:clientData/>
  </xdr:twoCellAnchor>
  <xdr:twoCellAnchor editAs="oneCell">
    <xdr:from>
      <xdr:col>12</xdr:col>
      <xdr:colOff>684508</xdr:colOff>
      <xdr:row>208</xdr:row>
      <xdr:rowOff>206648</xdr:rowOff>
    </xdr:from>
    <xdr:to>
      <xdr:col>12</xdr:col>
      <xdr:colOff>1653152</xdr:colOff>
      <xdr:row>208</xdr:row>
      <xdr:rowOff>1177400</xdr:rowOff>
    </xdr:to>
    <xdr:pic>
      <xdr:nvPicPr>
        <xdr:cNvPr id="419" name="Picture 418">
          <a:extLst>
            <a:ext uri="{FF2B5EF4-FFF2-40B4-BE49-F238E27FC236}">
              <a16:creationId xmlns:a16="http://schemas.microsoft.com/office/drawing/2014/main" id="{B3D523BE-8CF0-6277-B98C-038931D48534}"/>
            </a:ext>
          </a:extLst>
        </xdr:cNvPr>
        <xdr:cNvPicPr>
          <a:picLocks noChangeAspect="1"/>
        </xdr:cNvPicPr>
      </xdr:nvPicPr>
      <xdr:blipFill>
        <a:blip xmlns:r="http://schemas.openxmlformats.org/officeDocument/2006/relationships" r:link="rId201"/>
        <a:stretch>
          <a:fillRect/>
        </a:stretch>
      </xdr:blipFill>
      <xdr:spPr>
        <a:xfrm>
          <a:off x="28452305" y="290334919"/>
          <a:ext cx="968644" cy="970752"/>
        </a:xfrm>
        <a:prstGeom prst="rect">
          <a:avLst/>
        </a:prstGeom>
      </xdr:spPr>
    </xdr:pic>
    <xdr:clientData/>
  </xdr:twoCellAnchor>
  <xdr:twoCellAnchor editAs="oneCell">
    <xdr:from>
      <xdr:col>12</xdr:col>
      <xdr:colOff>684508</xdr:colOff>
      <xdr:row>209</xdr:row>
      <xdr:rowOff>206244</xdr:rowOff>
    </xdr:from>
    <xdr:to>
      <xdr:col>12</xdr:col>
      <xdr:colOff>1653152</xdr:colOff>
      <xdr:row>209</xdr:row>
      <xdr:rowOff>1177589</xdr:rowOff>
    </xdr:to>
    <xdr:pic>
      <xdr:nvPicPr>
        <xdr:cNvPr id="421" name="Picture 420">
          <a:extLst>
            <a:ext uri="{FF2B5EF4-FFF2-40B4-BE49-F238E27FC236}">
              <a16:creationId xmlns:a16="http://schemas.microsoft.com/office/drawing/2014/main" id="{F443D2DE-8041-6AD8-10A5-0FB3B9923201}"/>
            </a:ext>
          </a:extLst>
        </xdr:cNvPr>
        <xdr:cNvPicPr>
          <a:picLocks noChangeAspect="1"/>
        </xdr:cNvPicPr>
      </xdr:nvPicPr>
      <xdr:blipFill>
        <a:blip xmlns:r="http://schemas.openxmlformats.org/officeDocument/2006/relationships" r:link="rId202"/>
        <a:stretch>
          <a:fillRect/>
        </a:stretch>
      </xdr:blipFill>
      <xdr:spPr>
        <a:xfrm>
          <a:off x="28452305" y="291729363"/>
          <a:ext cx="968644" cy="971345"/>
        </a:xfrm>
        <a:prstGeom prst="rect">
          <a:avLst/>
        </a:prstGeom>
      </xdr:spPr>
    </xdr:pic>
    <xdr:clientData/>
  </xdr:twoCellAnchor>
  <xdr:twoCellAnchor editAs="oneCell">
    <xdr:from>
      <xdr:col>12</xdr:col>
      <xdr:colOff>684508</xdr:colOff>
      <xdr:row>210</xdr:row>
      <xdr:rowOff>206643</xdr:rowOff>
    </xdr:from>
    <xdr:to>
      <xdr:col>12</xdr:col>
      <xdr:colOff>1653152</xdr:colOff>
      <xdr:row>210</xdr:row>
      <xdr:rowOff>1177395</xdr:rowOff>
    </xdr:to>
    <xdr:pic>
      <xdr:nvPicPr>
        <xdr:cNvPr id="423" name="Picture 422">
          <a:extLst>
            <a:ext uri="{FF2B5EF4-FFF2-40B4-BE49-F238E27FC236}">
              <a16:creationId xmlns:a16="http://schemas.microsoft.com/office/drawing/2014/main" id="{AF1134A9-ED11-53DF-F0DB-48A9F94E215A}"/>
            </a:ext>
          </a:extLst>
        </xdr:cNvPr>
        <xdr:cNvPicPr>
          <a:picLocks noChangeAspect="1"/>
        </xdr:cNvPicPr>
      </xdr:nvPicPr>
      <xdr:blipFill>
        <a:blip xmlns:r="http://schemas.openxmlformats.org/officeDocument/2006/relationships" r:link="rId203"/>
        <a:stretch>
          <a:fillRect/>
        </a:stretch>
      </xdr:blipFill>
      <xdr:spPr>
        <a:xfrm>
          <a:off x="28452305" y="293124609"/>
          <a:ext cx="968644" cy="970752"/>
        </a:xfrm>
        <a:prstGeom prst="rect">
          <a:avLst/>
        </a:prstGeom>
      </xdr:spPr>
    </xdr:pic>
    <xdr:clientData/>
  </xdr:twoCellAnchor>
  <xdr:twoCellAnchor editAs="oneCell">
    <xdr:from>
      <xdr:col>12</xdr:col>
      <xdr:colOff>684508</xdr:colOff>
      <xdr:row>211</xdr:row>
      <xdr:rowOff>206653</xdr:rowOff>
    </xdr:from>
    <xdr:to>
      <xdr:col>12</xdr:col>
      <xdr:colOff>1653152</xdr:colOff>
      <xdr:row>211</xdr:row>
      <xdr:rowOff>1177405</xdr:rowOff>
    </xdr:to>
    <xdr:pic>
      <xdr:nvPicPr>
        <xdr:cNvPr id="425" name="Picture 424">
          <a:extLst>
            <a:ext uri="{FF2B5EF4-FFF2-40B4-BE49-F238E27FC236}">
              <a16:creationId xmlns:a16="http://schemas.microsoft.com/office/drawing/2014/main" id="{E3072C5F-FB12-4425-46FB-BD2D598F69F1}"/>
            </a:ext>
          </a:extLst>
        </xdr:cNvPr>
        <xdr:cNvPicPr>
          <a:picLocks noChangeAspect="1"/>
        </xdr:cNvPicPr>
      </xdr:nvPicPr>
      <xdr:blipFill>
        <a:blip xmlns:r="http://schemas.openxmlformats.org/officeDocument/2006/relationships" r:link="rId204"/>
        <a:stretch>
          <a:fillRect/>
        </a:stretch>
      </xdr:blipFill>
      <xdr:spPr>
        <a:xfrm>
          <a:off x="28452305" y="294519467"/>
          <a:ext cx="968644" cy="970752"/>
        </a:xfrm>
        <a:prstGeom prst="rect">
          <a:avLst/>
        </a:prstGeom>
      </xdr:spPr>
    </xdr:pic>
    <xdr:clientData/>
  </xdr:twoCellAnchor>
  <xdr:twoCellAnchor editAs="oneCell">
    <xdr:from>
      <xdr:col>12</xdr:col>
      <xdr:colOff>684508</xdr:colOff>
      <xdr:row>212</xdr:row>
      <xdr:rowOff>206251</xdr:rowOff>
    </xdr:from>
    <xdr:to>
      <xdr:col>12</xdr:col>
      <xdr:colOff>1653152</xdr:colOff>
      <xdr:row>212</xdr:row>
      <xdr:rowOff>1177595</xdr:rowOff>
    </xdr:to>
    <xdr:pic>
      <xdr:nvPicPr>
        <xdr:cNvPr id="427" name="Picture 426">
          <a:extLst>
            <a:ext uri="{FF2B5EF4-FFF2-40B4-BE49-F238E27FC236}">
              <a16:creationId xmlns:a16="http://schemas.microsoft.com/office/drawing/2014/main" id="{7B88CA9D-9BFD-5412-B154-8BB40FE9DC7B}"/>
            </a:ext>
          </a:extLst>
        </xdr:cNvPr>
        <xdr:cNvPicPr>
          <a:picLocks noChangeAspect="1"/>
        </xdr:cNvPicPr>
      </xdr:nvPicPr>
      <xdr:blipFill>
        <a:blip xmlns:r="http://schemas.openxmlformats.org/officeDocument/2006/relationships" r:link="rId205"/>
        <a:stretch>
          <a:fillRect/>
        </a:stretch>
      </xdr:blipFill>
      <xdr:spPr>
        <a:xfrm>
          <a:off x="28452305" y="295913912"/>
          <a:ext cx="968644" cy="971344"/>
        </a:xfrm>
        <a:prstGeom prst="rect">
          <a:avLst/>
        </a:prstGeom>
      </xdr:spPr>
    </xdr:pic>
    <xdr:clientData/>
  </xdr:twoCellAnchor>
  <xdr:twoCellAnchor editAs="oneCell">
    <xdr:from>
      <xdr:col>12</xdr:col>
      <xdr:colOff>684508</xdr:colOff>
      <xdr:row>213</xdr:row>
      <xdr:rowOff>206648</xdr:rowOff>
    </xdr:from>
    <xdr:to>
      <xdr:col>12</xdr:col>
      <xdr:colOff>1653152</xdr:colOff>
      <xdr:row>213</xdr:row>
      <xdr:rowOff>1177400</xdr:rowOff>
    </xdr:to>
    <xdr:pic>
      <xdr:nvPicPr>
        <xdr:cNvPr id="429" name="Picture 428">
          <a:extLst>
            <a:ext uri="{FF2B5EF4-FFF2-40B4-BE49-F238E27FC236}">
              <a16:creationId xmlns:a16="http://schemas.microsoft.com/office/drawing/2014/main" id="{74F01613-9889-FE7A-0690-63A7B3300DD8}"/>
            </a:ext>
          </a:extLst>
        </xdr:cNvPr>
        <xdr:cNvPicPr>
          <a:picLocks noChangeAspect="1"/>
        </xdr:cNvPicPr>
      </xdr:nvPicPr>
      <xdr:blipFill>
        <a:blip xmlns:r="http://schemas.openxmlformats.org/officeDocument/2006/relationships" r:link="rId206"/>
        <a:stretch>
          <a:fillRect/>
        </a:stretch>
      </xdr:blipFill>
      <xdr:spPr>
        <a:xfrm>
          <a:off x="28452305" y="297309156"/>
          <a:ext cx="968644" cy="970752"/>
        </a:xfrm>
        <a:prstGeom prst="rect">
          <a:avLst/>
        </a:prstGeom>
      </xdr:spPr>
    </xdr:pic>
    <xdr:clientData/>
  </xdr:twoCellAnchor>
  <xdr:twoCellAnchor editAs="oneCell">
    <xdr:from>
      <xdr:col>12</xdr:col>
      <xdr:colOff>684508</xdr:colOff>
      <xdr:row>214</xdr:row>
      <xdr:rowOff>206244</xdr:rowOff>
    </xdr:from>
    <xdr:to>
      <xdr:col>12</xdr:col>
      <xdr:colOff>1653152</xdr:colOff>
      <xdr:row>214</xdr:row>
      <xdr:rowOff>1177589</xdr:rowOff>
    </xdr:to>
    <xdr:pic>
      <xdr:nvPicPr>
        <xdr:cNvPr id="431" name="Picture 430">
          <a:extLst>
            <a:ext uri="{FF2B5EF4-FFF2-40B4-BE49-F238E27FC236}">
              <a16:creationId xmlns:a16="http://schemas.microsoft.com/office/drawing/2014/main" id="{4343D5DD-B47A-DFEE-8FD3-3B2F68717FA6}"/>
            </a:ext>
          </a:extLst>
        </xdr:cNvPr>
        <xdr:cNvPicPr>
          <a:picLocks noChangeAspect="1"/>
        </xdr:cNvPicPr>
      </xdr:nvPicPr>
      <xdr:blipFill>
        <a:blip xmlns:r="http://schemas.openxmlformats.org/officeDocument/2006/relationships" r:link="rId207"/>
        <a:stretch>
          <a:fillRect/>
        </a:stretch>
      </xdr:blipFill>
      <xdr:spPr>
        <a:xfrm>
          <a:off x="28452305" y="298703600"/>
          <a:ext cx="968644" cy="971345"/>
        </a:xfrm>
        <a:prstGeom prst="rect">
          <a:avLst/>
        </a:prstGeom>
      </xdr:spPr>
    </xdr:pic>
    <xdr:clientData/>
  </xdr:twoCellAnchor>
  <xdr:twoCellAnchor editAs="oneCell">
    <xdr:from>
      <xdr:col>12</xdr:col>
      <xdr:colOff>684508</xdr:colOff>
      <xdr:row>215</xdr:row>
      <xdr:rowOff>206643</xdr:rowOff>
    </xdr:from>
    <xdr:to>
      <xdr:col>12</xdr:col>
      <xdr:colOff>1653152</xdr:colOff>
      <xdr:row>215</xdr:row>
      <xdr:rowOff>1177395</xdr:rowOff>
    </xdr:to>
    <xdr:pic>
      <xdr:nvPicPr>
        <xdr:cNvPr id="433" name="Picture 432">
          <a:extLst>
            <a:ext uri="{FF2B5EF4-FFF2-40B4-BE49-F238E27FC236}">
              <a16:creationId xmlns:a16="http://schemas.microsoft.com/office/drawing/2014/main" id="{8724B24F-3399-2C9C-211A-6F1BBBB5D8B5}"/>
            </a:ext>
          </a:extLst>
        </xdr:cNvPr>
        <xdr:cNvPicPr>
          <a:picLocks noChangeAspect="1"/>
        </xdr:cNvPicPr>
      </xdr:nvPicPr>
      <xdr:blipFill>
        <a:blip xmlns:r="http://schemas.openxmlformats.org/officeDocument/2006/relationships" r:link="rId208"/>
        <a:stretch>
          <a:fillRect/>
        </a:stretch>
      </xdr:blipFill>
      <xdr:spPr>
        <a:xfrm>
          <a:off x="28452305" y="300098846"/>
          <a:ext cx="968644" cy="970752"/>
        </a:xfrm>
        <a:prstGeom prst="rect">
          <a:avLst/>
        </a:prstGeom>
      </xdr:spPr>
    </xdr:pic>
    <xdr:clientData/>
  </xdr:twoCellAnchor>
  <xdr:twoCellAnchor editAs="oneCell">
    <xdr:from>
      <xdr:col>12</xdr:col>
      <xdr:colOff>684508</xdr:colOff>
      <xdr:row>216</xdr:row>
      <xdr:rowOff>206653</xdr:rowOff>
    </xdr:from>
    <xdr:to>
      <xdr:col>12</xdr:col>
      <xdr:colOff>1653152</xdr:colOff>
      <xdr:row>216</xdr:row>
      <xdr:rowOff>1177405</xdr:rowOff>
    </xdr:to>
    <xdr:pic>
      <xdr:nvPicPr>
        <xdr:cNvPr id="435" name="Picture 434">
          <a:extLst>
            <a:ext uri="{FF2B5EF4-FFF2-40B4-BE49-F238E27FC236}">
              <a16:creationId xmlns:a16="http://schemas.microsoft.com/office/drawing/2014/main" id="{7B06E1E9-ED59-65A0-6F58-7C09E2FDD0E1}"/>
            </a:ext>
          </a:extLst>
        </xdr:cNvPr>
        <xdr:cNvPicPr>
          <a:picLocks noChangeAspect="1"/>
        </xdr:cNvPicPr>
      </xdr:nvPicPr>
      <xdr:blipFill>
        <a:blip xmlns:r="http://schemas.openxmlformats.org/officeDocument/2006/relationships" r:link="rId209"/>
        <a:stretch>
          <a:fillRect/>
        </a:stretch>
      </xdr:blipFill>
      <xdr:spPr>
        <a:xfrm>
          <a:off x="28452305" y="301493704"/>
          <a:ext cx="968644" cy="970752"/>
        </a:xfrm>
        <a:prstGeom prst="rect">
          <a:avLst/>
        </a:prstGeom>
      </xdr:spPr>
    </xdr:pic>
    <xdr:clientData/>
  </xdr:twoCellAnchor>
  <xdr:twoCellAnchor editAs="oneCell">
    <xdr:from>
      <xdr:col>12</xdr:col>
      <xdr:colOff>684508</xdr:colOff>
      <xdr:row>217</xdr:row>
      <xdr:rowOff>206251</xdr:rowOff>
    </xdr:from>
    <xdr:to>
      <xdr:col>12</xdr:col>
      <xdr:colOff>1653152</xdr:colOff>
      <xdr:row>217</xdr:row>
      <xdr:rowOff>1177595</xdr:rowOff>
    </xdr:to>
    <xdr:pic>
      <xdr:nvPicPr>
        <xdr:cNvPr id="437" name="Picture 436">
          <a:extLst>
            <a:ext uri="{FF2B5EF4-FFF2-40B4-BE49-F238E27FC236}">
              <a16:creationId xmlns:a16="http://schemas.microsoft.com/office/drawing/2014/main" id="{E338820D-AA0D-D820-12E7-89A7B35AFD8A}"/>
            </a:ext>
          </a:extLst>
        </xdr:cNvPr>
        <xdr:cNvPicPr>
          <a:picLocks noChangeAspect="1"/>
        </xdr:cNvPicPr>
      </xdr:nvPicPr>
      <xdr:blipFill>
        <a:blip xmlns:r="http://schemas.openxmlformats.org/officeDocument/2006/relationships" r:link="rId210"/>
        <a:stretch>
          <a:fillRect/>
        </a:stretch>
      </xdr:blipFill>
      <xdr:spPr>
        <a:xfrm>
          <a:off x="28452305" y="302888149"/>
          <a:ext cx="968644" cy="971344"/>
        </a:xfrm>
        <a:prstGeom prst="rect">
          <a:avLst/>
        </a:prstGeom>
      </xdr:spPr>
    </xdr:pic>
    <xdr:clientData/>
  </xdr:twoCellAnchor>
  <xdr:twoCellAnchor editAs="oneCell">
    <xdr:from>
      <xdr:col>12</xdr:col>
      <xdr:colOff>684508</xdr:colOff>
      <xdr:row>218</xdr:row>
      <xdr:rowOff>206648</xdr:rowOff>
    </xdr:from>
    <xdr:to>
      <xdr:col>12</xdr:col>
      <xdr:colOff>1653152</xdr:colOff>
      <xdr:row>218</xdr:row>
      <xdr:rowOff>1177400</xdr:rowOff>
    </xdr:to>
    <xdr:pic>
      <xdr:nvPicPr>
        <xdr:cNvPr id="439" name="Picture 438">
          <a:extLst>
            <a:ext uri="{FF2B5EF4-FFF2-40B4-BE49-F238E27FC236}">
              <a16:creationId xmlns:a16="http://schemas.microsoft.com/office/drawing/2014/main" id="{6F8A1B08-5777-0D12-ECB1-A3C39F4A15AE}"/>
            </a:ext>
          </a:extLst>
        </xdr:cNvPr>
        <xdr:cNvPicPr>
          <a:picLocks noChangeAspect="1"/>
        </xdr:cNvPicPr>
      </xdr:nvPicPr>
      <xdr:blipFill>
        <a:blip xmlns:r="http://schemas.openxmlformats.org/officeDocument/2006/relationships" r:link="rId211"/>
        <a:stretch>
          <a:fillRect/>
        </a:stretch>
      </xdr:blipFill>
      <xdr:spPr>
        <a:xfrm>
          <a:off x="28452305" y="304283394"/>
          <a:ext cx="968644" cy="970752"/>
        </a:xfrm>
        <a:prstGeom prst="rect">
          <a:avLst/>
        </a:prstGeom>
      </xdr:spPr>
    </xdr:pic>
    <xdr:clientData/>
  </xdr:twoCellAnchor>
  <xdr:twoCellAnchor editAs="oneCell">
    <xdr:from>
      <xdr:col>12</xdr:col>
      <xdr:colOff>684508</xdr:colOff>
      <xdr:row>219</xdr:row>
      <xdr:rowOff>206246</xdr:rowOff>
    </xdr:from>
    <xdr:to>
      <xdr:col>12</xdr:col>
      <xdr:colOff>1653152</xdr:colOff>
      <xdr:row>219</xdr:row>
      <xdr:rowOff>1177590</xdr:rowOff>
    </xdr:to>
    <xdr:pic>
      <xdr:nvPicPr>
        <xdr:cNvPr id="441" name="Picture 440">
          <a:extLst>
            <a:ext uri="{FF2B5EF4-FFF2-40B4-BE49-F238E27FC236}">
              <a16:creationId xmlns:a16="http://schemas.microsoft.com/office/drawing/2014/main" id="{BFCEB40A-D401-BABD-DE24-33EF4B4959E8}"/>
            </a:ext>
          </a:extLst>
        </xdr:cNvPr>
        <xdr:cNvPicPr>
          <a:picLocks noChangeAspect="1"/>
        </xdr:cNvPicPr>
      </xdr:nvPicPr>
      <xdr:blipFill>
        <a:blip xmlns:r="http://schemas.openxmlformats.org/officeDocument/2006/relationships" r:link="rId212"/>
        <a:stretch>
          <a:fillRect/>
        </a:stretch>
      </xdr:blipFill>
      <xdr:spPr>
        <a:xfrm>
          <a:off x="28452305" y="305677839"/>
          <a:ext cx="968644" cy="971344"/>
        </a:xfrm>
        <a:prstGeom prst="rect">
          <a:avLst/>
        </a:prstGeom>
      </xdr:spPr>
    </xdr:pic>
    <xdr:clientData/>
  </xdr:twoCellAnchor>
  <xdr:twoCellAnchor editAs="oneCell">
    <xdr:from>
      <xdr:col>12</xdr:col>
      <xdr:colOff>684508</xdr:colOff>
      <xdr:row>220</xdr:row>
      <xdr:rowOff>206643</xdr:rowOff>
    </xdr:from>
    <xdr:to>
      <xdr:col>12</xdr:col>
      <xdr:colOff>1653152</xdr:colOff>
      <xdr:row>220</xdr:row>
      <xdr:rowOff>1177395</xdr:rowOff>
    </xdr:to>
    <xdr:pic>
      <xdr:nvPicPr>
        <xdr:cNvPr id="443" name="Picture 442">
          <a:extLst>
            <a:ext uri="{FF2B5EF4-FFF2-40B4-BE49-F238E27FC236}">
              <a16:creationId xmlns:a16="http://schemas.microsoft.com/office/drawing/2014/main" id="{BA5CC2FC-B710-15BB-E8B4-B9BB9E724CB0}"/>
            </a:ext>
          </a:extLst>
        </xdr:cNvPr>
        <xdr:cNvPicPr>
          <a:picLocks noChangeAspect="1"/>
        </xdr:cNvPicPr>
      </xdr:nvPicPr>
      <xdr:blipFill>
        <a:blip xmlns:r="http://schemas.openxmlformats.org/officeDocument/2006/relationships" r:link="rId213"/>
        <a:stretch>
          <a:fillRect/>
        </a:stretch>
      </xdr:blipFill>
      <xdr:spPr>
        <a:xfrm>
          <a:off x="28452305" y="307073084"/>
          <a:ext cx="968644" cy="970752"/>
        </a:xfrm>
        <a:prstGeom prst="rect">
          <a:avLst/>
        </a:prstGeom>
      </xdr:spPr>
    </xdr:pic>
    <xdr:clientData/>
  </xdr:twoCellAnchor>
  <xdr:twoCellAnchor editAs="oneCell">
    <xdr:from>
      <xdr:col>12</xdr:col>
      <xdr:colOff>684508</xdr:colOff>
      <xdr:row>221</xdr:row>
      <xdr:rowOff>206653</xdr:rowOff>
    </xdr:from>
    <xdr:to>
      <xdr:col>12</xdr:col>
      <xdr:colOff>1653152</xdr:colOff>
      <xdr:row>221</xdr:row>
      <xdr:rowOff>1177405</xdr:rowOff>
    </xdr:to>
    <xdr:pic>
      <xdr:nvPicPr>
        <xdr:cNvPr id="445" name="Picture 444">
          <a:extLst>
            <a:ext uri="{FF2B5EF4-FFF2-40B4-BE49-F238E27FC236}">
              <a16:creationId xmlns:a16="http://schemas.microsoft.com/office/drawing/2014/main" id="{E568FC65-B543-3408-A268-D32C1B2ACD0B}"/>
            </a:ext>
          </a:extLst>
        </xdr:cNvPr>
        <xdr:cNvPicPr>
          <a:picLocks noChangeAspect="1"/>
        </xdr:cNvPicPr>
      </xdr:nvPicPr>
      <xdr:blipFill>
        <a:blip xmlns:r="http://schemas.openxmlformats.org/officeDocument/2006/relationships" r:link="rId214"/>
        <a:stretch>
          <a:fillRect/>
        </a:stretch>
      </xdr:blipFill>
      <xdr:spPr>
        <a:xfrm>
          <a:off x="28452305" y="308467941"/>
          <a:ext cx="968644" cy="970752"/>
        </a:xfrm>
        <a:prstGeom prst="rect">
          <a:avLst/>
        </a:prstGeom>
      </xdr:spPr>
    </xdr:pic>
    <xdr:clientData/>
  </xdr:twoCellAnchor>
  <xdr:twoCellAnchor editAs="oneCell">
    <xdr:from>
      <xdr:col>12</xdr:col>
      <xdr:colOff>684508</xdr:colOff>
      <xdr:row>222</xdr:row>
      <xdr:rowOff>206249</xdr:rowOff>
    </xdr:from>
    <xdr:to>
      <xdr:col>12</xdr:col>
      <xdr:colOff>1653152</xdr:colOff>
      <xdr:row>222</xdr:row>
      <xdr:rowOff>1177594</xdr:rowOff>
    </xdr:to>
    <xdr:pic>
      <xdr:nvPicPr>
        <xdr:cNvPr id="447" name="Picture 446">
          <a:extLst>
            <a:ext uri="{FF2B5EF4-FFF2-40B4-BE49-F238E27FC236}">
              <a16:creationId xmlns:a16="http://schemas.microsoft.com/office/drawing/2014/main" id="{DF72A471-7D51-FACD-61EC-FDB1E0E16093}"/>
            </a:ext>
          </a:extLst>
        </xdr:cNvPr>
        <xdr:cNvPicPr>
          <a:picLocks noChangeAspect="1"/>
        </xdr:cNvPicPr>
      </xdr:nvPicPr>
      <xdr:blipFill>
        <a:blip xmlns:r="http://schemas.openxmlformats.org/officeDocument/2006/relationships" r:link="rId215"/>
        <a:stretch>
          <a:fillRect/>
        </a:stretch>
      </xdr:blipFill>
      <xdr:spPr>
        <a:xfrm>
          <a:off x="28452305" y="309862385"/>
          <a:ext cx="968644" cy="971345"/>
        </a:xfrm>
        <a:prstGeom prst="rect">
          <a:avLst/>
        </a:prstGeom>
      </xdr:spPr>
    </xdr:pic>
    <xdr:clientData/>
  </xdr:twoCellAnchor>
  <xdr:twoCellAnchor editAs="oneCell">
    <xdr:from>
      <xdr:col>12</xdr:col>
      <xdr:colOff>684508</xdr:colOff>
      <xdr:row>223</xdr:row>
      <xdr:rowOff>206648</xdr:rowOff>
    </xdr:from>
    <xdr:to>
      <xdr:col>12</xdr:col>
      <xdr:colOff>1653152</xdr:colOff>
      <xdr:row>223</xdr:row>
      <xdr:rowOff>1177400</xdr:rowOff>
    </xdr:to>
    <xdr:pic>
      <xdr:nvPicPr>
        <xdr:cNvPr id="449" name="Picture 448">
          <a:extLst>
            <a:ext uri="{FF2B5EF4-FFF2-40B4-BE49-F238E27FC236}">
              <a16:creationId xmlns:a16="http://schemas.microsoft.com/office/drawing/2014/main" id="{760E423D-AF11-6780-5E3A-076A5D55B0A4}"/>
            </a:ext>
          </a:extLst>
        </xdr:cNvPr>
        <xdr:cNvPicPr>
          <a:picLocks noChangeAspect="1"/>
        </xdr:cNvPicPr>
      </xdr:nvPicPr>
      <xdr:blipFill>
        <a:blip xmlns:r="http://schemas.openxmlformats.org/officeDocument/2006/relationships" r:link="rId216"/>
        <a:stretch>
          <a:fillRect/>
        </a:stretch>
      </xdr:blipFill>
      <xdr:spPr>
        <a:xfrm>
          <a:off x="28452305" y="311257631"/>
          <a:ext cx="968644" cy="970752"/>
        </a:xfrm>
        <a:prstGeom prst="rect">
          <a:avLst/>
        </a:prstGeom>
      </xdr:spPr>
    </xdr:pic>
    <xdr:clientData/>
  </xdr:twoCellAnchor>
  <xdr:twoCellAnchor editAs="oneCell">
    <xdr:from>
      <xdr:col>12</xdr:col>
      <xdr:colOff>684508</xdr:colOff>
      <xdr:row>224</xdr:row>
      <xdr:rowOff>206244</xdr:rowOff>
    </xdr:from>
    <xdr:to>
      <xdr:col>12</xdr:col>
      <xdr:colOff>1653152</xdr:colOff>
      <xdr:row>224</xdr:row>
      <xdr:rowOff>1177589</xdr:rowOff>
    </xdr:to>
    <xdr:pic>
      <xdr:nvPicPr>
        <xdr:cNvPr id="451" name="Picture 450">
          <a:extLst>
            <a:ext uri="{FF2B5EF4-FFF2-40B4-BE49-F238E27FC236}">
              <a16:creationId xmlns:a16="http://schemas.microsoft.com/office/drawing/2014/main" id="{EE41643F-878D-9229-8EE5-B6A4C0E83E6C}"/>
            </a:ext>
          </a:extLst>
        </xdr:cNvPr>
        <xdr:cNvPicPr>
          <a:picLocks noChangeAspect="1"/>
        </xdr:cNvPicPr>
      </xdr:nvPicPr>
      <xdr:blipFill>
        <a:blip xmlns:r="http://schemas.openxmlformats.org/officeDocument/2006/relationships" r:link="rId217"/>
        <a:stretch>
          <a:fillRect/>
        </a:stretch>
      </xdr:blipFill>
      <xdr:spPr>
        <a:xfrm>
          <a:off x="28452305" y="312652075"/>
          <a:ext cx="968644" cy="971345"/>
        </a:xfrm>
        <a:prstGeom prst="rect">
          <a:avLst/>
        </a:prstGeom>
      </xdr:spPr>
    </xdr:pic>
    <xdr:clientData/>
  </xdr:twoCellAnchor>
  <xdr:twoCellAnchor editAs="oneCell">
    <xdr:from>
      <xdr:col>12</xdr:col>
      <xdr:colOff>684508</xdr:colOff>
      <xdr:row>225</xdr:row>
      <xdr:rowOff>206643</xdr:rowOff>
    </xdr:from>
    <xdr:to>
      <xdr:col>12</xdr:col>
      <xdr:colOff>1653152</xdr:colOff>
      <xdr:row>225</xdr:row>
      <xdr:rowOff>1177395</xdr:rowOff>
    </xdr:to>
    <xdr:pic>
      <xdr:nvPicPr>
        <xdr:cNvPr id="453" name="Picture 452">
          <a:extLst>
            <a:ext uri="{FF2B5EF4-FFF2-40B4-BE49-F238E27FC236}">
              <a16:creationId xmlns:a16="http://schemas.microsoft.com/office/drawing/2014/main" id="{565554F5-AE86-3904-71C3-4457ADB32C16}"/>
            </a:ext>
          </a:extLst>
        </xdr:cNvPr>
        <xdr:cNvPicPr>
          <a:picLocks noChangeAspect="1"/>
        </xdr:cNvPicPr>
      </xdr:nvPicPr>
      <xdr:blipFill>
        <a:blip xmlns:r="http://schemas.openxmlformats.org/officeDocument/2006/relationships" r:link="rId218"/>
        <a:stretch>
          <a:fillRect/>
        </a:stretch>
      </xdr:blipFill>
      <xdr:spPr>
        <a:xfrm>
          <a:off x="28452305" y="314047321"/>
          <a:ext cx="968644" cy="970752"/>
        </a:xfrm>
        <a:prstGeom prst="rect">
          <a:avLst/>
        </a:prstGeom>
      </xdr:spPr>
    </xdr:pic>
    <xdr:clientData/>
  </xdr:twoCellAnchor>
  <xdr:twoCellAnchor editAs="oneCell">
    <xdr:from>
      <xdr:col>12</xdr:col>
      <xdr:colOff>684508</xdr:colOff>
      <xdr:row>226</xdr:row>
      <xdr:rowOff>206653</xdr:rowOff>
    </xdr:from>
    <xdr:to>
      <xdr:col>12</xdr:col>
      <xdr:colOff>1653152</xdr:colOff>
      <xdr:row>226</xdr:row>
      <xdr:rowOff>1177405</xdr:rowOff>
    </xdr:to>
    <xdr:pic>
      <xdr:nvPicPr>
        <xdr:cNvPr id="455" name="Picture 454">
          <a:extLst>
            <a:ext uri="{FF2B5EF4-FFF2-40B4-BE49-F238E27FC236}">
              <a16:creationId xmlns:a16="http://schemas.microsoft.com/office/drawing/2014/main" id="{9A5BAACE-92D8-DAB5-42F8-B6CCE850E9A7}"/>
            </a:ext>
          </a:extLst>
        </xdr:cNvPr>
        <xdr:cNvPicPr>
          <a:picLocks noChangeAspect="1"/>
        </xdr:cNvPicPr>
      </xdr:nvPicPr>
      <xdr:blipFill>
        <a:blip xmlns:r="http://schemas.openxmlformats.org/officeDocument/2006/relationships" r:link="rId219"/>
        <a:stretch>
          <a:fillRect/>
        </a:stretch>
      </xdr:blipFill>
      <xdr:spPr>
        <a:xfrm>
          <a:off x="28452305" y="315442178"/>
          <a:ext cx="968644" cy="970752"/>
        </a:xfrm>
        <a:prstGeom prst="rect">
          <a:avLst/>
        </a:prstGeom>
      </xdr:spPr>
    </xdr:pic>
    <xdr:clientData/>
  </xdr:twoCellAnchor>
  <xdr:twoCellAnchor editAs="oneCell">
    <xdr:from>
      <xdr:col>12</xdr:col>
      <xdr:colOff>684508</xdr:colOff>
      <xdr:row>227</xdr:row>
      <xdr:rowOff>206249</xdr:rowOff>
    </xdr:from>
    <xdr:to>
      <xdr:col>12</xdr:col>
      <xdr:colOff>1653152</xdr:colOff>
      <xdr:row>227</xdr:row>
      <xdr:rowOff>1177594</xdr:rowOff>
    </xdr:to>
    <xdr:pic>
      <xdr:nvPicPr>
        <xdr:cNvPr id="457" name="Picture 456">
          <a:extLst>
            <a:ext uri="{FF2B5EF4-FFF2-40B4-BE49-F238E27FC236}">
              <a16:creationId xmlns:a16="http://schemas.microsoft.com/office/drawing/2014/main" id="{A8B1E27F-3C0C-62EE-B5EF-89C78F55E516}"/>
            </a:ext>
          </a:extLst>
        </xdr:cNvPr>
        <xdr:cNvPicPr>
          <a:picLocks noChangeAspect="1"/>
        </xdr:cNvPicPr>
      </xdr:nvPicPr>
      <xdr:blipFill>
        <a:blip xmlns:r="http://schemas.openxmlformats.org/officeDocument/2006/relationships" r:link="rId220"/>
        <a:stretch>
          <a:fillRect/>
        </a:stretch>
      </xdr:blipFill>
      <xdr:spPr>
        <a:xfrm>
          <a:off x="28452305" y="316836622"/>
          <a:ext cx="968644" cy="971345"/>
        </a:xfrm>
        <a:prstGeom prst="rect">
          <a:avLst/>
        </a:prstGeom>
      </xdr:spPr>
    </xdr:pic>
    <xdr:clientData/>
  </xdr:twoCellAnchor>
  <xdr:twoCellAnchor editAs="oneCell">
    <xdr:from>
      <xdr:col>12</xdr:col>
      <xdr:colOff>684508</xdr:colOff>
      <xdr:row>228</xdr:row>
      <xdr:rowOff>206648</xdr:rowOff>
    </xdr:from>
    <xdr:to>
      <xdr:col>12</xdr:col>
      <xdr:colOff>1653152</xdr:colOff>
      <xdr:row>228</xdr:row>
      <xdr:rowOff>1177400</xdr:rowOff>
    </xdr:to>
    <xdr:pic>
      <xdr:nvPicPr>
        <xdr:cNvPr id="459" name="Picture 458">
          <a:extLst>
            <a:ext uri="{FF2B5EF4-FFF2-40B4-BE49-F238E27FC236}">
              <a16:creationId xmlns:a16="http://schemas.microsoft.com/office/drawing/2014/main" id="{12E9D12C-73C1-5D59-247E-3A33D8BBAB13}"/>
            </a:ext>
          </a:extLst>
        </xdr:cNvPr>
        <xdr:cNvPicPr>
          <a:picLocks noChangeAspect="1"/>
        </xdr:cNvPicPr>
      </xdr:nvPicPr>
      <xdr:blipFill>
        <a:blip xmlns:r="http://schemas.openxmlformats.org/officeDocument/2006/relationships" r:link="rId221"/>
        <a:stretch>
          <a:fillRect/>
        </a:stretch>
      </xdr:blipFill>
      <xdr:spPr>
        <a:xfrm>
          <a:off x="28452305" y="318231868"/>
          <a:ext cx="968644" cy="970752"/>
        </a:xfrm>
        <a:prstGeom prst="rect">
          <a:avLst/>
        </a:prstGeom>
      </xdr:spPr>
    </xdr:pic>
    <xdr:clientData/>
  </xdr:twoCellAnchor>
  <xdr:twoCellAnchor editAs="oneCell">
    <xdr:from>
      <xdr:col>12</xdr:col>
      <xdr:colOff>684508</xdr:colOff>
      <xdr:row>229</xdr:row>
      <xdr:rowOff>206244</xdr:rowOff>
    </xdr:from>
    <xdr:to>
      <xdr:col>12</xdr:col>
      <xdr:colOff>1653152</xdr:colOff>
      <xdr:row>229</xdr:row>
      <xdr:rowOff>1177589</xdr:rowOff>
    </xdr:to>
    <xdr:pic>
      <xdr:nvPicPr>
        <xdr:cNvPr id="461" name="Picture 460">
          <a:extLst>
            <a:ext uri="{FF2B5EF4-FFF2-40B4-BE49-F238E27FC236}">
              <a16:creationId xmlns:a16="http://schemas.microsoft.com/office/drawing/2014/main" id="{C4CFA051-FA69-F297-D6AF-7C8A56E941E9}"/>
            </a:ext>
          </a:extLst>
        </xdr:cNvPr>
        <xdr:cNvPicPr>
          <a:picLocks noChangeAspect="1"/>
        </xdr:cNvPicPr>
      </xdr:nvPicPr>
      <xdr:blipFill>
        <a:blip xmlns:r="http://schemas.openxmlformats.org/officeDocument/2006/relationships" r:link="rId222"/>
        <a:stretch>
          <a:fillRect/>
        </a:stretch>
      </xdr:blipFill>
      <xdr:spPr>
        <a:xfrm>
          <a:off x="28452305" y="319626312"/>
          <a:ext cx="968644" cy="971345"/>
        </a:xfrm>
        <a:prstGeom prst="rect">
          <a:avLst/>
        </a:prstGeom>
      </xdr:spPr>
    </xdr:pic>
    <xdr:clientData/>
  </xdr:twoCellAnchor>
  <xdr:twoCellAnchor editAs="oneCell">
    <xdr:from>
      <xdr:col>12</xdr:col>
      <xdr:colOff>684508</xdr:colOff>
      <xdr:row>230</xdr:row>
      <xdr:rowOff>206643</xdr:rowOff>
    </xdr:from>
    <xdr:to>
      <xdr:col>12</xdr:col>
      <xdr:colOff>1653152</xdr:colOff>
      <xdr:row>230</xdr:row>
      <xdr:rowOff>1177395</xdr:rowOff>
    </xdr:to>
    <xdr:pic>
      <xdr:nvPicPr>
        <xdr:cNvPr id="463" name="Picture 462">
          <a:extLst>
            <a:ext uri="{FF2B5EF4-FFF2-40B4-BE49-F238E27FC236}">
              <a16:creationId xmlns:a16="http://schemas.microsoft.com/office/drawing/2014/main" id="{F5594D01-BB2B-07D7-D5D1-A6F5366946E0}"/>
            </a:ext>
          </a:extLst>
        </xdr:cNvPr>
        <xdr:cNvPicPr>
          <a:picLocks noChangeAspect="1"/>
        </xdr:cNvPicPr>
      </xdr:nvPicPr>
      <xdr:blipFill>
        <a:blip xmlns:r="http://schemas.openxmlformats.org/officeDocument/2006/relationships" r:link="rId223"/>
        <a:stretch>
          <a:fillRect/>
        </a:stretch>
      </xdr:blipFill>
      <xdr:spPr>
        <a:xfrm>
          <a:off x="28452305" y="321021558"/>
          <a:ext cx="968644" cy="970752"/>
        </a:xfrm>
        <a:prstGeom prst="rect">
          <a:avLst/>
        </a:prstGeom>
      </xdr:spPr>
    </xdr:pic>
    <xdr:clientData/>
  </xdr:twoCellAnchor>
  <xdr:twoCellAnchor editAs="oneCell">
    <xdr:from>
      <xdr:col>12</xdr:col>
      <xdr:colOff>684508</xdr:colOff>
      <xdr:row>231</xdr:row>
      <xdr:rowOff>206653</xdr:rowOff>
    </xdr:from>
    <xdr:to>
      <xdr:col>12</xdr:col>
      <xdr:colOff>1653152</xdr:colOff>
      <xdr:row>231</xdr:row>
      <xdr:rowOff>1177405</xdr:rowOff>
    </xdr:to>
    <xdr:pic>
      <xdr:nvPicPr>
        <xdr:cNvPr id="465" name="Picture 464">
          <a:extLst>
            <a:ext uri="{FF2B5EF4-FFF2-40B4-BE49-F238E27FC236}">
              <a16:creationId xmlns:a16="http://schemas.microsoft.com/office/drawing/2014/main" id="{2B1813DB-C7B6-EF5A-3A53-49827AC68194}"/>
            </a:ext>
          </a:extLst>
        </xdr:cNvPr>
        <xdr:cNvPicPr>
          <a:picLocks noChangeAspect="1"/>
        </xdr:cNvPicPr>
      </xdr:nvPicPr>
      <xdr:blipFill>
        <a:blip xmlns:r="http://schemas.openxmlformats.org/officeDocument/2006/relationships" r:link="rId224"/>
        <a:stretch>
          <a:fillRect/>
        </a:stretch>
      </xdr:blipFill>
      <xdr:spPr>
        <a:xfrm>
          <a:off x="28452305" y="322416416"/>
          <a:ext cx="968644" cy="970752"/>
        </a:xfrm>
        <a:prstGeom prst="rect">
          <a:avLst/>
        </a:prstGeom>
      </xdr:spPr>
    </xdr:pic>
    <xdr:clientData/>
  </xdr:twoCellAnchor>
  <xdr:twoCellAnchor editAs="oneCell">
    <xdr:from>
      <xdr:col>12</xdr:col>
      <xdr:colOff>684508</xdr:colOff>
      <xdr:row>232</xdr:row>
      <xdr:rowOff>206251</xdr:rowOff>
    </xdr:from>
    <xdr:to>
      <xdr:col>12</xdr:col>
      <xdr:colOff>1653152</xdr:colOff>
      <xdr:row>232</xdr:row>
      <xdr:rowOff>1177595</xdr:rowOff>
    </xdr:to>
    <xdr:pic>
      <xdr:nvPicPr>
        <xdr:cNvPr id="467" name="Picture 466">
          <a:extLst>
            <a:ext uri="{FF2B5EF4-FFF2-40B4-BE49-F238E27FC236}">
              <a16:creationId xmlns:a16="http://schemas.microsoft.com/office/drawing/2014/main" id="{E2FCC86E-CFBD-C4D4-477E-80E5B2DA1116}"/>
            </a:ext>
          </a:extLst>
        </xdr:cNvPr>
        <xdr:cNvPicPr>
          <a:picLocks noChangeAspect="1"/>
        </xdr:cNvPicPr>
      </xdr:nvPicPr>
      <xdr:blipFill>
        <a:blip xmlns:r="http://schemas.openxmlformats.org/officeDocument/2006/relationships" r:link="rId225"/>
        <a:stretch>
          <a:fillRect/>
        </a:stretch>
      </xdr:blipFill>
      <xdr:spPr>
        <a:xfrm>
          <a:off x="28452305" y="323810861"/>
          <a:ext cx="968644" cy="971344"/>
        </a:xfrm>
        <a:prstGeom prst="rect">
          <a:avLst/>
        </a:prstGeom>
      </xdr:spPr>
    </xdr:pic>
    <xdr:clientData/>
  </xdr:twoCellAnchor>
  <xdr:twoCellAnchor editAs="oneCell">
    <xdr:from>
      <xdr:col>12</xdr:col>
      <xdr:colOff>684508</xdr:colOff>
      <xdr:row>233</xdr:row>
      <xdr:rowOff>206648</xdr:rowOff>
    </xdr:from>
    <xdr:to>
      <xdr:col>12</xdr:col>
      <xdr:colOff>1653152</xdr:colOff>
      <xdr:row>233</xdr:row>
      <xdr:rowOff>1177400</xdr:rowOff>
    </xdr:to>
    <xdr:pic>
      <xdr:nvPicPr>
        <xdr:cNvPr id="469" name="Picture 468">
          <a:extLst>
            <a:ext uri="{FF2B5EF4-FFF2-40B4-BE49-F238E27FC236}">
              <a16:creationId xmlns:a16="http://schemas.microsoft.com/office/drawing/2014/main" id="{589A2BD5-0080-C475-2094-5F1C27ECA5EA}"/>
            </a:ext>
          </a:extLst>
        </xdr:cNvPr>
        <xdr:cNvPicPr>
          <a:picLocks noChangeAspect="1"/>
        </xdr:cNvPicPr>
      </xdr:nvPicPr>
      <xdr:blipFill>
        <a:blip xmlns:r="http://schemas.openxmlformats.org/officeDocument/2006/relationships" r:link="rId226"/>
        <a:stretch>
          <a:fillRect/>
        </a:stretch>
      </xdr:blipFill>
      <xdr:spPr>
        <a:xfrm>
          <a:off x="28452305" y="325206106"/>
          <a:ext cx="968644" cy="970752"/>
        </a:xfrm>
        <a:prstGeom prst="rect">
          <a:avLst/>
        </a:prstGeom>
      </xdr:spPr>
    </xdr:pic>
    <xdr:clientData/>
  </xdr:twoCellAnchor>
  <xdr:twoCellAnchor editAs="oneCell">
    <xdr:from>
      <xdr:col>12</xdr:col>
      <xdr:colOff>684508</xdr:colOff>
      <xdr:row>234</xdr:row>
      <xdr:rowOff>206246</xdr:rowOff>
    </xdr:from>
    <xdr:to>
      <xdr:col>12</xdr:col>
      <xdr:colOff>1653152</xdr:colOff>
      <xdr:row>234</xdr:row>
      <xdr:rowOff>1177590</xdr:rowOff>
    </xdr:to>
    <xdr:pic>
      <xdr:nvPicPr>
        <xdr:cNvPr id="471" name="Picture 470">
          <a:extLst>
            <a:ext uri="{FF2B5EF4-FFF2-40B4-BE49-F238E27FC236}">
              <a16:creationId xmlns:a16="http://schemas.microsoft.com/office/drawing/2014/main" id="{E8AB2674-877D-676C-A360-82DC4A962D75}"/>
            </a:ext>
          </a:extLst>
        </xdr:cNvPr>
        <xdr:cNvPicPr>
          <a:picLocks noChangeAspect="1"/>
        </xdr:cNvPicPr>
      </xdr:nvPicPr>
      <xdr:blipFill>
        <a:blip xmlns:r="http://schemas.openxmlformats.org/officeDocument/2006/relationships" r:link="rId227"/>
        <a:stretch>
          <a:fillRect/>
        </a:stretch>
      </xdr:blipFill>
      <xdr:spPr>
        <a:xfrm>
          <a:off x="28452305" y="326600551"/>
          <a:ext cx="968644" cy="971344"/>
        </a:xfrm>
        <a:prstGeom prst="rect">
          <a:avLst/>
        </a:prstGeom>
      </xdr:spPr>
    </xdr:pic>
    <xdr:clientData/>
  </xdr:twoCellAnchor>
  <xdr:twoCellAnchor editAs="oneCell">
    <xdr:from>
      <xdr:col>12</xdr:col>
      <xdr:colOff>684508</xdr:colOff>
      <xdr:row>235</xdr:row>
      <xdr:rowOff>206643</xdr:rowOff>
    </xdr:from>
    <xdr:to>
      <xdr:col>12</xdr:col>
      <xdr:colOff>1653152</xdr:colOff>
      <xdr:row>235</xdr:row>
      <xdr:rowOff>1177395</xdr:rowOff>
    </xdr:to>
    <xdr:pic>
      <xdr:nvPicPr>
        <xdr:cNvPr id="473" name="Picture 472">
          <a:extLst>
            <a:ext uri="{FF2B5EF4-FFF2-40B4-BE49-F238E27FC236}">
              <a16:creationId xmlns:a16="http://schemas.microsoft.com/office/drawing/2014/main" id="{E046991D-550B-955A-A5A7-7A9D32E29B47}"/>
            </a:ext>
          </a:extLst>
        </xdr:cNvPr>
        <xdr:cNvPicPr>
          <a:picLocks noChangeAspect="1"/>
        </xdr:cNvPicPr>
      </xdr:nvPicPr>
      <xdr:blipFill>
        <a:blip xmlns:r="http://schemas.openxmlformats.org/officeDocument/2006/relationships" r:link="rId228"/>
        <a:stretch>
          <a:fillRect/>
        </a:stretch>
      </xdr:blipFill>
      <xdr:spPr>
        <a:xfrm>
          <a:off x="28452305" y="327995796"/>
          <a:ext cx="968644" cy="970752"/>
        </a:xfrm>
        <a:prstGeom prst="rect">
          <a:avLst/>
        </a:prstGeom>
      </xdr:spPr>
    </xdr:pic>
    <xdr:clientData/>
  </xdr:twoCellAnchor>
  <xdr:twoCellAnchor editAs="oneCell">
    <xdr:from>
      <xdr:col>12</xdr:col>
      <xdr:colOff>684508</xdr:colOff>
      <xdr:row>236</xdr:row>
      <xdr:rowOff>206653</xdr:rowOff>
    </xdr:from>
    <xdr:to>
      <xdr:col>12</xdr:col>
      <xdr:colOff>1653152</xdr:colOff>
      <xdr:row>236</xdr:row>
      <xdr:rowOff>1177405</xdr:rowOff>
    </xdr:to>
    <xdr:pic>
      <xdr:nvPicPr>
        <xdr:cNvPr id="475" name="Picture 474">
          <a:extLst>
            <a:ext uri="{FF2B5EF4-FFF2-40B4-BE49-F238E27FC236}">
              <a16:creationId xmlns:a16="http://schemas.microsoft.com/office/drawing/2014/main" id="{D4ADBB9F-0235-C006-DD21-90A7364F63E3}"/>
            </a:ext>
          </a:extLst>
        </xdr:cNvPr>
        <xdr:cNvPicPr>
          <a:picLocks noChangeAspect="1"/>
        </xdr:cNvPicPr>
      </xdr:nvPicPr>
      <xdr:blipFill>
        <a:blip xmlns:r="http://schemas.openxmlformats.org/officeDocument/2006/relationships" r:link="rId229"/>
        <a:stretch>
          <a:fillRect/>
        </a:stretch>
      </xdr:blipFill>
      <xdr:spPr>
        <a:xfrm>
          <a:off x="28452305" y="329390653"/>
          <a:ext cx="968644" cy="970752"/>
        </a:xfrm>
        <a:prstGeom prst="rect">
          <a:avLst/>
        </a:prstGeom>
      </xdr:spPr>
    </xdr:pic>
    <xdr:clientData/>
  </xdr:twoCellAnchor>
  <xdr:twoCellAnchor editAs="oneCell">
    <xdr:from>
      <xdr:col>12</xdr:col>
      <xdr:colOff>684508</xdr:colOff>
      <xdr:row>237</xdr:row>
      <xdr:rowOff>206251</xdr:rowOff>
    </xdr:from>
    <xdr:to>
      <xdr:col>12</xdr:col>
      <xdr:colOff>1653152</xdr:colOff>
      <xdr:row>237</xdr:row>
      <xdr:rowOff>1177595</xdr:rowOff>
    </xdr:to>
    <xdr:pic>
      <xdr:nvPicPr>
        <xdr:cNvPr id="477" name="Picture 476">
          <a:extLst>
            <a:ext uri="{FF2B5EF4-FFF2-40B4-BE49-F238E27FC236}">
              <a16:creationId xmlns:a16="http://schemas.microsoft.com/office/drawing/2014/main" id="{F59AEAB6-E354-B7B8-624F-D2C1A5BE27BD}"/>
            </a:ext>
          </a:extLst>
        </xdr:cNvPr>
        <xdr:cNvPicPr>
          <a:picLocks noChangeAspect="1"/>
        </xdr:cNvPicPr>
      </xdr:nvPicPr>
      <xdr:blipFill>
        <a:blip xmlns:r="http://schemas.openxmlformats.org/officeDocument/2006/relationships" r:link="rId230"/>
        <a:stretch>
          <a:fillRect/>
        </a:stretch>
      </xdr:blipFill>
      <xdr:spPr>
        <a:xfrm>
          <a:off x="28452305" y="330785098"/>
          <a:ext cx="968644" cy="971344"/>
        </a:xfrm>
        <a:prstGeom prst="rect">
          <a:avLst/>
        </a:prstGeom>
      </xdr:spPr>
    </xdr:pic>
    <xdr:clientData/>
  </xdr:twoCellAnchor>
  <xdr:twoCellAnchor editAs="oneCell">
    <xdr:from>
      <xdr:col>12</xdr:col>
      <xdr:colOff>684508</xdr:colOff>
      <xdr:row>238</xdr:row>
      <xdr:rowOff>206648</xdr:rowOff>
    </xdr:from>
    <xdr:to>
      <xdr:col>12</xdr:col>
      <xdr:colOff>1653152</xdr:colOff>
      <xdr:row>238</xdr:row>
      <xdr:rowOff>1177400</xdr:rowOff>
    </xdr:to>
    <xdr:pic>
      <xdr:nvPicPr>
        <xdr:cNvPr id="479" name="Picture 478">
          <a:extLst>
            <a:ext uri="{FF2B5EF4-FFF2-40B4-BE49-F238E27FC236}">
              <a16:creationId xmlns:a16="http://schemas.microsoft.com/office/drawing/2014/main" id="{6269B249-7BAD-33B0-3E0B-4CD3B6B2E1B2}"/>
            </a:ext>
          </a:extLst>
        </xdr:cNvPr>
        <xdr:cNvPicPr>
          <a:picLocks noChangeAspect="1"/>
        </xdr:cNvPicPr>
      </xdr:nvPicPr>
      <xdr:blipFill>
        <a:blip xmlns:r="http://schemas.openxmlformats.org/officeDocument/2006/relationships" r:link="rId231"/>
        <a:stretch>
          <a:fillRect/>
        </a:stretch>
      </xdr:blipFill>
      <xdr:spPr>
        <a:xfrm>
          <a:off x="28452305" y="332180343"/>
          <a:ext cx="968644" cy="970752"/>
        </a:xfrm>
        <a:prstGeom prst="rect">
          <a:avLst/>
        </a:prstGeom>
      </xdr:spPr>
    </xdr:pic>
    <xdr:clientData/>
  </xdr:twoCellAnchor>
  <xdr:twoCellAnchor editAs="oneCell">
    <xdr:from>
      <xdr:col>12</xdr:col>
      <xdr:colOff>684508</xdr:colOff>
      <xdr:row>239</xdr:row>
      <xdr:rowOff>206246</xdr:rowOff>
    </xdr:from>
    <xdr:to>
      <xdr:col>12</xdr:col>
      <xdr:colOff>1653152</xdr:colOff>
      <xdr:row>239</xdr:row>
      <xdr:rowOff>1177590</xdr:rowOff>
    </xdr:to>
    <xdr:pic>
      <xdr:nvPicPr>
        <xdr:cNvPr id="481" name="Picture 480">
          <a:extLst>
            <a:ext uri="{FF2B5EF4-FFF2-40B4-BE49-F238E27FC236}">
              <a16:creationId xmlns:a16="http://schemas.microsoft.com/office/drawing/2014/main" id="{6DF089C1-A3BC-D558-D6CC-3D2FBE844745}"/>
            </a:ext>
          </a:extLst>
        </xdr:cNvPr>
        <xdr:cNvPicPr>
          <a:picLocks noChangeAspect="1"/>
        </xdr:cNvPicPr>
      </xdr:nvPicPr>
      <xdr:blipFill>
        <a:blip xmlns:r="http://schemas.openxmlformats.org/officeDocument/2006/relationships" r:link="rId232"/>
        <a:stretch>
          <a:fillRect/>
        </a:stretch>
      </xdr:blipFill>
      <xdr:spPr>
        <a:xfrm>
          <a:off x="28452305" y="333574788"/>
          <a:ext cx="968644" cy="971344"/>
        </a:xfrm>
        <a:prstGeom prst="rect">
          <a:avLst/>
        </a:prstGeom>
      </xdr:spPr>
    </xdr:pic>
    <xdr:clientData/>
  </xdr:twoCellAnchor>
  <xdr:twoCellAnchor editAs="oneCell">
    <xdr:from>
      <xdr:col>12</xdr:col>
      <xdr:colOff>684508</xdr:colOff>
      <xdr:row>240</xdr:row>
      <xdr:rowOff>206643</xdr:rowOff>
    </xdr:from>
    <xdr:to>
      <xdr:col>12</xdr:col>
      <xdr:colOff>1653152</xdr:colOff>
      <xdr:row>240</xdr:row>
      <xdr:rowOff>1177395</xdr:rowOff>
    </xdr:to>
    <xdr:pic>
      <xdr:nvPicPr>
        <xdr:cNvPr id="483" name="Picture 482">
          <a:extLst>
            <a:ext uri="{FF2B5EF4-FFF2-40B4-BE49-F238E27FC236}">
              <a16:creationId xmlns:a16="http://schemas.microsoft.com/office/drawing/2014/main" id="{5A52E95E-0C7B-3F6A-1D2D-47FF75C27A5F}"/>
            </a:ext>
          </a:extLst>
        </xdr:cNvPr>
        <xdr:cNvPicPr>
          <a:picLocks noChangeAspect="1"/>
        </xdr:cNvPicPr>
      </xdr:nvPicPr>
      <xdr:blipFill>
        <a:blip xmlns:r="http://schemas.openxmlformats.org/officeDocument/2006/relationships" r:link="rId233"/>
        <a:stretch>
          <a:fillRect/>
        </a:stretch>
      </xdr:blipFill>
      <xdr:spPr>
        <a:xfrm>
          <a:off x="28452305" y="334970033"/>
          <a:ext cx="968644" cy="970752"/>
        </a:xfrm>
        <a:prstGeom prst="rect">
          <a:avLst/>
        </a:prstGeom>
      </xdr:spPr>
    </xdr:pic>
    <xdr:clientData/>
  </xdr:twoCellAnchor>
  <xdr:twoCellAnchor editAs="oneCell">
    <xdr:from>
      <xdr:col>12</xdr:col>
      <xdr:colOff>684508</xdr:colOff>
      <xdr:row>241</xdr:row>
      <xdr:rowOff>206653</xdr:rowOff>
    </xdr:from>
    <xdr:to>
      <xdr:col>12</xdr:col>
      <xdr:colOff>1653152</xdr:colOff>
      <xdr:row>241</xdr:row>
      <xdr:rowOff>1177405</xdr:rowOff>
    </xdr:to>
    <xdr:pic>
      <xdr:nvPicPr>
        <xdr:cNvPr id="485" name="Picture 484">
          <a:extLst>
            <a:ext uri="{FF2B5EF4-FFF2-40B4-BE49-F238E27FC236}">
              <a16:creationId xmlns:a16="http://schemas.microsoft.com/office/drawing/2014/main" id="{2E4E34AA-9BC4-DD3F-E7DB-22E6ADAA141A}"/>
            </a:ext>
          </a:extLst>
        </xdr:cNvPr>
        <xdr:cNvPicPr>
          <a:picLocks noChangeAspect="1"/>
        </xdr:cNvPicPr>
      </xdr:nvPicPr>
      <xdr:blipFill>
        <a:blip xmlns:r="http://schemas.openxmlformats.org/officeDocument/2006/relationships" r:link="rId234"/>
        <a:stretch>
          <a:fillRect/>
        </a:stretch>
      </xdr:blipFill>
      <xdr:spPr>
        <a:xfrm>
          <a:off x="28452305" y="336364890"/>
          <a:ext cx="968644" cy="970752"/>
        </a:xfrm>
        <a:prstGeom prst="rect">
          <a:avLst/>
        </a:prstGeom>
      </xdr:spPr>
    </xdr:pic>
    <xdr:clientData/>
  </xdr:twoCellAnchor>
  <xdr:twoCellAnchor editAs="oneCell">
    <xdr:from>
      <xdr:col>12</xdr:col>
      <xdr:colOff>684508</xdr:colOff>
      <xdr:row>242</xdr:row>
      <xdr:rowOff>206249</xdr:rowOff>
    </xdr:from>
    <xdr:to>
      <xdr:col>12</xdr:col>
      <xdr:colOff>1653152</xdr:colOff>
      <xdr:row>242</xdr:row>
      <xdr:rowOff>1177594</xdr:rowOff>
    </xdr:to>
    <xdr:pic>
      <xdr:nvPicPr>
        <xdr:cNvPr id="487" name="Picture 486">
          <a:extLst>
            <a:ext uri="{FF2B5EF4-FFF2-40B4-BE49-F238E27FC236}">
              <a16:creationId xmlns:a16="http://schemas.microsoft.com/office/drawing/2014/main" id="{B8A74C95-2ECD-5725-EA06-8FAB20FF6D85}"/>
            </a:ext>
          </a:extLst>
        </xdr:cNvPr>
        <xdr:cNvPicPr>
          <a:picLocks noChangeAspect="1"/>
        </xdr:cNvPicPr>
      </xdr:nvPicPr>
      <xdr:blipFill>
        <a:blip xmlns:r="http://schemas.openxmlformats.org/officeDocument/2006/relationships" r:link="rId235"/>
        <a:stretch>
          <a:fillRect/>
        </a:stretch>
      </xdr:blipFill>
      <xdr:spPr>
        <a:xfrm>
          <a:off x="28452305" y="337759334"/>
          <a:ext cx="968644" cy="971345"/>
        </a:xfrm>
        <a:prstGeom prst="rect">
          <a:avLst/>
        </a:prstGeom>
      </xdr:spPr>
    </xdr:pic>
    <xdr:clientData/>
  </xdr:twoCellAnchor>
  <xdr:twoCellAnchor editAs="oneCell">
    <xdr:from>
      <xdr:col>12</xdr:col>
      <xdr:colOff>684508</xdr:colOff>
      <xdr:row>243</xdr:row>
      <xdr:rowOff>206648</xdr:rowOff>
    </xdr:from>
    <xdr:to>
      <xdr:col>12</xdr:col>
      <xdr:colOff>1653152</xdr:colOff>
      <xdr:row>243</xdr:row>
      <xdr:rowOff>1177400</xdr:rowOff>
    </xdr:to>
    <xdr:pic>
      <xdr:nvPicPr>
        <xdr:cNvPr id="489" name="Picture 488">
          <a:extLst>
            <a:ext uri="{FF2B5EF4-FFF2-40B4-BE49-F238E27FC236}">
              <a16:creationId xmlns:a16="http://schemas.microsoft.com/office/drawing/2014/main" id="{A5ABF586-0BB0-5EBD-C593-2C60E7AE6556}"/>
            </a:ext>
          </a:extLst>
        </xdr:cNvPr>
        <xdr:cNvPicPr>
          <a:picLocks noChangeAspect="1"/>
        </xdr:cNvPicPr>
      </xdr:nvPicPr>
      <xdr:blipFill>
        <a:blip xmlns:r="http://schemas.openxmlformats.org/officeDocument/2006/relationships" r:link="rId236"/>
        <a:stretch>
          <a:fillRect/>
        </a:stretch>
      </xdr:blipFill>
      <xdr:spPr>
        <a:xfrm>
          <a:off x="28452305" y="339154580"/>
          <a:ext cx="968644" cy="970752"/>
        </a:xfrm>
        <a:prstGeom prst="rect">
          <a:avLst/>
        </a:prstGeom>
      </xdr:spPr>
    </xdr:pic>
    <xdr:clientData/>
  </xdr:twoCellAnchor>
  <xdr:twoCellAnchor editAs="oneCell">
    <xdr:from>
      <xdr:col>12</xdr:col>
      <xdr:colOff>684508</xdr:colOff>
      <xdr:row>244</xdr:row>
      <xdr:rowOff>206244</xdr:rowOff>
    </xdr:from>
    <xdr:to>
      <xdr:col>12</xdr:col>
      <xdr:colOff>1653152</xdr:colOff>
      <xdr:row>244</xdr:row>
      <xdr:rowOff>1177589</xdr:rowOff>
    </xdr:to>
    <xdr:pic>
      <xdr:nvPicPr>
        <xdr:cNvPr id="491" name="Picture 490">
          <a:extLst>
            <a:ext uri="{FF2B5EF4-FFF2-40B4-BE49-F238E27FC236}">
              <a16:creationId xmlns:a16="http://schemas.microsoft.com/office/drawing/2014/main" id="{90BE3915-3259-4962-2DC4-D5997408223C}"/>
            </a:ext>
          </a:extLst>
        </xdr:cNvPr>
        <xdr:cNvPicPr>
          <a:picLocks noChangeAspect="1"/>
        </xdr:cNvPicPr>
      </xdr:nvPicPr>
      <xdr:blipFill>
        <a:blip xmlns:r="http://schemas.openxmlformats.org/officeDocument/2006/relationships" r:link="rId237"/>
        <a:stretch>
          <a:fillRect/>
        </a:stretch>
      </xdr:blipFill>
      <xdr:spPr>
        <a:xfrm>
          <a:off x="28452305" y="340549024"/>
          <a:ext cx="968644" cy="971345"/>
        </a:xfrm>
        <a:prstGeom prst="rect">
          <a:avLst/>
        </a:prstGeom>
      </xdr:spPr>
    </xdr:pic>
    <xdr:clientData/>
  </xdr:twoCellAnchor>
  <xdr:twoCellAnchor editAs="oneCell">
    <xdr:from>
      <xdr:col>12</xdr:col>
      <xdr:colOff>684508</xdr:colOff>
      <xdr:row>245</xdr:row>
      <xdr:rowOff>206643</xdr:rowOff>
    </xdr:from>
    <xdr:to>
      <xdr:col>12</xdr:col>
      <xdr:colOff>1653152</xdr:colOff>
      <xdr:row>245</xdr:row>
      <xdr:rowOff>1177395</xdr:rowOff>
    </xdr:to>
    <xdr:pic>
      <xdr:nvPicPr>
        <xdr:cNvPr id="493" name="Picture 492">
          <a:extLst>
            <a:ext uri="{FF2B5EF4-FFF2-40B4-BE49-F238E27FC236}">
              <a16:creationId xmlns:a16="http://schemas.microsoft.com/office/drawing/2014/main" id="{06C1CA65-5AF3-2EF2-9D7E-63E6F9C35932}"/>
            </a:ext>
          </a:extLst>
        </xdr:cNvPr>
        <xdr:cNvPicPr>
          <a:picLocks noChangeAspect="1"/>
        </xdr:cNvPicPr>
      </xdr:nvPicPr>
      <xdr:blipFill>
        <a:blip xmlns:r="http://schemas.openxmlformats.org/officeDocument/2006/relationships" r:link="rId238"/>
        <a:stretch>
          <a:fillRect/>
        </a:stretch>
      </xdr:blipFill>
      <xdr:spPr>
        <a:xfrm>
          <a:off x="28452305" y="341944270"/>
          <a:ext cx="968644" cy="970752"/>
        </a:xfrm>
        <a:prstGeom prst="rect">
          <a:avLst/>
        </a:prstGeom>
      </xdr:spPr>
    </xdr:pic>
    <xdr:clientData/>
  </xdr:twoCellAnchor>
  <xdr:twoCellAnchor editAs="oneCell">
    <xdr:from>
      <xdr:col>12</xdr:col>
      <xdr:colOff>684508</xdr:colOff>
      <xdr:row>246</xdr:row>
      <xdr:rowOff>206653</xdr:rowOff>
    </xdr:from>
    <xdr:to>
      <xdr:col>12</xdr:col>
      <xdr:colOff>1653152</xdr:colOff>
      <xdr:row>246</xdr:row>
      <xdr:rowOff>1177405</xdr:rowOff>
    </xdr:to>
    <xdr:pic>
      <xdr:nvPicPr>
        <xdr:cNvPr id="495" name="Picture 494">
          <a:extLst>
            <a:ext uri="{FF2B5EF4-FFF2-40B4-BE49-F238E27FC236}">
              <a16:creationId xmlns:a16="http://schemas.microsoft.com/office/drawing/2014/main" id="{AAC69D3A-2A2B-8CEC-1A64-1892CE4D3B3C}"/>
            </a:ext>
          </a:extLst>
        </xdr:cNvPr>
        <xdr:cNvPicPr>
          <a:picLocks noChangeAspect="1"/>
        </xdr:cNvPicPr>
      </xdr:nvPicPr>
      <xdr:blipFill>
        <a:blip xmlns:r="http://schemas.openxmlformats.org/officeDocument/2006/relationships" r:link="rId239"/>
        <a:stretch>
          <a:fillRect/>
        </a:stretch>
      </xdr:blipFill>
      <xdr:spPr>
        <a:xfrm>
          <a:off x="28452305" y="343339128"/>
          <a:ext cx="968644" cy="970752"/>
        </a:xfrm>
        <a:prstGeom prst="rect">
          <a:avLst/>
        </a:prstGeom>
      </xdr:spPr>
    </xdr:pic>
    <xdr:clientData/>
  </xdr:twoCellAnchor>
  <xdr:twoCellAnchor editAs="oneCell">
    <xdr:from>
      <xdr:col>12</xdr:col>
      <xdr:colOff>684508</xdr:colOff>
      <xdr:row>247</xdr:row>
      <xdr:rowOff>206251</xdr:rowOff>
    </xdr:from>
    <xdr:to>
      <xdr:col>12</xdr:col>
      <xdr:colOff>1653152</xdr:colOff>
      <xdr:row>247</xdr:row>
      <xdr:rowOff>1177595</xdr:rowOff>
    </xdr:to>
    <xdr:pic>
      <xdr:nvPicPr>
        <xdr:cNvPr id="497" name="Picture 496">
          <a:extLst>
            <a:ext uri="{FF2B5EF4-FFF2-40B4-BE49-F238E27FC236}">
              <a16:creationId xmlns:a16="http://schemas.microsoft.com/office/drawing/2014/main" id="{D049B5FF-B168-994E-86C6-816B415B01A7}"/>
            </a:ext>
          </a:extLst>
        </xdr:cNvPr>
        <xdr:cNvPicPr>
          <a:picLocks noChangeAspect="1"/>
        </xdr:cNvPicPr>
      </xdr:nvPicPr>
      <xdr:blipFill>
        <a:blip xmlns:r="http://schemas.openxmlformats.org/officeDocument/2006/relationships" r:link="rId240"/>
        <a:stretch>
          <a:fillRect/>
        </a:stretch>
      </xdr:blipFill>
      <xdr:spPr>
        <a:xfrm>
          <a:off x="28452305" y="344733573"/>
          <a:ext cx="968644" cy="971344"/>
        </a:xfrm>
        <a:prstGeom prst="rect">
          <a:avLst/>
        </a:prstGeom>
      </xdr:spPr>
    </xdr:pic>
    <xdr:clientData/>
  </xdr:twoCellAnchor>
  <xdr:twoCellAnchor editAs="oneCell">
    <xdr:from>
      <xdr:col>12</xdr:col>
      <xdr:colOff>684508</xdr:colOff>
      <xdr:row>248</xdr:row>
      <xdr:rowOff>206648</xdr:rowOff>
    </xdr:from>
    <xdr:to>
      <xdr:col>12</xdr:col>
      <xdr:colOff>1653152</xdr:colOff>
      <xdr:row>248</xdr:row>
      <xdr:rowOff>1177400</xdr:rowOff>
    </xdr:to>
    <xdr:pic>
      <xdr:nvPicPr>
        <xdr:cNvPr id="499" name="Picture 498">
          <a:extLst>
            <a:ext uri="{FF2B5EF4-FFF2-40B4-BE49-F238E27FC236}">
              <a16:creationId xmlns:a16="http://schemas.microsoft.com/office/drawing/2014/main" id="{1575ED5B-907C-AC69-53E1-E8CEBD2F6246}"/>
            </a:ext>
          </a:extLst>
        </xdr:cNvPr>
        <xdr:cNvPicPr>
          <a:picLocks noChangeAspect="1"/>
        </xdr:cNvPicPr>
      </xdr:nvPicPr>
      <xdr:blipFill>
        <a:blip xmlns:r="http://schemas.openxmlformats.org/officeDocument/2006/relationships" r:link="rId241"/>
        <a:stretch>
          <a:fillRect/>
        </a:stretch>
      </xdr:blipFill>
      <xdr:spPr>
        <a:xfrm>
          <a:off x="28452305" y="346128817"/>
          <a:ext cx="968644" cy="970752"/>
        </a:xfrm>
        <a:prstGeom prst="rect">
          <a:avLst/>
        </a:prstGeom>
      </xdr:spPr>
    </xdr:pic>
    <xdr:clientData/>
  </xdr:twoCellAnchor>
  <xdr:twoCellAnchor editAs="oneCell">
    <xdr:from>
      <xdr:col>12</xdr:col>
      <xdr:colOff>684508</xdr:colOff>
      <xdr:row>249</xdr:row>
      <xdr:rowOff>206244</xdr:rowOff>
    </xdr:from>
    <xdr:to>
      <xdr:col>12</xdr:col>
      <xdr:colOff>1653152</xdr:colOff>
      <xdr:row>249</xdr:row>
      <xdr:rowOff>1177589</xdr:rowOff>
    </xdr:to>
    <xdr:pic>
      <xdr:nvPicPr>
        <xdr:cNvPr id="501" name="Picture 500">
          <a:extLst>
            <a:ext uri="{FF2B5EF4-FFF2-40B4-BE49-F238E27FC236}">
              <a16:creationId xmlns:a16="http://schemas.microsoft.com/office/drawing/2014/main" id="{699982E4-ED9F-429C-BCC5-7EB945AC5FA4}"/>
            </a:ext>
          </a:extLst>
        </xdr:cNvPr>
        <xdr:cNvPicPr>
          <a:picLocks noChangeAspect="1"/>
        </xdr:cNvPicPr>
      </xdr:nvPicPr>
      <xdr:blipFill>
        <a:blip xmlns:r="http://schemas.openxmlformats.org/officeDocument/2006/relationships" r:link="rId242"/>
        <a:stretch>
          <a:fillRect/>
        </a:stretch>
      </xdr:blipFill>
      <xdr:spPr>
        <a:xfrm>
          <a:off x="28452305" y="347523261"/>
          <a:ext cx="968644" cy="971345"/>
        </a:xfrm>
        <a:prstGeom prst="rect">
          <a:avLst/>
        </a:prstGeom>
      </xdr:spPr>
    </xdr:pic>
    <xdr:clientData/>
  </xdr:twoCellAnchor>
  <xdr:twoCellAnchor editAs="oneCell">
    <xdr:from>
      <xdr:col>12</xdr:col>
      <xdr:colOff>684508</xdr:colOff>
      <xdr:row>250</xdr:row>
      <xdr:rowOff>206643</xdr:rowOff>
    </xdr:from>
    <xdr:to>
      <xdr:col>12</xdr:col>
      <xdr:colOff>1653152</xdr:colOff>
      <xdr:row>250</xdr:row>
      <xdr:rowOff>1177395</xdr:rowOff>
    </xdr:to>
    <xdr:pic>
      <xdr:nvPicPr>
        <xdr:cNvPr id="503" name="Picture 502">
          <a:extLst>
            <a:ext uri="{FF2B5EF4-FFF2-40B4-BE49-F238E27FC236}">
              <a16:creationId xmlns:a16="http://schemas.microsoft.com/office/drawing/2014/main" id="{0F1FAE70-A58E-A4EB-E1D8-FCA839BB7B97}"/>
            </a:ext>
          </a:extLst>
        </xdr:cNvPr>
        <xdr:cNvPicPr>
          <a:picLocks noChangeAspect="1"/>
        </xdr:cNvPicPr>
      </xdr:nvPicPr>
      <xdr:blipFill>
        <a:blip xmlns:r="http://schemas.openxmlformats.org/officeDocument/2006/relationships" r:link="rId243"/>
        <a:stretch>
          <a:fillRect/>
        </a:stretch>
      </xdr:blipFill>
      <xdr:spPr>
        <a:xfrm>
          <a:off x="28452305" y="348918507"/>
          <a:ext cx="968644" cy="970752"/>
        </a:xfrm>
        <a:prstGeom prst="rect">
          <a:avLst/>
        </a:prstGeom>
      </xdr:spPr>
    </xdr:pic>
    <xdr:clientData/>
  </xdr:twoCellAnchor>
  <xdr:twoCellAnchor editAs="oneCell">
    <xdr:from>
      <xdr:col>12</xdr:col>
      <xdr:colOff>684508</xdr:colOff>
      <xdr:row>251</xdr:row>
      <xdr:rowOff>206653</xdr:rowOff>
    </xdr:from>
    <xdr:to>
      <xdr:col>12</xdr:col>
      <xdr:colOff>1653152</xdr:colOff>
      <xdr:row>251</xdr:row>
      <xdr:rowOff>1177405</xdr:rowOff>
    </xdr:to>
    <xdr:pic>
      <xdr:nvPicPr>
        <xdr:cNvPr id="505" name="Picture 504">
          <a:extLst>
            <a:ext uri="{FF2B5EF4-FFF2-40B4-BE49-F238E27FC236}">
              <a16:creationId xmlns:a16="http://schemas.microsoft.com/office/drawing/2014/main" id="{A64ADFF9-3B11-74E9-59B8-3B57A114F25C}"/>
            </a:ext>
          </a:extLst>
        </xdr:cNvPr>
        <xdr:cNvPicPr>
          <a:picLocks noChangeAspect="1"/>
        </xdr:cNvPicPr>
      </xdr:nvPicPr>
      <xdr:blipFill>
        <a:blip xmlns:r="http://schemas.openxmlformats.org/officeDocument/2006/relationships" r:link="rId244"/>
        <a:stretch>
          <a:fillRect/>
        </a:stretch>
      </xdr:blipFill>
      <xdr:spPr>
        <a:xfrm>
          <a:off x="28452305" y="350313365"/>
          <a:ext cx="968644" cy="970752"/>
        </a:xfrm>
        <a:prstGeom prst="rect">
          <a:avLst/>
        </a:prstGeom>
      </xdr:spPr>
    </xdr:pic>
    <xdr:clientData/>
  </xdr:twoCellAnchor>
  <xdr:twoCellAnchor editAs="oneCell">
    <xdr:from>
      <xdr:col>12</xdr:col>
      <xdr:colOff>684508</xdr:colOff>
      <xdr:row>252</xdr:row>
      <xdr:rowOff>206251</xdr:rowOff>
    </xdr:from>
    <xdr:to>
      <xdr:col>12</xdr:col>
      <xdr:colOff>1653152</xdr:colOff>
      <xdr:row>252</xdr:row>
      <xdr:rowOff>1177595</xdr:rowOff>
    </xdr:to>
    <xdr:pic>
      <xdr:nvPicPr>
        <xdr:cNvPr id="507" name="Picture 506">
          <a:extLst>
            <a:ext uri="{FF2B5EF4-FFF2-40B4-BE49-F238E27FC236}">
              <a16:creationId xmlns:a16="http://schemas.microsoft.com/office/drawing/2014/main" id="{D0805EC7-D721-C625-1B4E-748F5E04F3A2}"/>
            </a:ext>
          </a:extLst>
        </xdr:cNvPr>
        <xdr:cNvPicPr>
          <a:picLocks noChangeAspect="1"/>
        </xdr:cNvPicPr>
      </xdr:nvPicPr>
      <xdr:blipFill>
        <a:blip xmlns:r="http://schemas.openxmlformats.org/officeDocument/2006/relationships" r:link="rId245"/>
        <a:stretch>
          <a:fillRect/>
        </a:stretch>
      </xdr:blipFill>
      <xdr:spPr>
        <a:xfrm>
          <a:off x="28452305" y="351707810"/>
          <a:ext cx="968644" cy="971344"/>
        </a:xfrm>
        <a:prstGeom prst="rect">
          <a:avLst/>
        </a:prstGeom>
      </xdr:spPr>
    </xdr:pic>
    <xdr:clientData/>
  </xdr:twoCellAnchor>
  <xdr:twoCellAnchor editAs="oneCell">
    <xdr:from>
      <xdr:col>12</xdr:col>
      <xdr:colOff>684508</xdr:colOff>
      <xdr:row>253</xdr:row>
      <xdr:rowOff>206648</xdr:rowOff>
    </xdr:from>
    <xdr:to>
      <xdr:col>12</xdr:col>
      <xdr:colOff>1653152</xdr:colOff>
      <xdr:row>253</xdr:row>
      <xdr:rowOff>1177400</xdr:rowOff>
    </xdr:to>
    <xdr:pic>
      <xdr:nvPicPr>
        <xdr:cNvPr id="509" name="Picture 508">
          <a:extLst>
            <a:ext uri="{FF2B5EF4-FFF2-40B4-BE49-F238E27FC236}">
              <a16:creationId xmlns:a16="http://schemas.microsoft.com/office/drawing/2014/main" id="{987C096A-8212-39F8-7170-349F9CF5B7CB}"/>
            </a:ext>
          </a:extLst>
        </xdr:cNvPr>
        <xdr:cNvPicPr>
          <a:picLocks noChangeAspect="1"/>
        </xdr:cNvPicPr>
      </xdr:nvPicPr>
      <xdr:blipFill>
        <a:blip xmlns:r="http://schemas.openxmlformats.org/officeDocument/2006/relationships" r:link="rId246"/>
        <a:stretch>
          <a:fillRect/>
        </a:stretch>
      </xdr:blipFill>
      <xdr:spPr>
        <a:xfrm>
          <a:off x="28452305" y="353103055"/>
          <a:ext cx="968644" cy="970752"/>
        </a:xfrm>
        <a:prstGeom prst="rect">
          <a:avLst/>
        </a:prstGeom>
      </xdr:spPr>
    </xdr:pic>
    <xdr:clientData/>
  </xdr:twoCellAnchor>
  <xdr:twoCellAnchor editAs="oneCell">
    <xdr:from>
      <xdr:col>12</xdr:col>
      <xdr:colOff>684508</xdr:colOff>
      <xdr:row>254</xdr:row>
      <xdr:rowOff>206246</xdr:rowOff>
    </xdr:from>
    <xdr:to>
      <xdr:col>12</xdr:col>
      <xdr:colOff>1653152</xdr:colOff>
      <xdr:row>254</xdr:row>
      <xdr:rowOff>1177590</xdr:rowOff>
    </xdr:to>
    <xdr:pic>
      <xdr:nvPicPr>
        <xdr:cNvPr id="511" name="Picture 510">
          <a:extLst>
            <a:ext uri="{FF2B5EF4-FFF2-40B4-BE49-F238E27FC236}">
              <a16:creationId xmlns:a16="http://schemas.microsoft.com/office/drawing/2014/main" id="{BD7EDF41-7273-3441-BB90-57875DD28FF3}"/>
            </a:ext>
          </a:extLst>
        </xdr:cNvPr>
        <xdr:cNvPicPr>
          <a:picLocks noChangeAspect="1"/>
        </xdr:cNvPicPr>
      </xdr:nvPicPr>
      <xdr:blipFill>
        <a:blip xmlns:r="http://schemas.openxmlformats.org/officeDocument/2006/relationships" r:link="rId247"/>
        <a:stretch>
          <a:fillRect/>
        </a:stretch>
      </xdr:blipFill>
      <xdr:spPr>
        <a:xfrm>
          <a:off x="28452305" y="354497500"/>
          <a:ext cx="968644" cy="971344"/>
        </a:xfrm>
        <a:prstGeom prst="rect">
          <a:avLst/>
        </a:prstGeom>
      </xdr:spPr>
    </xdr:pic>
    <xdr:clientData/>
  </xdr:twoCellAnchor>
  <xdr:twoCellAnchor editAs="oneCell">
    <xdr:from>
      <xdr:col>12</xdr:col>
      <xdr:colOff>684508</xdr:colOff>
      <xdr:row>255</xdr:row>
      <xdr:rowOff>206643</xdr:rowOff>
    </xdr:from>
    <xdr:to>
      <xdr:col>12</xdr:col>
      <xdr:colOff>1653152</xdr:colOff>
      <xdr:row>255</xdr:row>
      <xdr:rowOff>1177395</xdr:rowOff>
    </xdr:to>
    <xdr:pic>
      <xdr:nvPicPr>
        <xdr:cNvPr id="513" name="Picture 512">
          <a:extLst>
            <a:ext uri="{FF2B5EF4-FFF2-40B4-BE49-F238E27FC236}">
              <a16:creationId xmlns:a16="http://schemas.microsoft.com/office/drawing/2014/main" id="{FFD09F1E-DD73-32E7-06D9-A8AF67EB8EB7}"/>
            </a:ext>
          </a:extLst>
        </xdr:cNvPr>
        <xdr:cNvPicPr>
          <a:picLocks noChangeAspect="1"/>
        </xdr:cNvPicPr>
      </xdr:nvPicPr>
      <xdr:blipFill>
        <a:blip xmlns:r="http://schemas.openxmlformats.org/officeDocument/2006/relationships" r:link="rId248"/>
        <a:stretch>
          <a:fillRect/>
        </a:stretch>
      </xdr:blipFill>
      <xdr:spPr>
        <a:xfrm>
          <a:off x="28452305" y="355892745"/>
          <a:ext cx="968644" cy="970752"/>
        </a:xfrm>
        <a:prstGeom prst="rect">
          <a:avLst/>
        </a:prstGeom>
      </xdr:spPr>
    </xdr:pic>
    <xdr:clientData/>
  </xdr:twoCellAnchor>
  <xdr:twoCellAnchor editAs="oneCell">
    <xdr:from>
      <xdr:col>12</xdr:col>
      <xdr:colOff>684508</xdr:colOff>
      <xdr:row>256</xdr:row>
      <xdr:rowOff>206653</xdr:rowOff>
    </xdr:from>
    <xdr:to>
      <xdr:col>12</xdr:col>
      <xdr:colOff>1653152</xdr:colOff>
      <xdr:row>256</xdr:row>
      <xdr:rowOff>1177405</xdr:rowOff>
    </xdr:to>
    <xdr:pic>
      <xdr:nvPicPr>
        <xdr:cNvPr id="515" name="Picture 514">
          <a:extLst>
            <a:ext uri="{FF2B5EF4-FFF2-40B4-BE49-F238E27FC236}">
              <a16:creationId xmlns:a16="http://schemas.microsoft.com/office/drawing/2014/main" id="{21292088-64D5-12D5-FC30-7956513B86FB}"/>
            </a:ext>
          </a:extLst>
        </xdr:cNvPr>
        <xdr:cNvPicPr>
          <a:picLocks noChangeAspect="1"/>
        </xdr:cNvPicPr>
      </xdr:nvPicPr>
      <xdr:blipFill>
        <a:blip xmlns:r="http://schemas.openxmlformats.org/officeDocument/2006/relationships" r:link="rId249"/>
        <a:stretch>
          <a:fillRect/>
        </a:stretch>
      </xdr:blipFill>
      <xdr:spPr>
        <a:xfrm>
          <a:off x="28452305" y="357287602"/>
          <a:ext cx="968644" cy="970752"/>
        </a:xfrm>
        <a:prstGeom prst="rect">
          <a:avLst/>
        </a:prstGeom>
      </xdr:spPr>
    </xdr:pic>
    <xdr:clientData/>
  </xdr:twoCellAnchor>
  <xdr:twoCellAnchor editAs="oneCell">
    <xdr:from>
      <xdr:col>12</xdr:col>
      <xdr:colOff>684508</xdr:colOff>
      <xdr:row>257</xdr:row>
      <xdr:rowOff>206249</xdr:rowOff>
    </xdr:from>
    <xdr:to>
      <xdr:col>12</xdr:col>
      <xdr:colOff>1653152</xdr:colOff>
      <xdr:row>257</xdr:row>
      <xdr:rowOff>1177594</xdr:rowOff>
    </xdr:to>
    <xdr:pic>
      <xdr:nvPicPr>
        <xdr:cNvPr id="517" name="Picture 516">
          <a:extLst>
            <a:ext uri="{FF2B5EF4-FFF2-40B4-BE49-F238E27FC236}">
              <a16:creationId xmlns:a16="http://schemas.microsoft.com/office/drawing/2014/main" id="{BE93954C-FEB1-A31F-4C23-8E6DB543B401}"/>
            </a:ext>
          </a:extLst>
        </xdr:cNvPr>
        <xdr:cNvPicPr>
          <a:picLocks noChangeAspect="1"/>
        </xdr:cNvPicPr>
      </xdr:nvPicPr>
      <xdr:blipFill>
        <a:blip xmlns:r="http://schemas.openxmlformats.org/officeDocument/2006/relationships" r:link="rId250"/>
        <a:stretch>
          <a:fillRect/>
        </a:stretch>
      </xdr:blipFill>
      <xdr:spPr>
        <a:xfrm>
          <a:off x="28452305" y="358682046"/>
          <a:ext cx="968644" cy="971345"/>
        </a:xfrm>
        <a:prstGeom prst="rect">
          <a:avLst/>
        </a:prstGeom>
      </xdr:spPr>
    </xdr:pic>
    <xdr:clientData/>
  </xdr:twoCellAnchor>
  <xdr:twoCellAnchor editAs="oneCell">
    <xdr:from>
      <xdr:col>12</xdr:col>
      <xdr:colOff>684508</xdr:colOff>
      <xdr:row>258</xdr:row>
      <xdr:rowOff>206648</xdr:rowOff>
    </xdr:from>
    <xdr:to>
      <xdr:col>12</xdr:col>
      <xdr:colOff>1653152</xdr:colOff>
      <xdr:row>258</xdr:row>
      <xdr:rowOff>1177400</xdr:rowOff>
    </xdr:to>
    <xdr:pic>
      <xdr:nvPicPr>
        <xdr:cNvPr id="519" name="Picture 518">
          <a:extLst>
            <a:ext uri="{FF2B5EF4-FFF2-40B4-BE49-F238E27FC236}">
              <a16:creationId xmlns:a16="http://schemas.microsoft.com/office/drawing/2014/main" id="{77CDFE6E-B8D0-01A3-174E-6914A7E6AA44}"/>
            </a:ext>
          </a:extLst>
        </xdr:cNvPr>
        <xdr:cNvPicPr>
          <a:picLocks noChangeAspect="1"/>
        </xdr:cNvPicPr>
      </xdr:nvPicPr>
      <xdr:blipFill>
        <a:blip xmlns:r="http://schemas.openxmlformats.org/officeDocument/2006/relationships" r:link="rId251"/>
        <a:stretch>
          <a:fillRect/>
        </a:stretch>
      </xdr:blipFill>
      <xdr:spPr>
        <a:xfrm>
          <a:off x="28452305" y="360077292"/>
          <a:ext cx="968644" cy="970752"/>
        </a:xfrm>
        <a:prstGeom prst="rect">
          <a:avLst/>
        </a:prstGeom>
      </xdr:spPr>
    </xdr:pic>
    <xdr:clientData/>
  </xdr:twoCellAnchor>
  <xdr:twoCellAnchor editAs="oneCell">
    <xdr:from>
      <xdr:col>12</xdr:col>
      <xdr:colOff>684508</xdr:colOff>
      <xdr:row>259</xdr:row>
      <xdr:rowOff>206244</xdr:rowOff>
    </xdr:from>
    <xdr:to>
      <xdr:col>12</xdr:col>
      <xdr:colOff>1653152</xdr:colOff>
      <xdr:row>259</xdr:row>
      <xdr:rowOff>1177589</xdr:rowOff>
    </xdr:to>
    <xdr:pic>
      <xdr:nvPicPr>
        <xdr:cNvPr id="521" name="Picture 520">
          <a:extLst>
            <a:ext uri="{FF2B5EF4-FFF2-40B4-BE49-F238E27FC236}">
              <a16:creationId xmlns:a16="http://schemas.microsoft.com/office/drawing/2014/main" id="{3FA756E2-C8EE-B626-F2BF-8074E81FC8F9}"/>
            </a:ext>
          </a:extLst>
        </xdr:cNvPr>
        <xdr:cNvPicPr>
          <a:picLocks noChangeAspect="1"/>
        </xdr:cNvPicPr>
      </xdr:nvPicPr>
      <xdr:blipFill>
        <a:blip xmlns:r="http://schemas.openxmlformats.org/officeDocument/2006/relationships" r:link="rId252"/>
        <a:stretch>
          <a:fillRect/>
        </a:stretch>
      </xdr:blipFill>
      <xdr:spPr>
        <a:xfrm>
          <a:off x="28452305" y="361471736"/>
          <a:ext cx="968644" cy="971345"/>
        </a:xfrm>
        <a:prstGeom prst="rect">
          <a:avLst/>
        </a:prstGeom>
      </xdr:spPr>
    </xdr:pic>
    <xdr:clientData/>
  </xdr:twoCellAnchor>
  <xdr:twoCellAnchor editAs="oneCell">
    <xdr:from>
      <xdr:col>12</xdr:col>
      <xdr:colOff>684508</xdr:colOff>
      <xdr:row>260</xdr:row>
      <xdr:rowOff>206643</xdr:rowOff>
    </xdr:from>
    <xdr:to>
      <xdr:col>12</xdr:col>
      <xdr:colOff>1653152</xdr:colOff>
      <xdr:row>260</xdr:row>
      <xdr:rowOff>1177395</xdr:rowOff>
    </xdr:to>
    <xdr:pic>
      <xdr:nvPicPr>
        <xdr:cNvPr id="523" name="Picture 522">
          <a:extLst>
            <a:ext uri="{FF2B5EF4-FFF2-40B4-BE49-F238E27FC236}">
              <a16:creationId xmlns:a16="http://schemas.microsoft.com/office/drawing/2014/main" id="{8B974C79-04DE-9F01-9B1C-7F7187A5001A}"/>
            </a:ext>
          </a:extLst>
        </xdr:cNvPr>
        <xdr:cNvPicPr>
          <a:picLocks noChangeAspect="1"/>
        </xdr:cNvPicPr>
      </xdr:nvPicPr>
      <xdr:blipFill>
        <a:blip xmlns:r="http://schemas.openxmlformats.org/officeDocument/2006/relationships" r:link="rId253"/>
        <a:stretch>
          <a:fillRect/>
        </a:stretch>
      </xdr:blipFill>
      <xdr:spPr>
        <a:xfrm>
          <a:off x="28452305" y="362866982"/>
          <a:ext cx="968644" cy="970752"/>
        </a:xfrm>
        <a:prstGeom prst="rect">
          <a:avLst/>
        </a:prstGeom>
      </xdr:spPr>
    </xdr:pic>
    <xdr:clientData/>
  </xdr:twoCellAnchor>
  <xdr:twoCellAnchor editAs="oneCell">
    <xdr:from>
      <xdr:col>12</xdr:col>
      <xdr:colOff>684508</xdr:colOff>
      <xdr:row>261</xdr:row>
      <xdr:rowOff>206653</xdr:rowOff>
    </xdr:from>
    <xdr:to>
      <xdr:col>12</xdr:col>
      <xdr:colOff>1653152</xdr:colOff>
      <xdr:row>261</xdr:row>
      <xdr:rowOff>1177405</xdr:rowOff>
    </xdr:to>
    <xdr:pic>
      <xdr:nvPicPr>
        <xdr:cNvPr id="525" name="Picture 524">
          <a:extLst>
            <a:ext uri="{FF2B5EF4-FFF2-40B4-BE49-F238E27FC236}">
              <a16:creationId xmlns:a16="http://schemas.microsoft.com/office/drawing/2014/main" id="{E8DBECA0-3EC2-B846-81AE-612DA0409EE9}"/>
            </a:ext>
          </a:extLst>
        </xdr:cNvPr>
        <xdr:cNvPicPr>
          <a:picLocks noChangeAspect="1"/>
        </xdr:cNvPicPr>
      </xdr:nvPicPr>
      <xdr:blipFill>
        <a:blip xmlns:r="http://schemas.openxmlformats.org/officeDocument/2006/relationships" r:link="rId254"/>
        <a:stretch>
          <a:fillRect/>
        </a:stretch>
      </xdr:blipFill>
      <xdr:spPr>
        <a:xfrm>
          <a:off x="28452305" y="364261839"/>
          <a:ext cx="968644" cy="970752"/>
        </a:xfrm>
        <a:prstGeom prst="rect">
          <a:avLst/>
        </a:prstGeom>
      </xdr:spPr>
    </xdr:pic>
    <xdr:clientData/>
  </xdr:twoCellAnchor>
  <xdr:twoCellAnchor editAs="oneCell">
    <xdr:from>
      <xdr:col>12</xdr:col>
      <xdr:colOff>684508</xdr:colOff>
      <xdr:row>262</xdr:row>
      <xdr:rowOff>206249</xdr:rowOff>
    </xdr:from>
    <xdr:to>
      <xdr:col>12</xdr:col>
      <xdr:colOff>1653152</xdr:colOff>
      <xdr:row>262</xdr:row>
      <xdr:rowOff>1177594</xdr:rowOff>
    </xdr:to>
    <xdr:pic>
      <xdr:nvPicPr>
        <xdr:cNvPr id="527" name="Picture 526">
          <a:extLst>
            <a:ext uri="{FF2B5EF4-FFF2-40B4-BE49-F238E27FC236}">
              <a16:creationId xmlns:a16="http://schemas.microsoft.com/office/drawing/2014/main" id="{141CC298-7DD5-8494-3071-3C1F3A26B98E}"/>
            </a:ext>
          </a:extLst>
        </xdr:cNvPr>
        <xdr:cNvPicPr>
          <a:picLocks noChangeAspect="1"/>
        </xdr:cNvPicPr>
      </xdr:nvPicPr>
      <xdr:blipFill>
        <a:blip xmlns:r="http://schemas.openxmlformats.org/officeDocument/2006/relationships" r:link="rId255"/>
        <a:stretch>
          <a:fillRect/>
        </a:stretch>
      </xdr:blipFill>
      <xdr:spPr>
        <a:xfrm>
          <a:off x="28452305" y="365656283"/>
          <a:ext cx="968644" cy="971345"/>
        </a:xfrm>
        <a:prstGeom prst="rect">
          <a:avLst/>
        </a:prstGeom>
      </xdr:spPr>
    </xdr:pic>
    <xdr:clientData/>
  </xdr:twoCellAnchor>
  <xdr:twoCellAnchor editAs="oneCell">
    <xdr:from>
      <xdr:col>12</xdr:col>
      <xdr:colOff>684508</xdr:colOff>
      <xdr:row>263</xdr:row>
      <xdr:rowOff>206648</xdr:rowOff>
    </xdr:from>
    <xdr:to>
      <xdr:col>12</xdr:col>
      <xdr:colOff>1653152</xdr:colOff>
      <xdr:row>263</xdr:row>
      <xdr:rowOff>1177400</xdr:rowOff>
    </xdr:to>
    <xdr:pic>
      <xdr:nvPicPr>
        <xdr:cNvPr id="529" name="Picture 528">
          <a:extLst>
            <a:ext uri="{FF2B5EF4-FFF2-40B4-BE49-F238E27FC236}">
              <a16:creationId xmlns:a16="http://schemas.microsoft.com/office/drawing/2014/main" id="{97DB5558-E786-582D-DFAA-0847D8144E3F}"/>
            </a:ext>
          </a:extLst>
        </xdr:cNvPr>
        <xdr:cNvPicPr>
          <a:picLocks noChangeAspect="1"/>
        </xdr:cNvPicPr>
      </xdr:nvPicPr>
      <xdr:blipFill>
        <a:blip xmlns:r="http://schemas.openxmlformats.org/officeDocument/2006/relationships" r:link="rId256"/>
        <a:stretch>
          <a:fillRect/>
        </a:stretch>
      </xdr:blipFill>
      <xdr:spPr>
        <a:xfrm>
          <a:off x="28452305" y="367051529"/>
          <a:ext cx="968644" cy="970752"/>
        </a:xfrm>
        <a:prstGeom prst="rect">
          <a:avLst/>
        </a:prstGeom>
      </xdr:spPr>
    </xdr:pic>
    <xdr:clientData/>
  </xdr:twoCellAnchor>
  <xdr:twoCellAnchor editAs="oneCell">
    <xdr:from>
      <xdr:col>12</xdr:col>
      <xdr:colOff>684508</xdr:colOff>
      <xdr:row>264</xdr:row>
      <xdr:rowOff>206244</xdr:rowOff>
    </xdr:from>
    <xdr:to>
      <xdr:col>12</xdr:col>
      <xdr:colOff>1653152</xdr:colOff>
      <xdr:row>264</xdr:row>
      <xdr:rowOff>1177589</xdr:rowOff>
    </xdr:to>
    <xdr:pic>
      <xdr:nvPicPr>
        <xdr:cNvPr id="531" name="Picture 530">
          <a:extLst>
            <a:ext uri="{FF2B5EF4-FFF2-40B4-BE49-F238E27FC236}">
              <a16:creationId xmlns:a16="http://schemas.microsoft.com/office/drawing/2014/main" id="{ED213DA5-50A6-E18F-C3FC-6ED5B769691C}"/>
            </a:ext>
          </a:extLst>
        </xdr:cNvPr>
        <xdr:cNvPicPr>
          <a:picLocks noChangeAspect="1"/>
        </xdr:cNvPicPr>
      </xdr:nvPicPr>
      <xdr:blipFill>
        <a:blip xmlns:r="http://schemas.openxmlformats.org/officeDocument/2006/relationships" r:link="rId257"/>
        <a:stretch>
          <a:fillRect/>
        </a:stretch>
      </xdr:blipFill>
      <xdr:spPr>
        <a:xfrm>
          <a:off x="28452305" y="368445973"/>
          <a:ext cx="968644" cy="971345"/>
        </a:xfrm>
        <a:prstGeom prst="rect">
          <a:avLst/>
        </a:prstGeom>
      </xdr:spPr>
    </xdr:pic>
    <xdr:clientData/>
  </xdr:twoCellAnchor>
  <xdr:twoCellAnchor editAs="oneCell">
    <xdr:from>
      <xdr:col>12</xdr:col>
      <xdr:colOff>684508</xdr:colOff>
      <xdr:row>265</xdr:row>
      <xdr:rowOff>206643</xdr:rowOff>
    </xdr:from>
    <xdr:to>
      <xdr:col>12</xdr:col>
      <xdr:colOff>1653152</xdr:colOff>
      <xdr:row>265</xdr:row>
      <xdr:rowOff>1177395</xdr:rowOff>
    </xdr:to>
    <xdr:pic>
      <xdr:nvPicPr>
        <xdr:cNvPr id="533" name="Picture 532">
          <a:extLst>
            <a:ext uri="{FF2B5EF4-FFF2-40B4-BE49-F238E27FC236}">
              <a16:creationId xmlns:a16="http://schemas.microsoft.com/office/drawing/2014/main" id="{3EBFFBA7-D0B9-CB80-FCE8-317BF6CE9C73}"/>
            </a:ext>
          </a:extLst>
        </xdr:cNvPr>
        <xdr:cNvPicPr>
          <a:picLocks noChangeAspect="1"/>
        </xdr:cNvPicPr>
      </xdr:nvPicPr>
      <xdr:blipFill>
        <a:blip xmlns:r="http://schemas.openxmlformats.org/officeDocument/2006/relationships" r:link="rId258"/>
        <a:stretch>
          <a:fillRect/>
        </a:stretch>
      </xdr:blipFill>
      <xdr:spPr>
        <a:xfrm>
          <a:off x="28452305" y="369841219"/>
          <a:ext cx="968644" cy="970752"/>
        </a:xfrm>
        <a:prstGeom prst="rect">
          <a:avLst/>
        </a:prstGeom>
      </xdr:spPr>
    </xdr:pic>
    <xdr:clientData/>
  </xdr:twoCellAnchor>
  <xdr:twoCellAnchor editAs="oneCell">
    <xdr:from>
      <xdr:col>12</xdr:col>
      <xdr:colOff>684508</xdr:colOff>
      <xdr:row>266</xdr:row>
      <xdr:rowOff>206653</xdr:rowOff>
    </xdr:from>
    <xdr:to>
      <xdr:col>12</xdr:col>
      <xdr:colOff>1653152</xdr:colOff>
      <xdr:row>266</xdr:row>
      <xdr:rowOff>1177405</xdr:rowOff>
    </xdr:to>
    <xdr:pic>
      <xdr:nvPicPr>
        <xdr:cNvPr id="535" name="Picture 534">
          <a:extLst>
            <a:ext uri="{FF2B5EF4-FFF2-40B4-BE49-F238E27FC236}">
              <a16:creationId xmlns:a16="http://schemas.microsoft.com/office/drawing/2014/main" id="{776FB4F6-3136-8DB2-70D2-4C383C45FEB4}"/>
            </a:ext>
          </a:extLst>
        </xdr:cNvPr>
        <xdr:cNvPicPr>
          <a:picLocks noChangeAspect="1"/>
        </xdr:cNvPicPr>
      </xdr:nvPicPr>
      <xdr:blipFill>
        <a:blip xmlns:r="http://schemas.openxmlformats.org/officeDocument/2006/relationships" r:link="rId259"/>
        <a:stretch>
          <a:fillRect/>
        </a:stretch>
      </xdr:blipFill>
      <xdr:spPr>
        <a:xfrm>
          <a:off x="28452305" y="371236077"/>
          <a:ext cx="968644" cy="970752"/>
        </a:xfrm>
        <a:prstGeom prst="rect">
          <a:avLst/>
        </a:prstGeom>
      </xdr:spPr>
    </xdr:pic>
    <xdr:clientData/>
  </xdr:twoCellAnchor>
  <xdr:twoCellAnchor editAs="oneCell">
    <xdr:from>
      <xdr:col>12</xdr:col>
      <xdr:colOff>684508</xdr:colOff>
      <xdr:row>267</xdr:row>
      <xdr:rowOff>206251</xdr:rowOff>
    </xdr:from>
    <xdr:to>
      <xdr:col>12</xdr:col>
      <xdr:colOff>1653152</xdr:colOff>
      <xdr:row>267</xdr:row>
      <xdr:rowOff>1177595</xdr:rowOff>
    </xdr:to>
    <xdr:pic>
      <xdr:nvPicPr>
        <xdr:cNvPr id="537" name="Picture 536">
          <a:extLst>
            <a:ext uri="{FF2B5EF4-FFF2-40B4-BE49-F238E27FC236}">
              <a16:creationId xmlns:a16="http://schemas.microsoft.com/office/drawing/2014/main" id="{315E5082-DAA1-9F41-941B-F8F2BF2FFEF1}"/>
            </a:ext>
          </a:extLst>
        </xdr:cNvPr>
        <xdr:cNvPicPr>
          <a:picLocks noChangeAspect="1"/>
        </xdr:cNvPicPr>
      </xdr:nvPicPr>
      <xdr:blipFill>
        <a:blip xmlns:r="http://schemas.openxmlformats.org/officeDocument/2006/relationships" r:link="rId260"/>
        <a:stretch>
          <a:fillRect/>
        </a:stretch>
      </xdr:blipFill>
      <xdr:spPr>
        <a:xfrm>
          <a:off x="28452305" y="372630522"/>
          <a:ext cx="968644" cy="971344"/>
        </a:xfrm>
        <a:prstGeom prst="rect">
          <a:avLst/>
        </a:prstGeom>
      </xdr:spPr>
    </xdr:pic>
    <xdr:clientData/>
  </xdr:twoCellAnchor>
  <xdr:twoCellAnchor editAs="oneCell">
    <xdr:from>
      <xdr:col>12</xdr:col>
      <xdr:colOff>684508</xdr:colOff>
      <xdr:row>268</xdr:row>
      <xdr:rowOff>206648</xdr:rowOff>
    </xdr:from>
    <xdr:to>
      <xdr:col>12</xdr:col>
      <xdr:colOff>1653152</xdr:colOff>
      <xdr:row>268</xdr:row>
      <xdr:rowOff>1177400</xdr:rowOff>
    </xdr:to>
    <xdr:pic>
      <xdr:nvPicPr>
        <xdr:cNvPr id="539" name="Picture 538">
          <a:extLst>
            <a:ext uri="{FF2B5EF4-FFF2-40B4-BE49-F238E27FC236}">
              <a16:creationId xmlns:a16="http://schemas.microsoft.com/office/drawing/2014/main" id="{6EE8FF81-C915-AD5C-0E72-C52B351CECF6}"/>
            </a:ext>
          </a:extLst>
        </xdr:cNvPr>
        <xdr:cNvPicPr>
          <a:picLocks noChangeAspect="1"/>
        </xdr:cNvPicPr>
      </xdr:nvPicPr>
      <xdr:blipFill>
        <a:blip xmlns:r="http://schemas.openxmlformats.org/officeDocument/2006/relationships" r:link="rId261"/>
        <a:stretch>
          <a:fillRect/>
        </a:stretch>
      </xdr:blipFill>
      <xdr:spPr>
        <a:xfrm>
          <a:off x="28452305" y="374025767"/>
          <a:ext cx="968644" cy="970752"/>
        </a:xfrm>
        <a:prstGeom prst="rect">
          <a:avLst/>
        </a:prstGeom>
      </xdr:spPr>
    </xdr:pic>
    <xdr:clientData/>
  </xdr:twoCellAnchor>
  <xdr:twoCellAnchor editAs="oneCell">
    <xdr:from>
      <xdr:col>12</xdr:col>
      <xdr:colOff>684508</xdr:colOff>
      <xdr:row>269</xdr:row>
      <xdr:rowOff>206246</xdr:rowOff>
    </xdr:from>
    <xdr:to>
      <xdr:col>12</xdr:col>
      <xdr:colOff>1653152</xdr:colOff>
      <xdr:row>269</xdr:row>
      <xdr:rowOff>1177590</xdr:rowOff>
    </xdr:to>
    <xdr:pic>
      <xdr:nvPicPr>
        <xdr:cNvPr id="541" name="Picture 540">
          <a:extLst>
            <a:ext uri="{FF2B5EF4-FFF2-40B4-BE49-F238E27FC236}">
              <a16:creationId xmlns:a16="http://schemas.microsoft.com/office/drawing/2014/main" id="{0A0969A9-0FAC-148F-FF4F-A83C8E85B611}"/>
            </a:ext>
          </a:extLst>
        </xdr:cNvPr>
        <xdr:cNvPicPr>
          <a:picLocks noChangeAspect="1"/>
        </xdr:cNvPicPr>
      </xdr:nvPicPr>
      <xdr:blipFill>
        <a:blip xmlns:r="http://schemas.openxmlformats.org/officeDocument/2006/relationships" r:link="rId262"/>
        <a:stretch>
          <a:fillRect/>
        </a:stretch>
      </xdr:blipFill>
      <xdr:spPr>
        <a:xfrm>
          <a:off x="28452305" y="375420212"/>
          <a:ext cx="968644" cy="971344"/>
        </a:xfrm>
        <a:prstGeom prst="rect">
          <a:avLst/>
        </a:prstGeom>
      </xdr:spPr>
    </xdr:pic>
    <xdr:clientData/>
  </xdr:twoCellAnchor>
  <xdr:twoCellAnchor editAs="oneCell">
    <xdr:from>
      <xdr:col>12</xdr:col>
      <xdr:colOff>684508</xdr:colOff>
      <xdr:row>270</xdr:row>
      <xdr:rowOff>206643</xdr:rowOff>
    </xdr:from>
    <xdr:to>
      <xdr:col>12</xdr:col>
      <xdr:colOff>1653152</xdr:colOff>
      <xdr:row>270</xdr:row>
      <xdr:rowOff>1177395</xdr:rowOff>
    </xdr:to>
    <xdr:pic>
      <xdr:nvPicPr>
        <xdr:cNvPr id="543" name="Picture 542">
          <a:extLst>
            <a:ext uri="{FF2B5EF4-FFF2-40B4-BE49-F238E27FC236}">
              <a16:creationId xmlns:a16="http://schemas.microsoft.com/office/drawing/2014/main" id="{FA947CEB-FDF7-8BCD-38F0-5DE77B3B06E0}"/>
            </a:ext>
          </a:extLst>
        </xdr:cNvPr>
        <xdr:cNvPicPr>
          <a:picLocks noChangeAspect="1"/>
        </xdr:cNvPicPr>
      </xdr:nvPicPr>
      <xdr:blipFill>
        <a:blip xmlns:r="http://schemas.openxmlformats.org/officeDocument/2006/relationships" r:link="rId263"/>
        <a:stretch>
          <a:fillRect/>
        </a:stretch>
      </xdr:blipFill>
      <xdr:spPr>
        <a:xfrm>
          <a:off x="28452305" y="376815457"/>
          <a:ext cx="968644" cy="970752"/>
        </a:xfrm>
        <a:prstGeom prst="rect">
          <a:avLst/>
        </a:prstGeom>
      </xdr:spPr>
    </xdr:pic>
    <xdr:clientData/>
  </xdr:twoCellAnchor>
  <xdr:twoCellAnchor editAs="oneCell">
    <xdr:from>
      <xdr:col>12</xdr:col>
      <xdr:colOff>684508</xdr:colOff>
      <xdr:row>271</xdr:row>
      <xdr:rowOff>206653</xdr:rowOff>
    </xdr:from>
    <xdr:to>
      <xdr:col>12</xdr:col>
      <xdr:colOff>1653152</xdr:colOff>
      <xdr:row>271</xdr:row>
      <xdr:rowOff>1177405</xdr:rowOff>
    </xdr:to>
    <xdr:pic>
      <xdr:nvPicPr>
        <xdr:cNvPr id="545" name="Picture 544">
          <a:extLst>
            <a:ext uri="{FF2B5EF4-FFF2-40B4-BE49-F238E27FC236}">
              <a16:creationId xmlns:a16="http://schemas.microsoft.com/office/drawing/2014/main" id="{A2B12573-A3E7-C8B3-E87C-A0D2BF4A7019}"/>
            </a:ext>
          </a:extLst>
        </xdr:cNvPr>
        <xdr:cNvPicPr>
          <a:picLocks noChangeAspect="1"/>
        </xdr:cNvPicPr>
      </xdr:nvPicPr>
      <xdr:blipFill>
        <a:blip xmlns:r="http://schemas.openxmlformats.org/officeDocument/2006/relationships" r:link="rId264"/>
        <a:stretch>
          <a:fillRect/>
        </a:stretch>
      </xdr:blipFill>
      <xdr:spPr>
        <a:xfrm>
          <a:off x="28452305" y="378210314"/>
          <a:ext cx="968644" cy="970752"/>
        </a:xfrm>
        <a:prstGeom prst="rect">
          <a:avLst/>
        </a:prstGeom>
      </xdr:spPr>
    </xdr:pic>
    <xdr:clientData/>
  </xdr:twoCellAnchor>
  <xdr:twoCellAnchor editAs="oneCell">
    <xdr:from>
      <xdr:col>12</xdr:col>
      <xdr:colOff>684508</xdr:colOff>
      <xdr:row>272</xdr:row>
      <xdr:rowOff>206251</xdr:rowOff>
    </xdr:from>
    <xdr:to>
      <xdr:col>12</xdr:col>
      <xdr:colOff>1653152</xdr:colOff>
      <xdr:row>272</xdr:row>
      <xdr:rowOff>1177595</xdr:rowOff>
    </xdr:to>
    <xdr:pic>
      <xdr:nvPicPr>
        <xdr:cNvPr id="547" name="Picture 546">
          <a:extLst>
            <a:ext uri="{FF2B5EF4-FFF2-40B4-BE49-F238E27FC236}">
              <a16:creationId xmlns:a16="http://schemas.microsoft.com/office/drawing/2014/main" id="{A4C75AFD-4E9A-75AC-688A-91A4A146E805}"/>
            </a:ext>
          </a:extLst>
        </xdr:cNvPr>
        <xdr:cNvPicPr>
          <a:picLocks noChangeAspect="1"/>
        </xdr:cNvPicPr>
      </xdr:nvPicPr>
      <xdr:blipFill>
        <a:blip xmlns:r="http://schemas.openxmlformats.org/officeDocument/2006/relationships" r:link="rId265"/>
        <a:stretch>
          <a:fillRect/>
        </a:stretch>
      </xdr:blipFill>
      <xdr:spPr>
        <a:xfrm>
          <a:off x="28452305" y="379604759"/>
          <a:ext cx="968644" cy="971344"/>
        </a:xfrm>
        <a:prstGeom prst="rect">
          <a:avLst/>
        </a:prstGeom>
      </xdr:spPr>
    </xdr:pic>
    <xdr:clientData/>
  </xdr:twoCellAnchor>
  <xdr:twoCellAnchor editAs="oneCell">
    <xdr:from>
      <xdr:col>12</xdr:col>
      <xdr:colOff>684508</xdr:colOff>
      <xdr:row>273</xdr:row>
      <xdr:rowOff>206648</xdr:rowOff>
    </xdr:from>
    <xdr:to>
      <xdr:col>12</xdr:col>
      <xdr:colOff>1653152</xdr:colOff>
      <xdr:row>273</xdr:row>
      <xdr:rowOff>1177400</xdr:rowOff>
    </xdr:to>
    <xdr:pic>
      <xdr:nvPicPr>
        <xdr:cNvPr id="549" name="Picture 548">
          <a:extLst>
            <a:ext uri="{FF2B5EF4-FFF2-40B4-BE49-F238E27FC236}">
              <a16:creationId xmlns:a16="http://schemas.microsoft.com/office/drawing/2014/main" id="{9A2669F7-E2F8-9332-170B-10060C0ACF83}"/>
            </a:ext>
          </a:extLst>
        </xdr:cNvPr>
        <xdr:cNvPicPr>
          <a:picLocks noChangeAspect="1"/>
        </xdr:cNvPicPr>
      </xdr:nvPicPr>
      <xdr:blipFill>
        <a:blip xmlns:r="http://schemas.openxmlformats.org/officeDocument/2006/relationships" r:link="rId266"/>
        <a:stretch>
          <a:fillRect/>
        </a:stretch>
      </xdr:blipFill>
      <xdr:spPr>
        <a:xfrm>
          <a:off x="28452305" y="381000004"/>
          <a:ext cx="968644" cy="970752"/>
        </a:xfrm>
        <a:prstGeom prst="rect">
          <a:avLst/>
        </a:prstGeom>
      </xdr:spPr>
    </xdr:pic>
    <xdr:clientData/>
  </xdr:twoCellAnchor>
  <xdr:twoCellAnchor editAs="oneCell">
    <xdr:from>
      <xdr:col>12</xdr:col>
      <xdr:colOff>684508</xdr:colOff>
      <xdr:row>274</xdr:row>
      <xdr:rowOff>206246</xdr:rowOff>
    </xdr:from>
    <xdr:to>
      <xdr:col>12</xdr:col>
      <xdr:colOff>1653152</xdr:colOff>
      <xdr:row>274</xdr:row>
      <xdr:rowOff>1177590</xdr:rowOff>
    </xdr:to>
    <xdr:pic>
      <xdr:nvPicPr>
        <xdr:cNvPr id="551" name="Picture 550">
          <a:extLst>
            <a:ext uri="{FF2B5EF4-FFF2-40B4-BE49-F238E27FC236}">
              <a16:creationId xmlns:a16="http://schemas.microsoft.com/office/drawing/2014/main" id="{5D26CD72-9F2D-9410-F41A-5FF339854A9E}"/>
            </a:ext>
          </a:extLst>
        </xdr:cNvPr>
        <xdr:cNvPicPr>
          <a:picLocks noChangeAspect="1"/>
        </xdr:cNvPicPr>
      </xdr:nvPicPr>
      <xdr:blipFill>
        <a:blip xmlns:r="http://schemas.openxmlformats.org/officeDocument/2006/relationships" r:link="rId267"/>
        <a:stretch>
          <a:fillRect/>
        </a:stretch>
      </xdr:blipFill>
      <xdr:spPr>
        <a:xfrm>
          <a:off x="28452305" y="382394449"/>
          <a:ext cx="968644" cy="971344"/>
        </a:xfrm>
        <a:prstGeom prst="rect">
          <a:avLst/>
        </a:prstGeom>
      </xdr:spPr>
    </xdr:pic>
    <xdr:clientData/>
  </xdr:twoCellAnchor>
  <xdr:twoCellAnchor editAs="oneCell">
    <xdr:from>
      <xdr:col>12</xdr:col>
      <xdr:colOff>684508</xdr:colOff>
      <xdr:row>275</xdr:row>
      <xdr:rowOff>206643</xdr:rowOff>
    </xdr:from>
    <xdr:to>
      <xdr:col>12</xdr:col>
      <xdr:colOff>1653152</xdr:colOff>
      <xdr:row>275</xdr:row>
      <xdr:rowOff>1177395</xdr:rowOff>
    </xdr:to>
    <xdr:pic>
      <xdr:nvPicPr>
        <xdr:cNvPr id="553" name="Picture 552">
          <a:extLst>
            <a:ext uri="{FF2B5EF4-FFF2-40B4-BE49-F238E27FC236}">
              <a16:creationId xmlns:a16="http://schemas.microsoft.com/office/drawing/2014/main" id="{B0BF4A92-CF7A-36B6-F3F3-B25AE08555B0}"/>
            </a:ext>
          </a:extLst>
        </xdr:cNvPr>
        <xdr:cNvPicPr>
          <a:picLocks noChangeAspect="1"/>
        </xdr:cNvPicPr>
      </xdr:nvPicPr>
      <xdr:blipFill>
        <a:blip xmlns:r="http://schemas.openxmlformats.org/officeDocument/2006/relationships" r:link="rId268"/>
        <a:stretch>
          <a:fillRect/>
        </a:stretch>
      </xdr:blipFill>
      <xdr:spPr>
        <a:xfrm>
          <a:off x="28452305" y="383789694"/>
          <a:ext cx="968644" cy="970752"/>
        </a:xfrm>
        <a:prstGeom prst="rect">
          <a:avLst/>
        </a:prstGeom>
      </xdr:spPr>
    </xdr:pic>
    <xdr:clientData/>
  </xdr:twoCellAnchor>
  <xdr:twoCellAnchor editAs="oneCell">
    <xdr:from>
      <xdr:col>12</xdr:col>
      <xdr:colOff>684508</xdr:colOff>
      <xdr:row>276</xdr:row>
      <xdr:rowOff>206653</xdr:rowOff>
    </xdr:from>
    <xdr:to>
      <xdr:col>12</xdr:col>
      <xdr:colOff>1653152</xdr:colOff>
      <xdr:row>276</xdr:row>
      <xdr:rowOff>1177405</xdr:rowOff>
    </xdr:to>
    <xdr:pic>
      <xdr:nvPicPr>
        <xdr:cNvPr id="555" name="Picture 554">
          <a:extLst>
            <a:ext uri="{FF2B5EF4-FFF2-40B4-BE49-F238E27FC236}">
              <a16:creationId xmlns:a16="http://schemas.microsoft.com/office/drawing/2014/main" id="{AA4276EA-99EF-5A11-EC13-31AF824F8F87}"/>
            </a:ext>
          </a:extLst>
        </xdr:cNvPr>
        <xdr:cNvPicPr>
          <a:picLocks noChangeAspect="1"/>
        </xdr:cNvPicPr>
      </xdr:nvPicPr>
      <xdr:blipFill>
        <a:blip xmlns:r="http://schemas.openxmlformats.org/officeDocument/2006/relationships" r:link="rId269"/>
        <a:stretch>
          <a:fillRect/>
        </a:stretch>
      </xdr:blipFill>
      <xdr:spPr>
        <a:xfrm>
          <a:off x="28452305" y="385184551"/>
          <a:ext cx="968644" cy="970752"/>
        </a:xfrm>
        <a:prstGeom prst="rect">
          <a:avLst/>
        </a:prstGeom>
      </xdr:spPr>
    </xdr:pic>
    <xdr:clientData/>
  </xdr:twoCellAnchor>
  <xdr:twoCellAnchor editAs="oneCell">
    <xdr:from>
      <xdr:col>12</xdr:col>
      <xdr:colOff>684508</xdr:colOff>
      <xdr:row>277</xdr:row>
      <xdr:rowOff>206249</xdr:rowOff>
    </xdr:from>
    <xdr:to>
      <xdr:col>12</xdr:col>
      <xdr:colOff>1653152</xdr:colOff>
      <xdr:row>277</xdr:row>
      <xdr:rowOff>1177594</xdr:rowOff>
    </xdr:to>
    <xdr:pic>
      <xdr:nvPicPr>
        <xdr:cNvPr id="557" name="Picture 556">
          <a:extLst>
            <a:ext uri="{FF2B5EF4-FFF2-40B4-BE49-F238E27FC236}">
              <a16:creationId xmlns:a16="http://schemas.microsoft.com/office/drawing/2014/main" id="{57CC7DA3-829D-95A6-21F8-22BA4C412A79}"/>
            </a:ext>
          </a:extLst>
        </xdr:cNvPr>
        <xdr:cNvPicPr>
          <a:picLocks noChangeAspect="1"/>
        </xdr:cNvPicPr>
      </xdr:nvPicPr>
      <xdr:blipFill>
        <a:blip xmlns:r="http://schemas.openxmlformats.org/officeDocument/2006/relationships" r:link="rId270"/>
        <a:stretch>
          <a:fillRect/>
        </a:stretch>
      </xdr:blipFill>
      <xdr:spPr>
        <a:xfrm>
          <a:off x="28452305" y="386578995"/>
          <a:ext cx="968644" cy="971345"/>
        </a:xfrm>
        <a:prstGeom prst="rect">
          <a:avLst/>
        </a:prstGeom>
      </xdr:spPr>
    </xdr:pic>
    <xdr:clientData/>
  </xdr:twoCellAnchor>
  <xdr:twoCellAnchor editAs="oneCell">
    <xdr:from>
      <xdr:col>12</xdr:col>
      <xdr:colOff>684508</xdr:colOff>
      <xdr:row>278</xdr:row>
      <xdr:rowOff>206648</xdr:rowOff>
    </xdr:from>
    <xdr:to>
      <xdr:col>12</xdr:col>
      <xdr:colOff>1653152</xdr:colOff>
      <xdr:row>278</xdr:row>
      <xdr:rowOff>1177400</xdr:rowOff>
    </xdr:to>
    <xdr:pic>
      <xdr:nvPicPr>
        <xdr:cNvPr id="559" name="Picture 558">
          <a:extLst>
            <a:ext uri="{FF2B5EF4-FFF2-40B4-BE49-F238E27FC236}">
              <a16:creationId xmlns:a16="http://schemas.microsoft.com/office/drawing/2014/main" id="{A5DC6C62-00A3-07AF-DF23-2851D97C164F}"/>
            </a:ext>
          </a:extLst>
        </xdr:cNvPr>
        <xdr:cNvPicPr>
          <a:picLocks noChangeAspect="1"/>
        </xdr:cNvPicPr>
      </xdr:nvPicPr>
      <xdr:blipFill>
        <a:blip xmlns:r="http://schemas.openxmlformats.org/officeDocument/2006/relationships" r:link="rId271"/>
        <a:stretch>
          <a:fillRect/>
        </a:stretch>
      </xdr:blipFill>
      <xdr:spPr>
        <a:xfrm>
          <a:off x="28452305" y="387974241"/>
          <a:ext cx="968644" cy="970752"/>
        </a:xfrm>
        <a:prstGeom prst="rect">
          <a:avLst/>
        </a:prstGeom>
      </xdr:spPr>
    </xdr:pic>
    <xdr:clientData/>
  </xdr:twoCellAnchor>
  <xdr:twoCellAnchor editAs="oneCell">
    <xdr:from>
      <xdr:col>12</xdr:col>
      <xdr:colOff>684508</xdr:colOff>
      <xdr:row>279</xdr:row>
      <xdr:rowOff>206244</xdr:rowOff>
    </xdr:from>
    <xdr:to>
      <xdr:col>12</xdr:col>
      <xdr:colOff>1653152</xdr:colOff>
      <xdr:row>279</xdr:row>
      <xdr:rowOff>1177589</xdr:rowOff>
    </xdr:to>
    <xdr:pic>
      <xdr:nvPicPr>
        <xdr:cNvPr id="561" name="Picture 560">
          <a:extLst>
            <a:ext uri="{FF2B5EF4-FFF2-40B4-BE49-F238E27FC236}">
              <a16:creationId xmlns:a16="http://schemas.microsoft.com/office/drawing/2014/main" id="{A963562D-1370-5087-82F4-9765ADDE3CC1}"/>
            </a:ext>
          </a:extLst>
        </xdr:cNvPr>
        <xdr:cNvPicPr>
          <a:picLocks noChangeAspect="1"/>
        </xdr:cNvPicPr>
      </xdr:nvPicPr>
      <xdr:blipFill>
        <a:blip xmlns:r="http://schemas.openxmlformats.org/officeDocument/2006/relationships" r:link="rId272"/>
        <a:stretch>
          <a:fillRect/>
        </a:stretch>
      </xdr:blipFill>
      <xdr:spPr>
        <a:xfrm>
          <a:off x="28452305" y="389368685"/>
          <a:ext cx="968644" cy="971345"/>
        </a:xfrm>
        <a:prstGeom prst="rect">
          <a:avLst/>
        </a:prstGeom>
      </xdr:spPr>
    </xdr:pic>
    <xdr:clientData/>
  </xdr:twoCellAnchor>
  <xdr:twoCellAnchor editAs="oneCell">
    <xdr:from>
      <xdr:col>12</xdr:col>
      <xdr:colOff>684508</xdr:colOff>
      <xdr:row>280</xdr:row>
      <xdr:rowOff>206643</xdr:rowOff>
    </xdr:from>
    <xdr:to>
      <xdr:col>12</xdr:col>
      <xdr:colOff>1653152</xdr:colOff>
      <xdr:row>280</xdr:row>
      <xdr:rowOff>1177395</xdr:rowOff>
    </xdr:to>
    <xdr:pic>
      <xdr:nvPicPr>
        <xdr:cNvPr id="563" name="Picture 562">
          <a:extLst>
            <a:ext uri="{FF2B5EF4-FFF2-40B4-BE49-F238E27FC236}">
              <a16:creationId xmlns:a16="http://schemas.microsoft.com/office/drawing/2014/main" id="{04FA7F68-BF9E-D8EB-2D64-07CA26355514}"/>
            </a:ext>
          </a:extLst>
        </xdr:cNvPr>
        <xdr:cNvPicPr>
          <a:picLocks noChangeAspect="1"/>
        </xdr:cNvPicPr>
      </xdr:nvPicPr>
      <xdr:blipFill>
        <a:blip xmlns:r="http://schemas.openxmlformats.org/officeDocument/2006/relationships" r:link="rId273"/>
        <a:stretch>
          <a:fillRect/>
        </a:stretch>
      </xdr:blipFill>
      <xdr:spPr>
        <a:xfrm>
          <a:off x="28452305" y="390763931"/>
          <a:ext cx="968644" cy="970752"/>
        </a:xfrm>
        <a:prstGeom prst="rect">
          <a:avLst/>
        </a:prstGeom>
      </xdr:spPr>
    </xdr:pic>
    <xdr:clientData/>
  </xdr:twoCellAnchor>
  <xdr:twoCellAnchor editAs="oneCell">
    <xdr:from>
      <xdr:col>12</xdr:col>
      <xdr:colOff>684508</xdr:colOff>
      <xdr:row>281</xdr:row>
      <xdr:rowOff>206653</xdr:rowOff>
    </xdr:from>
    <xdr:to>
      <xdr:col>12</xdr:col>
      <xdr:colOff>1653152</xdr:colOff>
      <xdr:row>281</xdr:row>
      <xdr:rowOff>1177405</xdr:rowOff>
    </xdr:to>
    <xdr:pic>
      <xdr:nvPicPr>
        <xdr:cNvPr id="565" name="Picture 564">
          <a:extLst>
            <a:ext uri="{FF2B5EF4-FFF2-40B4-BE49-F238E27FC236}">
              <a16:creationId xmlns:a16="http://schemas.microsoft.com/office/drawing/2014/main" id="{F2F42D6A-90A2-07E7-0391-E35B6A0D8ED1}"/>
            </a:ext>
          </a:extLst>
        </xdr:cNvPr>
        <xdr:cNvPicPr>
          <a:picLocks noChangeAspect="1"/>
        </xdr:cNvPicPr>
      </xdr:nvPicPr>
      <xdr:blipFill>
        <a:blip xmlns:r="http://schemas.openxmlformats.org/officeDocument/2006/relationships" r:link="rId274"/>
        <a:stretch>
          <a:fillRect/>
        </a:stretch>
      </xdr:blipFill>
      <xdr:spPr>
        <a:xfrm>
          <a:off x="28452305" y="392158789"/>
          <a:ext cx="968644" cy="970752"/>
        </a:xfrm>
        <a:prstGeom prst="rect">
          <a:avLst/>
        </a:prstGeom>
      </xdr:spPr>
    </xdr:pic>
    <xdr:clientData/>
  </xdr:twoCellAnchor>
  <xdr:twoCellAnchor editAs="oneCell">
    <xdr:from>
      <xdr:col>12</xdr:col>
      <xdr:colOff>684508</xdr:colOff>
      <xdr:row>282</xdr:row>
      <xdr:rowOff>206251</xdr:rowOff>
    </xdr:from>
    <xdr:to>
      <xdr:col>12</xdr:col>
      <xdr:colOff>1653152</xdr:colOff>
      <xdr:row>282</xdr:row>
      <xdr:rowOff>1177595</xdr:rowOff>
    </xdr:to>
    <xdr:pic>
      <xdr:nvPicPr>
        <xdr:cNvPr id="567" name="Picture 566">
          <a:extLst>
            <a:ext uri="{FF2B5EF4-FFF2-40B4-BE49-F238E27FC236}">
              <a16:creationId xmlns:a16="http://schemas.microsoft.com/office/drawing/2014/main" id="{38EA81DE-B5BB-2A9D-9076-706CA9245B6A}"/>
            </a:ext>
          </a:extLst>
        </xdr:cNvPr>
        <xdr:cNvPicPr>
          <a:picLocks noChangeAspect="1"/>
        </xdr:cNvPicPr>
      </xdr:nvPicPr>
      <xdr:blipFill>
        <a:blip xmlns:r="http://schemas.openxmlformats.org/officeDocument/2006/relationships" r:link="rId275"/>
        <a:stretch>
          <a:fillRect/>
        </a:stretch>
      </xdr:blipFill>
      <xdr:spPr>
        <a:xfrm>
          <a:off x="28452305" y="393553234"/>
          <a:ext cx="968644" cy="971344"/>
        </a:xfrm>
        <a:prstGeom prst="rect">
          <a:avLst/>
        </a:prstGeom>
      </xdr:spPr>
    </xdr:pic>
    <xdr:clientData/>
  </xdr:twoCellAnchor>
  <xdr:twoCellAnchor editAs="oneCell">
    <xdr:from>
      <xdr:col>12</xdr:col>
      <xdr:colOff>689414</xdr:colOff>
      <xdr:row>283</xdr:row>
      <xdr:rowOff>206648</xdr:rowOff>
    </xdr:from>
    <xdr:to>
      <xdr:col>12</xdr:col>
      <xdr:colOff>1660495</xdr:colOff>
      <xdr:row>283</xdr:row>
      <xdr:rowOff>1177400</xdr:rowOff>
    </xdr:to>
    <xdr:pic>
      <xdr:nvPicPr>
        <xdr:cNvPr id="569" name="Picture 568">
          <a:extLst>
            <a:ext uri="{FF2B5EF4-FFF2-40B4-BE49-F238E27FC236}">
              <a16:creationId xmlns:a16="http://schemas.microsoft.com/office/drawing/2014/main" id="{F4006031-4367-AB35-C0C4-82450553C37B}"/>
            </a:ext>
          </a:extLst>
        </xdr:cNvPr>
        <xdr:cNvPicPr>
          <a:picLocks noChangeAspect="1"/>
        </xdr:cNvPicPr>
      </xdr:nvPicPr>
      <xdr:blipFill>
        <a:blip xmlns:r="http://schemas.openxmlformats.org/officeDocument/2006/relationships" r:link="rId276"/>
        <a:stretch>
          <a:fillRect/>
        </a:stretch>
      </xdr:blipFill>
      <xdr:spPr>
        <a:xfrm>
          <a:off x="28457211" y="394948479"/>
          <a:ext cx="971081" cy="970752"/>
        </a:xfrm>
        <a:prstGeom prst="rect">
          <a:avLst/>
        </a:prstGeom>
      </xdr:spPr>
    </xdr:pic>
    <xdr:clientData/>
  </xdr:twoCellAnchor>
  <xdr:twoCellAnchor editAs="oneCell">
    <xdr:from>
      <xdr:col>12</xdr:col>
      <xdr:colOff>689414</xdr:colOff>
      <xdr:row>284</xdr:row>
      <xdr:rowOff>206246</xdr:rowOff>
    </xdr:from>
    <xdr:to>
      <xdr:col>12</xdr:col>
      <xdr:colOff>1656563</xdr:colOff>
      <xdr:row>284</xdr:row>
      <xdr:rowOff>1177590</xdr:rowOff>
    </xdr:to>
    <xdr:pic>
      <xdr:nvPicPr>
        <xdr:cNvPr id="571" name="Picture 570">
          <a:extLst>
            <a:ext uri="{FF2B5EF4-FFF2-40B4-BE49-F238E27FC236}">
              <a16:creationId xmlns:a16="http://schemas.microsoft.com/office/drawing/2014/main" id="{DC2653D8-ED32-9DBB-120A-6438AA717F75}"/>
            </a:ext>
          </a:extLst>
        </xdr:cNvPr>
        <xdr:cNvPicPr>
          <a:picLocks noChangeAspect="1"/>
        </xdr:cNvPicPr>
      </xdr:nvPicPr>
      <xdr:blipFill>
        <a:blip xmlns:r="http://schemas.openxmlformats.org/officeDocument/2006/relationships" r:link="rId277"/>
        <a:stretch>
          <a:fillRect/>
        </a:stretch>
      </xdr:blipFill>
      <xdr:spPr>
        <a:xfrm>
          <a:off x="28457211" y="396342924"/>
          <a:ext cx="967149" cy="971344"/>
        </a:xfrm>
        <a:prstGeom prst="rect">
          <a:avLst/>
        </a:prstGeom>
      </xdr:spPr>
    </xdr:pic>
    <xdr:clientData/>
  </xdr:twoCellAnchor>
  <xdr:twoCellAnchor editAs="oneCell">
    <xdr:from>
      <xdr:col>12</xdr:col>
      <xdr:colOff>689414</xdr:colOff>
      <xdr:row>285</xdr:row>
      <xdr:rowOff>206643</xdr:rowOff>
    </xdr:from>
    <xdr:to>
      <xdr:col>12</xdr:col>
      <xdr:colOff>1656563</xdr:colOff>
      <xdr:row>285</xdr:row>
      <xdr:rowOff>1177395</xdr:rowOff>
    </xdr:to>
    <xdr:pic>
      <xdr:nvPicPr>
        <xdr:cNvPr id="573" name="Picture 572">
          <a:extLst>
            <a:ext uri="{FF2B5EF4-FFF2-40B4-BE49-F238E27FC236}">
              <a16:creationId xmlns:a16="http://schemas.microsoft.com/office/drawing/2014/main" id="{95DBDAFD-2987-36DB-8018-11A4CA2DAF3E}"/>
            </a:ext>
          </a:extLst>
        </xdr:cNvPr>
        <xdr:cNvPicPr>
          <a:picLocks noChangeAspect="1"/>
        </xdr:cNvPicPr>
      </xdr:nvPicPr>
      <xdr:blipFill>
        <a:blip xmlns:r="http://schemas.openxmlformats.org/officeDocument/2006/relationships" r:link="rId278"/>
        <a:stretch>
          <a:fillRect/>
        </a:stretch>
      </xdr:blipFill>
      <xdr:spPr>
        <a:xfrm>
          <a:off x="28457211" y="397738168"/>
          <a:ext cx="967149" cy="970752"/>
        </a:xfrm>
        <a:prstGeom prst="rect">
          <a:avLst/>
        </a:prstGeom>
      </xdr:spPr>
    </xdr:pic>
    <xdr:clientData/>
  </xdr:twoCellAnchor>
  <xdr:twoCellAnchor editAs="oneCell">
    <xdr:from>
      <xdr:col>12</xdr:col>
      <xdr:colOff>689414</xdr:colOff>
      <xdr:row>286</xdr:row>
      <xdr:rowOff>206653</xdr:rowOff>
    </xdr:from>
    <xdr:to>
      <xdr:col>12</xdr:col>
      <xdr:colOff>1656563</xdr:colOff>
      <xdr:row>286</xdr:row>
      <xdr:rowOff>1177405</xdr:rowOff>
    </xdr:to>
    <xdr:pic>
      <xdr:nvPicPr>
        <xdr:cNvPr id="575" name="Picture 574">
          <a:extLst>
            <a:ext uri="{FF2B5EF4-FFF2-40B4-BE49-F238E27FC236}">
              <a16:creationId xmlns:a16="http://schemas.microsoft.com/office/drawing/2014/main" id="{89557EDC-9002-A870-E097-26846263D3AF}"/>
            </a:ext>
          </a:extLst>
        </xdr:cNvPr>
        <xdr:cNvPicPr>
          <a:picLocks noChangeAspect="1"/>
        </xdr:cNvPicPr>
      </xdr:nvPicPr>
      <xdr:blipFill>
        <a:blip xmlns:r="http://schemas.openxmlformats.org/officeDocument/2006/relationships" r:link="rId279"/>
        <a:stretch>
          <a:fillRect/>
        </a:stretch>
      </xdr:blipFill>
      <xdr:spPr>
        <a:xfrm>
          <a:off x="28457211" y="399133026"/>
          <a:ext cx="967149" cy="970752"/>
        </a:xfrm>
        <a:prstGeom prst="rect">
          <a:avLst/>
        </a:prstGeom>
      </xdr:spPr>
    </xdr:pic>
    <xdr:clientData/>
  </xdr:twoCellAnchor>
  <xdr:twoCellAnchor editAs="oneCell">
    <xdr:from>
      <xdr:col>12</xdr:col>
      <xdr:colOff>689414</xdr:colOff>
      <xdr:row>287</xdr:row>
      <xdr:rowOff>206251</xdr:rowOff>
    </xdr:from>
    <xdr:to>
      <xdr:col>12</xdr:col>
      <xdr:colOff>1656563</xdr:colOff>
      <xdr:row>287</xdr:row>
      <xdr:rowOff>1177595</xdr:rowOff>
    </xdr:to>
    <xdr:pic>
      <xdr:nvPicPr>
        <xdr:cNvPr id="577" name="Picture 576">
          <a:extLst>
            <a:ext uri="{FF2B5EF4-FFF2-40B4-BE49-F238E27FC236}">
              <a16:creationId xmlns:a16="http://schemas.microsoft.com/office/drawing/2014/main" id="{B1514B69-230C-F81C-2CB1-C0481D38F7B0}"/>
            </a:ext>
          </a:extLst>
        </xdr:cNvPr>
        <xdr:cNvPicPr>
          <a:picLocks noChangeAspect="1"/>
        </xdr:cNvPicPr>
      </xdr:nvPicPr>
      <xdr:blipFill>
        <a:blip xmlns:r="http://schemas.openxmlformats.org/officeDocument/2006/relationships" r:link="rId280"/>
        <a:stretch>
          <a:fillRect/>
        </a:stretch>
      </xdr:blipFill>
      <xdr:spPr>
        <a:xfrm>
          <a:off x="28457211" y="400527471"/>
          <a:ext cx="967149" cy="971344"/>
        </a:xfrm>
        <a:prstGeom prst="rect">
          <a:avLst/>
        </a:prstGeom>
      </xdr:spPr>
    </xdr:pic>
    <xdr:clientData/>
  </xdr:twoCellAnchor>
  <xdr:twoCellAnchor editAs="oneCell">
    <xdr:from>
      <xdr:col>12</xdr:col>
      <xdr:colOff>689414</xdr:colOff>
      <xdr:row>288</xdr:row>
      <xdr:rowOff>206648</xdr:rowOff>
    </xdr:from>
    <xdr:to>
      <xdr:col>12</xdr:col>
      <xdr:colOff>1656563</xdr:colOff>
      <xdr:row>288</xdr:row>
      <xdr:rowOff>1177400</xdr:rowOff>
    </xdr:to>
    <xdr:pic>
      <xdr:nvPicPr>
        <xdr:cNvPr id="579" name="Picture 578">
          <a:extLst>
            <a:ext uri="{FF2B5EF4-FFF2-40B4-BE49-F238E27FC236}">
              <a16:creationId xmlns:a16="http://schemas.microsoft.com/office/drawing/2014/main" id="{E51827A5-7632-56B5-C4BE-CB2F8B4A9B79}"/>
            </a:ext>
          </a:extLst>
        </xdr:cNvPr>
        <xdr:cNvPicPr>
          <a:picLocks noChangeAspect="1"/>
        </xdr:cNvPicPr>
      </xdr:nvPicPr>
      <xdr:blipFill>
        <a:blip xmlns:r="http://schemas.openxmlformats.org/officeDocument/2006/relationships" r:link="rId281"/>
        <a:stretch>
          <a:fillRect/>
        </a:stretch>
      </xdr:blipFill>
      <xdr:spPr>
        <a:xfrm>
          <a:off x="28457211" y="401922716"/>
          <a:ext cx="967149" cy="970752"/>
        </a:xfrm>
        <a:prstGeom prst="rect">
          <a:avLst/>
        </a:prstGeom>
      </xdr:spPr>
    </xdr:pic>
    <xdr:clientData/>
  </xdr:twoCellAnchor>
  <xdr:twoCellAnchor editAs="oneCell">
    <xdr:from>
      <xdr:col>12</xdr:col>
      <xdr:colOff>689414</xdr:colOff>
      <xdr:row>289</xdr:row>
      <xdr:rowOff>206246</xdr:rowOff>
    </xdr:from>
    <xdr:to>
      <xdr:col>12</xdr:col>
      <xdr:colOff>1656563</xdr:colOff>
      <xdr:row>289</xdr:row>
      <xdr:rowOff>1177590</xdr:rowOff>
    </xdr:to>
    <xdr:pic>
      <xdr:nvPicPr>
        <xdr:cNvPr id="581" name="Picture 580">
          <a:extLst>
            <a:ext uri="{FF2B5EF4-FFF2-40B4-BE49-F238E27FC236}">
              <a16:creationId xmlns:a16="http://schemas.microsoft.com/office/drawing/2014/main" id="{220C1C7B-F31C-69EB-2A1A-8E0181B27E5A}"/>
            </a:ext>
          </a:extLst>
        </xdr:cNvPr>
        <xdr:cNvPicPr>
          <a:picLocks noChangeAspect="1"/>
        </xdr:cNvPicPr>
      </xdr:nvPicPr>
      <xdr:blipFill>
        <a:blip xmlns:r="http://schemas.openxmlformats.org/officeDocument/2006/relationships" r:link="rId282"/>
        <a:stretch>
          <a:fillRect/>
        </a:stretch>
      </xdr:blipFill>
      <xdr:spPr>
        <a:xfrm>
          <a:off x="28457211" y="403317161"/>
          <a:ext cx="967149" cy="971344"/>
        </a:xfrm>
        <a:prstGeom prst="rect">
          <a:avLst/>
        </a:prstGeom>
      </xdr:spPr>
    </xdr:pic>
    <xdr:clientData/>
  </xdr:twoCellAnchor>
  <xdr:twoCellAnchor editAs="oneCell">
    <xdr:from>
      <xdr:col>12</xdr:col>
      <xdr:colOff>689414</xdr:colOff>
      <xdr:row>290</xdr:row>
      <xdr:rowOff>206643</xdr:rowOff>
    </xdr:from>
    <xdr:to>
      <xdr:col>12</xdr:col>
      <xdr:colOff>1656563</xdr:colOff>
      <xdr:row>290</xdr:row>
      <xdr:rowOff>1177395</xdr:rowOff>
    </xdr:to>
    <xdr:pic>
      <xdr:nvPicPr>
        <xdr:cNvPr id="583" name="Picture 582">
          <a:extLst>
            <a:ext uri="{FF2B5EF4-FFF2-40B4-BE49-F238E27FC236}">
              <a16:creationId xmlns:a16="http://schemas.microsoft.com/office/drawing/2014/main" id="{E0F635A9-4279-815E-238C-B5C8C4000C06}"/>
            </a:ext>
          </a:extLst>
        </xdr:cNvPr>
        <xdr:cNvPicPr>
          <a:picLocks noChangeAspect="1"/>
        </xdr:cNvPicPr>
      </xdr:nvPicPr>
      <xdr:blipFill>
        <a:blip xmlns:r="http://schemas.openxmlformats.org/officeDocument/2006/relationships" r:link="rId283"/>
        <a:stretch>
          <a:fillRect/>
        </a:stretch>
      </xdr:blipFill>
      <xdr:spPr>
        <a:xfrm>
          <a:off x="28457211" y="404712406"/>
          <a:ext cx="967149" cy="970752"/>
        </a:xfrm>
        <a:prstGeom prst="rect">
          <a:avLst/>
        </a:prstGeom>
      </xdr:spPr>
    </xdr:pic>
    <xdr:clientData/>
  </xdr:twoCellAnchor>
  <xdr:twoCellAnchor editAs="oneCell">
    <xdr:from>
      <xdr:col>12</xdr:col>
      <xdr:colOff>689414</xdr:colOff>
      <xdr:row>291</xdr:row>
      <xdr:rowOff>206653</xdr:rowOff>
    </xdr:from>
    <xdr:to>
      <xdr:col>12</xdr:col>
      <xdr:colOff>1656563</xdr:colOff>
      <xdr:row>291</xdr:row>
      <xdr:rowOff>1177405</xdr:rowOff>
    </xdr:to>
    <xdr:pic>
      <xdr:nvPicPr>
        <xdr:cNvPr id="585" name="Picture 584">
          <a:extLst>
            <a:ext uri="{FF2B5EF4-FFF2-40B4-BE49-F238E27FC236}">
              <a16:creationId xmlns:a16="http://schemas.microsoft.com/office/drawing/2014/main" id="{70FEC0A6-390F-8980-7456-D5F0F9D676DF}"/>
            </a:ext>
          </a:extLst>
        </xdr:cNvPr>
        <xdr:cNvPicPr>
          <a:picLocks noChangeAspect="1"/>
        </xdr:cNvPicPr>
      </xdr:nvPicPr>
      <xdr:blipFill>
        <a:blip xmlns:r="http://schemas.openxmlformats.org/officeDocument/2006/relationships" r:link="rId284"/>
        <a:stretch>
          <a:fillRect/>
        </a:stretch>
      </xdr:blipFill>
      <xdr:spPr>
        <a:xfrm>
          <a:off x="28457211" y="406107263"/>
          <a:ext cx="967149" cy="970752"/>
        </a:xfrm>
        <a:prstGeom prst="rect">
          <a:avLst/>
        </a:prstGeom>
      </xdr:spPr>
    </xdr:pic>
    <xdr:clientData/>
  </xdr:twoCellAnchor>
  <xdr:twoCellAnchor editAs="oneCell">
    <xdr:from>
      <xdr:col>12</xdr:col>
      <xdr:colOff>689414</xdr:colOff>
      <xdr:row>292</xdr:row>
      <xdr:rowOff>206249</xdr:rowOff>
    </xdr:from>
    <xdr:to>
      <xdr:col>12</xdr:col>
      <xdr:colOff>1656563</xdr:colOff>
      <xdr:row>292</xdr:row>
      <xdr:rowOff>1177594</xdr:rowOff>
    </xdr:to>
    <xdr:pic>
      <xdr:nvPicPr>
        <xdr:cNvPr id="587" name="Picture 586">
          <a:extLst>
            <a:ext uri="{FF2B5EF4-FFF2-40B4-BE49-F238E27FC236}">
              <a16:creationId xmlns:a16="http://schemas.microsoft.com/office/drawing/2014/main" id="{DFEB631B-6CEC-E876-563D-CB3A4FDE126C}"/>
            </a:ext>
          </a:extLst>
        </xdr:cNvPr>
        <xdr:cNvPicPr>
          <a:picLocks noChangeAspect="1"/>
        </xdr:cNvPicPr>
      </xdr:nvPicPr>
      <xdr:blipFill>
        <a:blip xmlns:r="http://schemas.openxmlformats.org/officeDocument/2006/relationships" r:link="rId285"/>
        <a:stretch>
          <a:fillRect/>
        </a:stretch>
      </xdr:blipFill>
      <xdr:spPr>
        <a:xfrm>
          <a:off x="28457211" y="407501707"/>
          <a:ext cx="967149" cy="971345"/>
        </a:xfrm>
        <a:prstGeom prst="rect">
          <a:avLst/>
        </a:prstGeom>
      </xdr:spPr>
    </xdr:pic>
    <xdr:clientData/>
  </xdr:twoCellAnchor>
  <xdr:twoCellAnchor editAs="oneCell">
    <xdr:from>
      <xdr:col>12</xdr:col>
      <xdr:colOff>689414</xdr:colOff>
      <xdr:row>293</xdr:row>
      <xdr:rowOff>206648</xdr:rowOff>
    </xdr:from>
    <xdr:to>
      <xdr:col>12</xdr:col>
      <xdr:colOff>1656563</xdr:colOff>
      <xdr:row>293</xdr:row>
      <xdr:rowOff>1177400</xdr:rowOff>
    </xdr:to>
    <xdr:pic>
      <xdr:nvPicPr>
        <xdr:cNvPr id="589" name="Picture 588">
          <a:extLst>
            <a:ext uri="{FF2B5EF4-FFF2-40B4-BE49-F238E27FC236}">
              <a16:creationId xmlns:a16="http://schemas.microsoft.com/office/drawing/2014/main" id="{2C9236A6-EA82-2D90-2339-A2E4002D6859}"/>
            </a:ext>
          </a:extLst>
        </xdr:cNvPr>
        <xdr:cNvPicPr>
          <a:picLocks noChangeAspect="1"/>
        </xdr:cNvPicPr>
      </xdr:nvPicPr>
      <xdr:blipFill>
        <a:blip xmlns:r="http://schemas.openxmlformats.org/officeDocument/2006/relationships" r:link="rId286"/>
        <a:stretch>
          <a:fillRect/>
        </a:stretch>
      </xdr:blipFill>
      <xdr:spPr>
        <a:xfrm>
          <a:off x="28457211" y="408896953"/>
          <a:ext cx="967149" cy="970752"/>
        </a:xfrm>
        <a:prstGeom prst="rect">
          <a:avLst/>
        </a:prstGeom>
      </xdr:spPr>
    </xdr:pic>
    <xdr:clientData/>
  </xdr:twoCellAnchor>
  <xdr:twoCellAnchor editAs="oneCell">
    <xdr:from>
      <xdr:col>12</xdr:col>
      <xdr:colOff>689414</xdr:colOff>
      <xdr:row>294</xdr:row>
      <xdr:rowOff>206244</xdr:rowOff>
    </xdr:from>
    <xdr:to>
      <xdr:col>12</xdr:col>
      <xdr:colOff>1656563</xdr:colOff>
      <xdr:row>294</xdr:row>
      <xdr:rowOff>1177589</xdr:rowOff>
    </xdr:to>
    <xdr:pic>
      <xdr:nvPicPr>
        <xdr:cNvPr id="591" name="Picture 590">
          <a:extLst>
            <a:ext uri="{FF2B5EF4-FFF2-40B4-BE49-F238E27FC236}">
              <a16:creationId xmlns:a16="http://schemas.microsoft.com/office/drawing/2014/main" id="{50B58FF8-B123-61E3-0B63-D242088A1986}"/>
            </a:ext>
          </a:extLst>
        </xdr:cNvPr>
        <xdr:cNvPicPr>
          <a:picLocks noChangeAspect="1"/>
        </xdr:cNvPicPr>
      </xdr:nvPicPr>
      <xdr:blipFill>
        <a:blip xmlns:r="http://schemas.openxmlformats.org/officeDocument/2006/relationships" r:link="rId287"/>
        <a:stretch>
          <a:fillRect/>
        </a:stretch>
      </xdr:blipFill>
      <xdr:spPr>
        <a:xfrm>
          <a:off x="28457211" y="410291397"/>
          <a:ext cx="967149" cy="971345"/>
        </a:xfrm>
        <a:prstGeom prst="rect">
          <a:avLst/>
        </a:prstGeom>
      </xdr:spPr>
    </xdr:pic>
    <xdr:clientData/>
  </xdr:twoCellAnchor>
  <xdr:twoCellAnchor editAs="oneCell">
    <xdr:from>
      <xdr:col>12</xdr:col>
      <xdr:colOff>689414</xdr:colOff>
      <xdr:row>295</xdr:row>
      <xdr:rowOff>206643</xdr:rowOff>
    </xdr:from>
    <xdr:to>
      <xdr:col>12</xdr:col>
      <xdr:colOff>1656563</xdr:colOff>
      <xdr:row>295</xdr:row>
      <xdr:rowOff>1177395</xdr:rowOff>
    </xdr:to>
    <xdr:pic>
      <xdr:nvPicPr>
        <xdr:cNvPr id="593" name="Picture 592">
          <a:extLst>
            <a:ext uri="{FF2B5EF4-FFF2-40B4-BE49-F238E27FC236}">
              <a16:creationId xmlns:a16="http://schemas.microsoft.com/office/drawing/2014/main" id="{3B4D4223-A157-2393-7B5B-8427491B0E02}"/>
            </a:ext>
          </a:extLst>
        </xdr:cNvPr>
        <xdr:cNvPicPr>
          <a:picLocks noChangeAspect="1"/>
        </xdr:cNvPicPr>
      </xdr:nvPicPr>
      <xdr:blipFill>
        <a:blip xmlns:r="http://schemas.openxmlformats.org/officeDocument/2006/relationships" r:link="rId288"/>
        <a:stretch>
          <a:fillRect/>
        </a:stretch>
      </xdr:blipFill>
      <xdr:spPr>
        <a:xfrm>
          <a:off x="28457211" y="411686643"/>
          <a:ext cx="967149" cy="970752"/>
        </a:xfrm>
        <a:prstGeom prst="rect">
          <a:avLst/>
        </a:prstGeom>
      </xdr:spPr>
    </xdr:pic>
    <xdr:clientData/>
  </xdr:twoCellAnchor>
  <xdr:twoCellAnchor editAs="oneCell">
    <xdr:from>
      <xdr:col>12</xdr:col>
      <xdr:colOff>689414</xdr:colOff>
      <xdr:row>296</xdr:row>
      <xdr:rowOff>206653</xdr:rowOff>
    </xdr:from>
    <xdr:to>
      <xdr:col>12</xdr:col>
      <xdr:colOff>1656563</xdr:colOff>
      <xdr:row>296</xdr:row>
      <xdr:rowOff>1177405</xdr:rowOff>
    </xdr:to>
    <xdr:pic>
      <xdr:nvPicPr>
        <xdr:cNvPr id="595" name="Picture 594">
          <a:extLst>
            <a:ext uri="{FF2B5EF4-FFF2-40B4-BE49-F238E27FC236}">
              <a16:creationId xmlns:a16="http://schemas.microsoft.com/office/drawing/2014/main" id="{9663BB40-90CA-9E97-678B-0E162E94E032}"/>
            </a:ext>
          </a:extLst>
        </xdr:cNvPr>
        <xdr:cNvPicPr>
          <a:picLocks noChangeAspect="1"/>
        </xdr:cNvPicPr>
      </xdr:nvPicPr>
      <xdr:blipFill>
        <a:blip xmlns:r="http://schemas.openxmlformats.org/officeDocument/2006/relationships" r:link="rId289"/>
        <a:stretch>
          <a:fillRect/>
        </a:stretch>
      </xdr:blipFill>
      <xdr:spPr>
        <a:xfrm>
          <a:off x="28457211" y="413081500"/>
          <a:ext cx="967149" cy="970752"/>
        </a:xfrm>
        <a:prstGeom prst="rect">
          <a:avLst/>
        </a:prstGeom>
      </xdr:spPr>
    </xdr:pic>
    <xdr:clientData/>
  </xdr:twoCellAnchor>
  <xdr:twoCellAnchor editAs="oneCell">
    <xdr:from>
      <xdr:col>12</xdr:col>
      <xdr:colOff>689414</xdr:colOff>
      <xdr:row>297</xdr:row>
      <xdr:rowOff>206249</xdr:rowOff>
    </xdr:from>
    <xdr:to>
      <xdr:col>12</xdr:col>
      <xdr:colOff>1656563</xdr:colOff>
      <xdr:row>297</xdr:row>
      <xdr:rowOff>1177594</xdr:rowOff>
    </xdr:to>
    <xdr:pic>
      <xdr:nvPicPr>
        <xdr:cNvPr id="597" name="Picture 596">
          <a:extLst>
            <a:ext uri="{FF2B5EF4-FFF2-40B4-BE49-F238E27FC236}">
              <a16:creationId xmlns:a16="http://schemas.microsoft.com/office/drawing/2014/main" id="{6CBC1D0B-5595-0C7D-9B7C-5724E83759C4}"/>
            </a:ext>
          </a:extLst>
        </xdr:cNvPr>
        <xdr:cNvPicPr>
          <a:picLocks noChangeAspect="1"/>
        </xdr:cNvPicPr>
      </xdr:nvPicPr>
      <xdr:blipFill>
        <a:blip xmlns:r="http://schemas.openxmlformats.org/officeDocument/2006/relationships" r:link="rId290"/>
        <a:stretch>
          <a:fillRect/>
        </a:stretch>
      </xdr:blipFill>
      <xdr:spPr>
        <a:xfrm>
          <a:off x="28457211" y="414475944"/>
          <a:ext cx="967149" cy="971345"/>
        </a:xfrm>
        <a:prstGeom prst="rect">
          <a:avLst/>
        </a:prstGeom>
      </xdr:spPr>
    </xdr:pic>
    <xdr:clientData/>
  </xdr:twoCellAnchor>
  <xdr:twoCellAnchor editAs="oneCell">
    <xdr:from>
      <xdr:col>12</xdr:col>
      <xdr:colOff>689414</xdr:colOff>
      <xdr:row>298</xdr:row>
      <xdr:rowOff>206648</xdr:rowOff>
    </xdr:from>
    <xdr:to>
      <xdr:col>12</xdr:col>
      <xdr:colOff>1656563</xdr:colOff>
      <xdr:row>298</xdr:row>
      <xdr:rowOff>1177400</xdr:rowOff>
    </xdr:to>
    <xdr:pic>
      <xdr:nvPicPr>
        <xdr:cNvPr id="599" name="Picture 598">
          <a:extLst>
            <a:ext uri="{FF2B5EF4-FFF2-40B4-BE49-F238E27FC236}">
              <a16:creationId xmlns:a16="http://schemas.microsoft.com/office/drawing/2014/main" id="{D13E6225-B977-34AF-4E23-446ED259C4B6}"/>
            </a:ext>
          </a:extLst>
        </xdr:cNvPr>
        <xdr:cNvPicPr>
          <a:picLocks noChangeAspect="1"/>
        </xdr:cNvPicPr>
      </xdr:nvPicPr>
      <xdr:blipFill>
        <a:blip xmlns:r="http://schemas.openxmlformats.org/officeDocument/2006/relationships" r:link="rId291"/>
        <a:stretch>
          <a:fillRect/>
        </a:stretch>
      </xdr:blipFill>
      <xdr:spPr>
        <a:xfrm>
          <a:off x="28457211" y="415871190"/>
          <a:ext cx="967149" cy="970752"/>
        </a:xfrm>
        <a:prstGeom prst="rect">
          <a:avLst/>
        </a:prstGeom>
      </xdr:spPr>
    </xdr:pic>
    <xdr:clientData/>
  </xdr:twoCellAnchor>
  <xdr:twoCellAnchor editAs="oneCell">
    <xdr:from>
      <xdr:col>12</xdr:col>
      <xdr:colOff>689414</xdr:colOff>
      <xdr:row>299</xdr:row>
      <xdr:rowOff>206244</xdr:rowOff>
    </xdr:from>
    <xdr:to>
      <xdr:col>12</xdr:col>
      <xdr:colOff>1656563</xdr:colOff>
      <xdr:row>299</xdr:row>
      <xdr:rowOff>1177589</xdr:rowOff>
    </xdr:to>
    <xdr:pic>
      <xdr:nvPicPr>
        <xdr:cNvPr id="601" name="Picture 600">
          <a:extLst>
            <a:ext uri="{FF2B5EF4-FFF2-40B4-BE49-F238E27FC236}">
              <a16:creationId xmlns:a16="http://schemas.microsoft.com/office/drawing/2014/main" id="{7E6F6A9A-F374-EDCE-6C18-4A807300D2D7}"/>
            </a:ext>
          </a:extLst>
        </xdr:cNvPr>
        <xdr:cNvPicPr>
          <a:picLocks noChangeAspect="1"/>
        </xdr:cNvPicPr>
      </xdr:nvPicPr>
      <xdr:blipFill>
        <a:blip xmlns:r="http://schemas.openxmlformats.org/officeDocument/2006/relationships" r:link="rId292"/>
        <a:stretch>
          <a:fillRect/>
        </a:stretch>
      </xdr:blipFill>
      <xdr:spPr>
        <a:xfrm>
          <a:off x="28457211" y="417265634"/>
          <a:ext cx="967149" cy="971345"/>
        </a:xfrm>
        <a:prstGeom prst="rect">
          <a:avLst/>
        </a:prstGeom>
      </xdr:spPr>
    </xdr:pic>
    <xdr:clientData/>
  </xdr:twoCellAnchor>
  <xdr:twoCellAnchor editAs="oneCell">
    <xdr:from>
      <xdr:col>12</xdr:col>
      <xdr:colOff>689414</xdr:colOff>
      <xdr:row>300</xdr:row>
      <xdr:rowOff>206643</xdr:rowOff>
    </xdr:from>
    <xdr:to>
      <xdr:col>12</xdr:col>
      <xdr:colOff>1656563</xdr:colOff>
      <xdr:row>300</xdr:row>
      <xdr:rowOff>1177395</xdr:rowOff>
    </xdr:to>
    <xdr:pic>
      <xdr:nvPicPr>
        <xdr:cNvPr id="603" name="Picture 602">
          <a:extLst>
            <a:ext uri="{FF2B5EF4-FFF2-40B4-BE49-F238E27FC236}">
              <a16:creationId xmlns:a16="http://schemas.microsoft.com/office/drawing/2014/main" id="{6C18E2BB-5E28-4630-456E-3CD813A6B915}"/>
            </a:ext>
          </a:extLst>
        </xdr:cNvPr>
        <xdr:cNvPicPr>
          <a:picLocks noChangeAspect="1"/>
        </xdr:cNvPicPr>
      </xdr:nvPicPr>
      <xdr:blipFill>
        <a:blip xmlns:r="http://schemas.openxmlformats.org/officeDocument/2006/relationships" r:link="rId293"/>
        <a:stretch>
          <a:fillRect/>
        </a:stretch>
      </xdr:blipFill>
      <xdr:spPr>
        <a:xfrm>
          <a:off x="28457211" y="418660880"/>
          <a:ext cx="967149" cy="970752"/>
        </a:xfrm>
        <a:prstGeom prst="rect">
          <a:avLst/>
        </a:prstGeom>
      </xdr:spPr>
    </xdr:pic>
    <xdr:clientData/>
  </xdr:twoCellAnchor>
  <xdr:twoCellAnchor editAs="oneCell">
    <xdr:from>
      <xdr:col>12</xdr:col>
      <xdr:colOff>689414</xdr:colOff>
      <xdr:row>301</xdr:row>
      <xdr:rowOff>206653</xdr:rowOff>
    </xdr:from>
    <xdr:to>
      <xdr:col>12</xdr:col>
      <xdr:colOff>1656563</xdr:colOff>
      <xdr:row>301</xdr:row>
      <xdr:rowOff>1177405</xdr:rowOff>
    </xdr:to>
    <xdr:pic>
      <xdr:nvPicPr>
        <xdr:cNvPr id="605" name="Picture 604">
          <a:extLst>
            <a:ext uri="{FF2B5EF4-FFF2-40B4-BE49-F238E27FC236}">
              <a16:creationId xmlns:a16="http://schemas.microsoft.com/office/drawing/2014/main" id="{867E8970-521B-DD23-5ECB-E69009C178A0}"/>
            </a:ext>
          </a:extLst>
        </xdr:cNvPr>
        <xdr:cNvPicPr>
          <a:picLocks noChangeAspect="1"/>
        </xdr:cNvPicPr>
      </xdr:nvPicPr>
      <xdr:blipFill>
        <a:blip xmlns:r="http://schemas.openxmlformats.org/officeDocument/2006/relationships" r:link="rId294"/>
        <a:stretch>
          <a:fillRect/>
        </a:stretch>
      </xdr:blipFill>
      <xdr:spPr>
        <a:xfrm>
          <a:off x="28457211" y="420055738"/>
          <a:ext cx="967149" cy="970752"/>
        </a:xfrm>
        <a:prstGeom prst="rect">
          <a:avLst/>
        </a:prstGeom>
      </xdr:spPr>
    </xdr:pic>
    <xdr:clientData/>
  </xdr:twoCellAnchor>
  <xdr:twoCellAnchor editAs="oneCell">
    <xdr:from>
      <xdr:col>12</xdr:col>
      <xdr:colOff>689414</xdr:colOff>
      <xdr:row>302</xdr:row>
      <xdr:rowOff>206663</xdr:rowOff>
    </xdr:from>
    <xdr:to>
      <xdr:col>12</xdr:col>
      <xdr:colOff>1656563</xdr:colOff>
      <xdr:row>302</xdr:row>
      <xdr:rowOff>1177415</xdr:rowOff>
    </xdr:to>
    <xdr:pic>
      <xdr:nvPicPr>
        <xdr:cNvPr id="607" name="Picture 606">
          <a:extLst>
            <a:ext uri="{FF2B5EF4-FFF2-40B4-BE49-F238E27FC236}">
              <a16:creationId xmlns:a16="http://schemas.microsoft.com/office/drawing/2014/main" id="{6B3CC8AE-C8A2-3800-20C0-915C8EA3B0A1}"/>
            </a:ext>
          </a:extLst>
        </xdr:cNvPr>
        <xdr:cNvPicPr>
          <a:picLocks noChangeAspect="1"/>
        </xdr:cNvPicPr>
      </xdr:nvPicPr>
      <xdr:blipFill>
        <a:blip xmlns:r="http://schemas.openxmlformats.org/officeDocument/2006/relationships" r:link="rId295"/>
        <a:stretch>
          <a:fillRect/>
        </a:stretch>
      </xdr:blipFill>
      <xdr:spPr>
        <a:xfrm>
          <a:off x="28457211" y="421450595"/>
          <a:ext cx="967149" cy="970752"/>
        </a:xfrm>
        <a:prstGeom prst="rect">
          <a:avLst/>
        </a:prstGeom>
      </xdr:spPr>
    </xdr:pic>
    <xdr:clientData/>
  </xdr:twoCellAnchor>
  <xdr:twoCellAnchor editAs="oneCell">
    <xdr:from>
      <xdr:col>12</xdr:col>
      <xdr:colOff>689414</xdr:colOff>
      <xdr:row>303</xdr:row>
      <xdr:rowOff>206234</xdr:rowOff>
    </xdr:from>
    <xdr:to>
      <xdr:col>12</xdr:col>
      <xdr:colOff>1656563</xdr:colOff>
      <xdr:row>303</xdr:row>
      <xdr:rowOff>1177579</xdr:rowOff>
    </xdr:to>
    <xdr:pic>
      <xdr:nvPicPr>
        <xdr:cNvPr id="609" name="Picture 608">
          <a:extLst>
            <a:ext uri="{FF2B5EF4-FFF2-40B4-BE49-F238E27FC236}">
              <a16:creationId xmlns:a16="http://schemas.microsoft.com/office/drawing/2014/main" id="{8117EA79-B8F3-9F18-8054-0355C0D2331F}"/>
            </a:ext>
          </a:extLst>
        </xdr:cNvPr>
        <xdr:cNvPicPr>
          <a:picLocks noChangeAspect="1"/>
        </xdr:cNvPicPr>
      </xdr:nvPicPr>
      <xdr:blipFill>
        <a:blip xmlns:r="http://schemas.openxmlformats.org/officeDocument/2006/relationships" r:link="rId296"/>
        <a:stretch>
          <a:fillRect/>
        </a:stretch>
      </xdr:blipFill>
      <xdr:spPr>
        <a:xfrm>
          <a:off x="28457211" y="422845014"/>
          <a:ext cx="967149" cy="971345"/>
        </a:xfrm>
        <a:prstGeom prst="rect">
          <a:avLst/>
        </a:prstGeom>
      </xdr:spPr>
    </xdr:pic>
    <xdr:clientData/>
  </xdr:twoCellAnchor>
  <xdr:twoCellAnchor editAs="oneCell">
    <xdr:from>
      <xdr:col>12</xdr:col>
      <xdr:colOff>689414</xdr:colOff>
      <xdr:row>304</xdr:row>
      <xdr:rowOff>206246</xdr:rowOff>
    </xdr:from>
    <xdr:to>
      <xdr:col>12</xdr:col>
      <xdr:colOff>1656563</xdr:colOff>
      <xdr:row>304</xdr:row>
      <xdr:rowOff>1177590</xdr:rowOff>
    </xdr:to>
    <xdr:pic>
      <xdr:nvPicPr>
        <xdr:cNvPr id="611" name="Picture 610">
          <a:extLst>
            <a:ext uri="{FF2B5EF4-FFF2-40B4-BE49-F238E27FC236}">
              <a16:creationId xmlns:a16="http://schemas.microsoft.com/office/drawing/2014/main" id="{830EF219-3BB3-FEBF-1B1D-1B678A46823C}"/>
            </a:ext>
          </a:extLst>
        </xdr:cNvPr>
        <xdr:cNvPicPr>
          <a:picLocks noChangeAspect="1"/>
        </xdr:cNvPicPr>
      </xdr:nvPicPr>
      <xdr:blipFill>
        <a:blip xmlns:r="http://schemas.openxmlformats.org/officeDocument/2006/relationships" r:link="rId297"/>
        <a:stretch>
          <a:fillRect/>
        </a:stretch>
      </xdr:blipFill>
      <xdr:spPr>
        <a:xfrm>
          <a:off x="28457211" y="424239873"/>
          <a:ext cx="967149" cy="971344"/>
        </a:xfrm>
        <a:prstGeom prst="rect">
          <a:avLst/>
        </a:prstGeom>
      </xdr:spPr>
    </xdr:pic>
    <xdr:clientData/>
  </xdr:twoCellAnchor>
  <xdr:twoCellAnchor editAs="oneCell">
    <xdr:from>
      <xdr:col>12</xdr:col>
      <xdr:colOff>689414</xdr:colOff>
      <xdr:row>305</xdr:row>
      <xdr:rowOff>206643</xdr:rowOff>
    </xdr:from>
    <xdr:to>
      <xdr:col>12</xdr:col>
      <xdr:colOff>1656563</xdr:colOff>
      <xdr:row>305</xdr:row>
      <xdr:rowOff>1177395</xdr:rowOff>
    </xdr:to>
    <xdr:pic>
      <xdr:nvPicPr>
        <xdr:cNvPr id="613" name="Picture 612">
          <a:extLst>
            <a:ext uri="{FF2B5EF4-FFF2-40B4-BE49-F238E27FC236}">
              <a16:creationId xmlns:a16="http://schemas.microsoft.com/office/drawing/2014/main" id="{28717B56-4FA4-E59B-7939-2C0D9B43FBEC}"/>
            </a:ext>
          </a:extLst>
        </xdr:cNvPr>
        <xdr:cNvPicPr>
          <a:picLocks noChangeAspect="1"/>
        </xdr:cNvPicPr>
      </xdr:nvPicPr>
      <xdr:blipFill>
        <a:blip xmlns:r="http://schemas.openxmlformats.org/officeDocument/2006/relationships" r:link="rId298"/>
        <a:stretch>
          <a:fillRect/>
        </a:stretch>
      </xdr:blipFill>
      <xdr:spPr>
        <a:xfrm>
          <a:off x="28457211" y="425635118"/>
          <a:ext cx="967149" cy="970752"/>
        </a:xfrm>
        <a:prstGeom prst="rect">
          <a:avLst/>
        </a:prstGeom>
      </xdr:spPr>
    </xdr:pic>
    <xdr:clientData/>
  </xdr:twoCellAnchor>
  <xdr:twoCellAnchor editAs="oneCell">
    <xdr:from>
      <xdr:col>12</xdr:col>
      <xdr:colOff>689414</xdr:colOff>
      <xdr:row>306</xdr:row>
      <xdr:rowOff>206653</xdr:rowOff>
    </xdr:from>
    <xdr:to>
      <xdr:col>12</xdr:col>
      <xdr:colOff>1656563</xdr:colOff>
      <xdr:row>306</xdr:row>
      <xdr:rowOff>1177405</xdr:rowOff>
    </xdr:to>
    <xdr:pic>
      <xdr:nvPicPr>
        <xdr:cNvPr id="615" name="Picture 614">
          <a:extLst>
            <a:ext uri="{FF2B5EF4-FFF2-40B4-BE49-F238E27FC236}">
              <a16:creationId xmlns:a16="http://schemas.microsoft.com/office/drawing/2014/main" id="{557BD819-613D-3F4C-3807-C41EBE7182EA}"/>
            </a:ext>
          </a:extLst>
        </xdr:cNvPr>
        <xdr:cNvPicPr>
          <a:picLocks noChangeAspect="1"/>
        </xdr:cNvPicPr>
      </xdr:nvPicPr>
      <xdr:blipFill>
        <a:blip xmlns:r="http://schemas.openxmlformats.org/officeDocument/2006/relationships" r:link="rId299"/>
        <a:stretch>
          <a:fillRect/>
        </a:stretch>
      </xdr:blipFill>
      <xdr:spPr>
        <a:xfrm>
          <a:off x="28457211" y="427029975"/>
          <a:ext cx="967149" cy="970752"/>
        </a:xfrm>
        <a:prstGeom prst="rect">
          <a:avLst/>
        </a:prstGeom>
      </xdr:spPr>
    </xdr:pic>
    <xdr:clientData/>
  </xdr:twoCellAnchor>
  <xdr:twoCellAnchor editAs="oneCell">
    <xdr:from>
      <xdr:col>12</xdr:col>
      <xdr:colOff>689414</xdr:colOff>
      <xdr:row>307</xdr:row>
      <xdr:rowOff>206663</xdr:rowOff>
    </xdr:from>
    <xdr:to>
      <xdr:col>12</xdr:col>
      <xdr:colOff>1656563</xdr:colOff>
      <xdr:row>307</xdr:row>
      <xdr:rowOff>1177415</xdr:rowOff>
    </xdr:to>
    <xdr:pic>
      <xdr:nvPicPr>
        <xdr:cNvPr id="617" name="Picture 616">
          <a:extLst>
            <a:ext uri="{FF2B5EF4-FFF2-40B4-BE49-F238E27FC236}">
              <a16:creationId xmlns:a16="http://schemas.microsoft.com/office/drawing/2014/main" id="{65CFCC5E-2C7A-BFC9-8CB3-B429ECD359A3}"/>
            </a:ext>
          </a:extLst>
        </xdr:cNvPr>
        <xdr:cNvPicPr>
          <a:picLocks noChangeAspect="1"/>
        </xdr:cNvPicPr>
      </xdr:nvPicPr>
      <xdr:blipFill>
        <a:blip xmlns:r="http://schemas.openxmlformats.org/officeDocument/2006/relationships" r:link="rId300"/>
        <a:stretch>
          <a:fillRect/>
        </a:stretch>
      </xdr:blipFill>
      <xdr:spPr>
        <a:xfrm>
          <a:off x="28457211" y="428424832"/>
          <a:ext cx="967149" cy="970752"/>
        </a:xfrm>
        <a:prstGeom prst="rect">
          <a:avLst/>
        </a:prstGeom>
      </xdr:spPr>
    </xdr:pic>
    <xdr:clientData/>
  </xdr:twoCellAnchor>
  <xdr:twoCellAnchor editAs="oneCell">
    <xdr:from>
      <xdr:col>12</xdr:col>
      <xdr:colOff>689414</xdr:colOff>
      <xdr:row>308</xdr:row>
      <xdr:rowOff>206234</xdr:rowOff>
    </xdr:from>
    <xdr:to>
      <xdr:col>12</xdr:col>
      <xdr:colOff>1656563</xdr:colOff>
      <xdr:row>308</xdr:row>
      <xdr:rowOff>1177579</xdr:rowOff>
    </xdr:to>
    <xdr:pic>
      <xdr:nvPicPr>
        <xdr:cNvPr id="619" name="Picture 618">
          <a:extLst>
            <a:ext uri="{FF2B5EF4-FFF2-40B4-BE49-F238E27FC236}">
              <a16:creationId xmlns:a16="http://schemas.microsoft.com/office/drawing/2014/main" id="{0FA34279-DF3B-63D9-B7E7-573D5F8F4410}"/>
            </a:ext>
          </a:extLst>
        </xdr:cNvPr>
        <xdr:cNvPicPr>
          <a:picLocks noChangeAspect="1"/>
        </xdr:cNvPicPr>
      </xdr:nvPicPr>
      <xdr:blipFill>
        <a:blip xmlns:r="http://schemas.openxmlformats.org/officeDocument/2006/relationships" r:link="rId301"/>
        <a:stretch>
          <a:fillRect/>
        </a:stretch>
      </xdr:blipFill>
      <xdr:spPr>
        <a:xfrm>
          <a:off x="28457211" y="429819251"/>
          <a:ext cx="967149" cy="971345"/>
        </a:xfrm>
        <a:prstGeom prst="rect">
          <a:avLst/>
        </a:prstGeom>
      </xdr:spPr>
    </xdr:pic>
    <xdr:clientData/>
  </xdr:twoCellAnchor>
  <xdr:twoCellAnchor editAs="oneCell">
    <xdr:from>
      <xdr:col>12</xdr:col>
      <xdr:colOff>689414</xdr:colOff>
      <xdr:row>309</xdr:row>
      <xdr:rowOff>206246</xdr:rowOff>
    </xdr:from>
    <xdr:to>
      <xdr:col>12</xdr:col>
      <xdr:colOff>1656563</xdr:colOff>
      <xdr:row>309</xdr:row>
      <xdr:rowOff>1177590</xdr:rowOff>
    </xdr:to>
    <xdr:pic>
      <xdr:nvPicPr>
        <xdr:cNvPr id="621" name="Picture 620">
          <a:extLst>
            <a:ext uri="{FF2B5EF4-FFF2-40B4-BE49-F238E27FC236}">
              <a16:creationId xmlns:a16="http://schemas.microsoft.com/office/drawing/2014/main" id="{480F5290-5EF4-D464-93FF-D0173E4B087A}"/>
            </a:ext>
          </a:extLst>
        </xdr:cNvPr>
        <xdr:cNvPicPr>
          <a:picLocks noChangeAspect="1"/>
        </xdr:cNvPicPr>
      </xdr:nvPicPr>
      <xdr:blipFill>
        <a:blip xmlns:r="http://schemas.openxmlformats.org/officeDocument/2006/relationships" r:link="rId302"/>
        <a:stretch>
          <a:fillRect/>
        </a:stretch>
      </xdr:blipFill>
      <xdr:spPr>
        <a:xfrm>
          <a:off x="28457211" y="431214110"/>
          <a:ext cx="967149" cy="971344"/>
        </a:xfrm>
        <a:prstGeom prst="rect">
          <a:avLst/>
        </a:prstGeom>
      </xdr:spPr>
    </xdr:pic>
    <xdr:clientData/>
  </xdr:twoCellAnchor>
  <xdr:twoCellAnchor editAs="oneCell">
    <xdr:from>
      <xdr:col>12</xdr:col>
      <xdr:colOff>689414</xdr:colOff>
      <xdr:row>310</xdr:row>
      <xdr:rowOff>206643</xdr:rowOff>
    </xdr:from>
    <xdr:to>
      <xdr:col>12</xdr:col>
      <xdr:colOff>1656563</xdr:colOff>
      <xdr:row>310</xdr:row>
      <xdr:rowOff>1177395</xdr:rowOff>
    </xdr:to>
    <xdr:pic>
      <xdr:nvPicPr>
        <xdr:cNvPr id="623" name="Picture 622">
          <a:extLst>
            <a:ext uri="{FF2B5EF4-FFF2-40B4-BE49-F238E27FC236}">
              <a16:creationId xmlns:a16="http://schemas.microsoft.com/office/drawing/2014/main" id="{1E07A263-B244-F67E-467C-70DE26AA4645}"/>
            </a:ext>
          </a:extLst>
        </xdr:cNvPr>
        <xdr:cNvPicPr>
          <a:picLocks noChangeAspect="1"/>
        </xdr:cNvPicPr>
      </xdr:nvPicPr>
      <xdr:blipFill>
        <a:blip xmlns:r="http://schemas.openxmlformats.org/officeDocument/2006/relationships" r:link="rId303"/>
        <a:stretch>
          <a:fillRect/>
        </a:stretch>
      </xdr:blipFill>
      <xdr:spPr>
        <a:xfrm>
          <a:off x="28457211" y="432609355"/>
          <a:ext cx="967149" cy="970752"/>
        </a:xfrm>
        <a:prstGeom prst="rect">
          <a:avLst/>
        </a:prstGeom>
      </xdr:spPr>
    </xdr:pic>
    <xdr:clientData/>
  </xdr:twoCellAnchor>
  <xdr:twoCellAnchor editAs="oneCell">
    <xdr:from>
      <xdr:col>12</xdr:col>
      <xdr:colOff>689414</xdr:colOff>
      <xdr:row>311</xdr:row>
      <xdr:rowOff>206653</xdr:rowOff>
    </xdr:from>
    <xdr:to>
      <xdr:col>12</xdr:col>
      <xdr:colOff>1656563</xdr:colOff>
      <xdr:row>311</xdr:row>
      <xdr:rowOff>1177405</xdr:rowOff>
    </xdr:to>
    <xdr:pic>
      <xdr:nvPicPr>
        <xdr:cNvPr id="625" name="Picture 624">
          <a:extLst>
            <a:ext uri="{FF2B5EF4-FFF2-40B4-BE49-F238E27FC236}">
              <a16:creationId xmlns:a16="http://schemas.microsoft.com/office/drawing/2014/main" id="{93A7DFEA-01DC-21E0-B984-ED81B8EC7D83}"/>
            </a:ext>
          </a:extLst>
        </xdr:cNvPr>
        <xdr:cNvPicPr>
          <a:picLocks noChangeAspect="1"/>
        </xdr:cNvPicPr>
      </xdr:nvPicPr>
      <xdr:blipFill>
        <a:blip xmlns:r="http://schemas.openxmlformats.org/officeDocument/2006/relationships" r:link="rId304"/>
        <a:stretch>
          <a:fillRect/>
        </a:stretch>
      </xdr:blipFill>
      <xdr:spPr>
        <a:xfrm>
          <a:off x="28457211" y="434004212"/>
          <a:ext cx="967149" cy="970752"/>
        </a:xfrm>
        <a:prstGeom prst="rect">
          <a:avLst/>
        </a:prstGeom>
      </xdr:spPr>
    </xdr:pic>
    <xdr:clientData/>
  </xdr:twoCellAnchor>
  <xdr:twoCellAnchor editAs="oneCell">
    <xdr:from>
      <xdr:col>12</xdr:col>
      <xdr:colOff>689414</xdr:colOff>
      <xdr:row>312</xdr:row>
      <xdr:rowOff>206663</xdr:rowOff>
    </xdr:from>
    <xdr:to>
      <xdr:col>12</xdr:col>
      <xdr:colOff>1656563</xdr:colOff>
      <xdr:row>312</xdr:row>
      <xdr:rowOff>1177415</xdr:rowOff>
    </xdr:to>
    <xdr:pic>
      <xdr:nvPicPr>
        <xdr:cNvPr id="627" name="Picture 626">
          <a:extLst>
            <a:ext uri="{FF2B5EF4-FFF2-40B4-BE49-F238E27FC236}">
              <a16:creationId xmlns:a16="http://schemas.microsoft.com/office/drawing/2014/main" id="{A6D85C34-60CC-8B69-18A4-D35A918364A4}"/>
            </a:ext>
          </a:extLst>
        </xdr:cNvPr>
        <xdr:cNvPicPr>
          <a:picLocks noChangeAspect="1"/>
        </xdr:cNvPicPr>
      </xdr:nvPicPr>
      <xdr:blipFill>
        <a:blip xmlns:r="http://schemas.openxmlformats.org/officeDocument/2006/relationships" r:link="rId305"/>
        <a:stretch>
          <a:fillRect/>
        </a:stretch>
      </xdr:blipFill>
      <xdr:spPr>
        <a:xfrm>
          <a:off x="28457211" y="435399070"/>
          <a:ext cx="967149" cy="970752"/>
        </a:xfrm>
        <a:prstGeom prst="rect">
          <a:avLst/>
        </a:prstGeom>
      </xdr:spPr>
    </xdr:pic>
    <xdr:clientData/>
  </xdr:twoCellAnchor>
  <xdr:twoCellAnchor editAs="oneCell">
    <xdr:from>
      <xdr:col>12</xdr:col>
      <xdr:colOff>689414</xdr:colOff>
      <xdr:row>313</xdr:row>
      <xdr:rowOff>206236</xdr:rowOff>
    </xdr:from>
    <xdr:to>
      <xdr:col>12</xdr:col>
      <xdr:colOff>1656563</xdr:colOff>
      <xdr:row>313</xdr:row>
      <xdr:rowOff>1177580</xdr:rowOff>
    </xdr:to>
    <xdr:pic>
      <xdr:nvPicPr>
        <xdr:cNvPr id="629" name="Picture 628">
          <a:extLst>
            <a:ext uri="{FF2B5EF4-FFF2-40B4-BE49-F238E27FC236}">
              <a16:creationId xmlns:a16="http://schemas.microsoft.com/office/drawing/2014/main" id="{6FE7ECF0-1CDD-30B3-A538-B8F154772991}"/>
            </a:ext>
          </a:extLst>
        </xdr:cNvPr>
        <xdr:cNvPicPr>
          <a:picLocks noChangeAspect="1"/>
        </xdr:cNvPicPr>
      </xdr:nvPicPr>
      <xdr:blipFill>
        <a:blip xmlns:r="http://schemas.openxmlformats.org/officeDocument/2006/relationships" r:link="rId306"/>
        <a:stretch>
          <a:fillRect/>
        </a:stretch>
      </xdr:blipFill>
      <xdr:spPr>
        <a:xfrm>
          <a:off x="28457211" y="436793490"/>
          <a:ext cx="967149" cy="971344"/>
        </a:xfrm>
        <a:prstGeom prst="rect">
          <a:avLst/>
        </a:prstGeom>
      </xdr:spPr>
    </xdr:pic>
    <xdr:clientData/>
  </xdr:twoCellAnchor>
  <xdr:twoCellAnchor editAs="oneCell">
    <xdr:from>
      <xdr:col>12</xdr:col>
      <xdr:colOff>689414</xdr:colOff>
      <xdr:row>314</xdr:row>
      <xdr:rowOff>206244</xdr:rowOff>
    </xdr:from>
    <xdr:to>
      <xdr:col>12</xdr:col>
      <xdr:colOff>1656563</xdr:colOff>
      <xdr:row>314</xdr:row>
      <xdr:rowOff>1177589</xdr:rowOff>
    </xdr:to>
    <xdr:pic>
      <xdr:nvPicPr>
        <xdr:cNvPr id="631" name="Picture 630">
          <a:extLst>
            <a:ext uri="{FF2B5EF4-FFF2-40B4-BE49-F238E27FC236}">
              <a16:creationId xmlns:a16="http://schemas.microsoft.com/office/drawing/2014/main" id="{412933EC-5CE3-35B9-A2A5-495239D727D6}"/>
            </a:ext>
          </a:extLst>
        </xdr:cNvPr>
        <xdr:cNvPicPr>
          <a:picLocks noChangeAspect="1"/>
        </xdr:cNvPicPr>
      </xdr:nvPicPr>
      <xdr:blipFill>
        <a:blip xmlns:r="http://schemas.openxmlformats.org/officeDocument/2006/relationships" r:link="rId307"/>
        <a:stretch>
          <a:fillRect/>
        </a:stretch>
      </xdr:blipFill>
      <xdr:spPr>
        <a:xfrm>
          <a:off x="28457211" y="438188346"/>
          <a:ext cx="967149" cy="971345"/>
        </a:xfrm>
        <a:prstGeom prst="rect">
          <a:avLst/>
        </a:prstGeom>
      </xdr:spPr>
    </xdr:pic>
    <xdr:clientData/>
  </xdr:twoCellAnchor>
  <xdr:twoCellAnchor editAs="oneCell">
    <xdr:from>
      <xdr:col>12</xdr:col>
      <xdr:colOff>689414</xdr:colOff>
      <xdr:row>315</xdr:row>
      <xdr:rowOff>206643</xdr:rowOff>
    </xdr:from>
    <xdr:to>
      <xdr:col>12</xdr:col>
      <xdr:colOff>1656563</xdr:colOff>
      <xdr:row>315</xdr:row>
      <xdr:rowOff>1177395</xdr:rowOff>
    </xdr:to>
    <xdr:pic>
      <xdr:nvPicPr>
        <xdr:cNvPr id="633" name="Picture 632">
          <a:extLst>
            <a:ext uri="{FF2B5EF4-FFF2-40B4-BE49-F238E27FC236}">
              <a16:creationId xmlns:a16="http://schemas.microsoft.com/office/drawing/2014/main" id="{C9F08E10-50DB-0708-4908-BCC124B88895}"/>
            </a:ext>
          </a:extLst>
        </xdr:cNvPr>
        <xdr:cNvPicPr>
          <a:picLocks noChangeAspect="1"/>
        </xdr:cNvPicPr>
      </xdr:nvPicPr>
      <xdr:blipFill>
        <a:blip xmlns:r="http://schemas.openxmlformats.org/officeDocument/2006/relationships" r:link="rId308"/>
        <a:stretch>
          <a:fillRect/>
        </a:stretch>
      </xdr:blipFill>
      <xdr:spPr>
        <a:xfrm>
          <a:off x="28457211" y="439583592"/>
          <a:ext cx="967149" cy="970752"/>
        </a:xfrm>
        <a:prstGeom prst="rect">
          <a:avLst/>
        </a:prstGeom>
      </xdr:spPr>
    </xdr:pic>
    <xdr:clientData/>
  </xdr:twoCellAnchor>
  <xdr:twoCellAnchor editAs="oneCell">
    <xdr:from>
      <xdr:col>12</xdr:col>
      <xdr:colOff>689414</xdr:colOff>
      <xdr:row>316</xdr:row>
      <xdr:rowOff>206653</xdr:rowOff>
    </xdr:from>
    <xdr:to>
      <xdr:col>12</xdr:col>
      <xdr:colOff>1656563</xdr:colOff>
      <xdr:row>316</xdr:row>
      <xdr:rowOff>1177405</xdr:rowOff>
    </xdr:to>
    <xdr:pic>
      <xdr:nvPicPr>
        <xdr:cNvPr id="635" name="Picture 634">
          <a:extLst>
            <a:ext uri="{FF2B5EF4-FFF2-40B4-BE49-F238E27FC236}">
              <a16:creationId xmlns:a16="http://schemas.microsoft.com/office/drawing/2014/main" id="{B095EEB6-5845-975C-080A-8AA0ACEC4AC6}"/>
            </a:ext>
          </a:extLst>
        </xdr:cNvPr>
        <xdr:cNvPicPr>
          <a:picLocks noChangeAspect="1"/>
        </xdr:cNvPicPr>
      </xdr:nvPicPr>
      <xdr:blipFill>
        <a:blip xmlns:r="http://schemas.openxmlformats.org/officeDocument/2006/relationships" r:link="rId309"/>
        <a:stretch>
          <a:fillRect/>
        </a:stretch>
      </xdr:blipFill>
      <xdr:spPr>
        <a:xfrm>
          <a:off x="28457211" y="440978450"/>
          <a:ext cx="967149" cy="970752"/>
        </a:xfrm>
        <a:prstGeom prst="rect">
          <a:avLst/>
        </a:prstGeom>
      </xdr:spPr>
    </xdr:pic>
    <xdr:clientData/>
  </xdr:twoCellAnchor>
  <xdr:twoCellAnchor editAs="oneCell">
    <xdr:from>
      <xdr:col>12</xdr:col>
      <xdr:colOff>689414</xdr:colOff>
      <xdr:row>317</xdr:row>
      <xdr:rowOff>206663</xdr:rowOff>
    </xdr:from>
    <xdr:to>
      <xdr:col>12</xdr:col>
      <xdr:colOff>1656563</xdr:colOff>
      <xdr:row>317</xdr:row>
      <xdr:rowOff>1177415</xdr:rowOff>
    </xdr:to>
    <xdr:pic>
      <xdr:nvPicPr>
        <xdr:cNvPr id="637" name="Picture 636">
          <a:extLst>
            <a:ext uri="{FF2B5EF4-FFF2-40B4-BE49-F238E27FC236}">
              <a16:creationId xmlns:a16="http://schemas.microsoft.com/office/drawing/2014/main" id="{DD1DDEE3-A62B-46F4-0EF4-8BD9F774B6E1}"/>
            </a:ext>
          </a:extLst>
        </xdr:cNvPr>
        <xdr:cNvPicPr>
          <a:picLocks noChangeAspect="1"/>
        </xdr:cNvPicPr>
      </xdr:nvPicPr>
      <xdr:blipFill>
        <a:blip xmlns:r="http://schemas.openxmlformats.org/officeDocument/2006/relationships" r:link="rId310"/>
        <a:stretch>
          <a:fillRect/>
        </a:stretch>
      </xdr:blipFill>
      <xdr:spPr>
        <a:xfrm>
          <a:off x="28457211" y="442373307"/>
          <a:ext cx="967149" cy="970752"/>
        </a:xfrm>
        <a:prstGeom prst="rect">
          <a:avLst/>
        </a:prstGeom>
      </xdr:spPr>
    </xdr:pic>
    <xdr:clientData/>
  </xdr:twoCellAnchor>
  <xdr:twoCellAnchor editAs="oneCell">
    <xdr:from>
      <xdr:col>12</xdr:col>
      <xdr:colOff>689414</xdr:colOff>
      <xdr:row>318</xdr:row>
      <xdr:rowOff>206234</xdr:rowOff>
    </xdr:from>
    <xdr:to>
      <xdr:col>12</xdr:col>
      <xdr:colOff>1656563</xdr:colOff>
      <xdr:row>318</xdr:row>
      <xdr:rowOff>1177579</xdr:rowOff>
    </xdr:to>
    <xdr:pic>
      <xdr:nvPicPr>
        <xdr:cNvPr id="639" name="Picture 638">
          <a:extLst>
            <a:ext uri="{FF2B5EF4-FFF2-40B4-BE49-F238E27FC236}">
              <a16:creationId xmlns:a16="http://schemas.microsoft.com/office/drawing/2014/main" id="{0C227875-7CCB-31BB-4B48-6911B8155EC0}"/>
            </a:ext>
          </a:extLst>
        </xdr:cNvPr>
        <xdr:cNvPicPr>
          <a:picLocks noChangeAspect="1"/>
        </xdr:cNvPicPr>
      </xdr:nvPicPr>
      <xdr:blipFill>
        <a:blip xmlns:r="http://schemas.openxmlformats.org/officeDocument/2006/relationships" r:link="rId311"/>
        <a:stretch>
          <a:fillRect/>
        </a:stretch>
      </xdr:blipFill>
      <xdr:spPr>
        <a:xfrm>
          <a:off x="28457211" y="443767726"/>
          <a:ext cx="967149" cy="971345"/>
        </a:xfrm>
        <a:prstGeom prst="rect">
          <a:avLst/>
        </a:prstGeom>
      </xdr:spPr>
    </xdr:pic>
    <xdr:clientData/>
  </xdr:twoCellAnchor>
  <xdr:twoCellAnchor editAs="oneCell">
    <xdr:from>
      <xdr:col>12</xdr:col>
      <xdr:colOff>689414</xdr:colOff>
      <xdr:row>319</xdr:row>
      <xdr:rowOff>206246</xdr:rowOff>
    </xdr:from>
    <xdr:to>
      <xdr:col>12</xdr:col>
      <xdr:colOff>1656563</xdr:colOff>
      <xdr:row>319</xdr:row>
      <xdr:rowOff>1177590</xdr:rowOff>
    </xdr:to>
    <xdr:pic>
      <xdr:nvPicPr>
        <xdr:cNvPr id="641" name="Picture 640">
          <a:extLst>
            <a:ext uri="{FF2B5EF4-FFF2-40B4-BE49-F238E27FC236}">
              <a16:creationId xmlns:a16="http://schemas.microsoft.com/office/drawing/2014/main" id="{7EEDF6AB-084F-5B3D-F816-78F397295205}"/>
            </a:ext>
          </a:extLst>
        </xdr:cNvPr>
        <xdr:cNvPicPr>
          <a:picLocks noChangeAspect="1"/>
        </xdr:cNvPicPr>
      </xdr:nvPicPr>
      <xdr:blipFill>
        <a:blip xmlns:r="http://schemas.openxmlformats.org/officeDocument/2006/relationships" r:link="rId312"/>
        <a:stretch>
          <a:fillRect/>
        </a:stretch>
      </xdr:blipFill>
      <xdr:spPr>
        <a:xfrm>
          <a:off x="28457211" y="445162585"/>
          <a:ext cx="967149" cy="971344"/>
        </a:xfrm>
        <a:prstGeom prst="rect">
          <a:avLst/>
        </a:prstGeom>
      </xdr:spPr>
    </xdr:pic>
    <xdr:clientData/>
  </xdr:twoCellAnchor>
  <xdr:twoCellAnchor editAs="oneCell">
    <xdr:from>
      <xdr:col>12</xdr:col>
      <xdr:colOff>689414</xdr:colOff>
      <xdr:row>320</xdr:row>
      <xdr:rowOff>206643</xdr:rowOff>
    </xdr:from>
    <xdr:to>
      <xdr:col>12</xdr:col>
      <xdr:colOff>1656563</xdr:colOff>
      <xdr:row>320</xdr:row>
      <xdr:rowOff>1177395</xdr:rowOff>
    </xdr:to>
    <xdr:pic>
      <xdr:nvPicPr>
        <xdr:cNvPr id="643" name="Picture 642">
          <a:extLst>
            <a:ext uri="{FF2B5EF4-FFF2-40B4-BE49-F238E27FC236}">
              <a16:creationId xmlns:a16="http://schemas.microsoft.com/office/drawing/2014/main" id="{2458F0A3-D411-1466-348F-9EAA108ABE0D}"/>
            </a:ext>
          </a:extLst>
        </xdr:cNvPr>
        <xdr:cNvPicPr>
          <a:picLocks noChangeAspect="1"/>
        </xdr:cNvPicPr>
      </xdr:nvPicPr>
      <xdr:blipFill>
        <a:blip xmlns:r="http://schemas.openxmlformats.org/officeDocument/2006/relationships" r:link="rId313"/>
        <a:stretch>
          <a:fillRect/>
        </a:stretch>
      </xdr:blipFill>
      <xdr:spPr>
        <a:xfrm>
          <a:off x="28457211" y="446557829"/>
          <a:ext cx="967149" cy="970752"/>
        </a:xfrm>
        <a:prstGeom prst="rect">
          <a:avLst/>
        </a:prstGeom>
      </xdr:spPr>
    </xdr:pic>
    <xdr:clientData/>
  </xdr:twoCellAnchor>
  <xdr:twoCellAnchor editAs="oneCell">
    <xdr:from>
      <xdr:col>12</xdr:col>
      <xdr:colOff>689414</xdr:colOff>
      <xdr:row>321</xdr:row>
      <xdr:rowOff>206653</xdr:rowOff>
    </xdr:from>
    <xdr:to>
      <xdr:col>12</xdr:col>
      <xdr:colOff>1656563</xdr:colOff>
      <xdr:row>321</xdr:row>
      <xdr:rowOff>1177405</xdr:rowOff>
    </xdr:to>
    <xdr:pic>
      <xdr:nvPicPr>
        <xdr:cNvPr id="645" name="Picture 644">
          <a:extLst>
            <a:ext uri="{FF2B5EF4-FFF2-40B4-BE49-F238E27FC236}">
              <a16:creationId xmlns:a16="http://schemas.microsoft.com/office/drawing/2014/main" id="{4D7F5FE1-5F07-5A53-1F6A-8A2A52A30BDE}"/>
            </a:ext>
          </a:extLst>
        </xdr:cNvPr>
        <xdr:cNvPicPr>
          <a:picLocks noChangeAspect="1"/>
        </xdr:cNvPicPr>
      </xdr:nvPicPr>
      <xdr:blipFill>
        <a:blip xmlns:r="http://schemas.openxmlformats.org/officeDocument/2006/relationships" r:link="rId314"/>
        <a:stretch>
          <a:fillRect/>
        </a:stretch>
      </xdr:blipFill>
      <xdr:spPr>
        <a:xfrm>
          <a:off x="28457211" y="447952687"/>
          <a:ext cx="967149" cy="970752"/>
        </a:xfrm>
        <a:prstGeom prst="rect">
          <a:avLst/>
        </a:prstGeom>
      </xdr:spPr>
    </xdr:pic>
    <xdr:clientData/>
  </xdr:twoCellAnchor>
  <xdr:twoCellAnchor editAs="oneCell">
    <xdr:from>
      <xdr:col>12</xdr:col>
      <xdr:colOff>689414</xdr:colOff>
      <xdr:row>322</xdr:row>
      <xdr:rowOff>206663</xdr:rowOff>
    </xdr:from>
    <xdr:to>
      <xdr:col>12</xdr:col>
      <xdr:colOff>1656563</xdr:colOff>
      <xdr:row>322</xdr:row>
      <xdr:rowOff>1177415</xdr:rowOff>
    </xdr:to>
    <xdr:pic>
      <xdr:nvPicPr>
        <xdr:cNvPr id="647" name="Picture 646">
          <a:extLst>
            <a:ext uri="{FF2B5EF4-FFF2-40B4-BE49-F238E27FC236}">
              <a16:creationId xmlns:a16="http://schemas.microsoft.com/office/drawing/2014/main" id="{78BC5A4A-C1A0-01A1-9F98-A39F4D5DD6C2}"/>
            </a:ext>
          </a:extLst>
        </xdr:cNvPr>
        <xdr:cNvPicPr>
          <a:picLocks noChangeAspect="1"/>
        </xdr:cNvPicPr>
      </xdr:nvPicPr>
      <xdr:blipFill>
        <a:blip xmlns:r="http://schemas.openxmlformats.org/officeDocument/2006/relationships" r:link="rId315"/>
        <a:stretch>
          <a:fillRect/>
        </a:stretch>
      </xdr:blipFill>
      <xdr:spPr>
        <a:xfrm>
          <a:off x="28457211" y="449347544"/>
          <a:ext cx="967149" cy="970752"/>
        </a:xfrm>
        <a:prstGeom prst="rect">
          <a:avLst/>
        </a:prstGeom>
      </xdr:spPr>
    </xdr:pic>
    <xdr:clientData/>
  </xdr:twoCellAnchor>
  <xdr:twoCellAnchor editAs="oneCell">
    <xdr:from>
      <xdr:col>12</xdr:col>
      <xdr:colOff>689414</xdr:colOff>
      <xdr:row>323</xdr:row>
      <xdr:rowOff>206234</xdr:rowOff>
    </xdr:from>
    <xdr:to>
      <xdr:col>12</xdr:col>
      <xdr:colOff>1656563</xdr:colOff>
      <xdr:row>323</xdr:row>
      <xdr:rowOff>1177579</xdr:rowOff>
    </xdr:to>
    <xdr:pic>
      <xdr:nvPicPr>
        <xdr:cNvPr id="649" name="Picture 648">
          <a:extLst>
            <a:ext uri="{FF2B5EF4-FFF2-40B4-BE49-F238E27FC236}">
              <a16:creationId xmlns:a16="http://schemas.microsoft.com/office/drawing/2014/main" id="{A554D9FF-18F9-29C4-6595-B22766020C5E}"/>
            </a:ext>
          </a:extLst>
        </xdr:cNvPr>
        <xdr:cNvPicPr>
          <a:picLocks noChangeAspect="1"/>
        </xdr:cNvPicPr>
      </xdr:nvPicPr>
      <xdr:blipFill>
        <a:blip xmlns:r="http://schemas.openxmlformats.org/officeDocument/2006/relationships" r:link="rId316"/>
        <a:stretch>
          <a:fillRect/>
        </a:stretch>
      </xdr:blipFill>
      <xdr:spPr>
        <a:xfrm>
          <a:off x="28457211" y="450741963"/>
          <a:ext cx="967149" cy="971345"/>
        </a:xfrm>
        <a:prstGeom prst="rect">
          <a:avLst/>
        </a:prstGeom>
      </xdr:spPr>
    </xdr:pic>
    <xdr:clientData/>
  </xdr:twoCellAnchor>
  <xdr:twoCellAnchor editAs="oneCell">
    <xdr:from>
      <xdr:col>12</xdr:col>
      <xdr:colOff>689414</xdr:colOff>
      <xdr:row>324</xdr:row>
      <xdr:rowOff>206246</xdr:rowOff>
    </xdr:from>
    <xdr:to>
      <xdr:col>12</xdr:col>
      <xdr:colOff>1656563</xdr:colOff>
      <xdr:row>324</xdr:row>
      <xdr:rowOff>1177590</xdr:rowOff>
    </xdr:to>
    <xdr:pic>
      <xdr:nvPicPr>
        <xdr:cNvPr id="651" name="Picture 650">
          <a:extLst>
            <a:ext uri="{FF2B5EF4-FFF2-40B4-BE49-F238E27FC236}">
              <a16:creationId xmlns:a16="http://schemas.microsoft.com/office/drawing/2014/main" id="{138AE964-3184-5C43-A8F1-B9102FE193D9}"/>
            </a:ext>
          </a:extLst>
        </xdr:cNvPr>
        <xdr:cNvPicPr>
          <a:picLocks noChangeAspect="1"/>
        </xdr:cNvPicPr>
      </xdr:nvPicPr>
      <xdr:blipFill>
        <a:blip xmlns:r="http://schemas.openxmlformats.org/officeDocument/2006/relationships" r:link="rId317"/>
        <a:stretch>
          <a:fillRect/>
        </a:stretch>
      </xdr:blipFill>
      <xdr:spPr>
        <a:xfrm>
          <a:off x="28457211" y="452136822"/>
          <a:ext cx="967149" cy="971344"/>
        </a:xfrm>
        <a:prstGeom prst="rect">
          <a:avLst/>
        </a:prstGeom>
      </xdr:spPr>
    </xdr:pic>
    <xdr:clientData/>
  </xdr:twoCellAnchor>
  <xdr:twoCellAnchor editAs="oneCell">
    <xdr:from>
      <xdr:col>12</xdr:col>
      <xdr:colOff>689414</xdr:colOff>
      <xdr:row>325</xdr:row>
      <xdr:rowOff>206643</xdr:rowOff>
    </xdr:from>
    <xdr:to>
      <xdr:col>12</xdr:col>
      <xdr:colOff>1656563</xdr:colOff>
      <xdr:row>325</xdr:row>
      <xdr:rowOff>1177395</xdr:rowOff>
    </xdr:to>
    <xdr:pic>
      <xdr:nvPicPr>
        <xdr:cNvPr id="653" name="Picture 652">
          <a:extLst>
            <a:ext uri="{FF2B5EF4-FFF2-40B4-BE49-F238E27FC236}">
              <a16:creationId xmlns:a16="http://schemas.microsoft.com/office/drawing/2014/main" id="{C8DE224B-1478-69CD-FBD1-E0BEA5074A22}"/>
            </a:ext>
          </a:extLst>
        </xdr:cNvPr>
        <xdr:cNvPicPr>
          <a:picLocks noChangeAspect="1"/>
        </xdr:cNvPicPr>
      </xdr:nvPicPr>
      <xdr:blipFill>
        <a:blip xmlns:r="http://schemas.openxmlformats.org/officeDocument/2006/relationships" r:link="rId318"/>
        <a:stretch>
          <a:fillRect/>
        </a:stretch>
      </xdr:blipFill>
      <xdr:spPr>
        <a:xfrm>
          <a:off x="28457211" y="453532067"/>
          <a:ext cx="967149" cy="970752"/>
        </a:xfrm>
        <a:prstGeom prst="rect">
          <a:avLst/>
        </a:prstGeom>
      </xdr:spPr>
    </xdr:pic>
    <xdr:clientData/>
  </xdr:twoCellAnchor>
  <xdr:twoCellAnchor editAs="oneCell">
    <xdr:from>
      <xdr:col>12</xdr:col>
      <xdr:colOff>689414</xdr:colOff>
      <xdr:row>326</xdr:row>
      <xdr:rowOff>206653</xdr:rowOff>
    </xdr:from>
    <xdr:to>
      <xdr:col>12</xdr:col>
      <xdr:colOff>1656563</xdr:colOff>
      <xdr:row>326</xdr:row>
      <xdr:rowOff>1177405</xdr:rowOff>
    </xdr:to>
    <xdr:pic>
      <xdr:nvPicPr>
        <xdr:cNvPr id="655" name="Picture 654">
          <a:extLst>
            <a:ext uri="{FF2B5EF4-FFF2-40B4-BE49-F238E27FC236}">
              <a16:creationId xmlns:a16="http://schemas.microsoft.com/office/drawing/2014/main" id="{9067A29F-68C7-E96D-859F-1BAF4179724F}"/>
            </a:ext>
          </a:extLst>
        </xdr:cNvPr>
        <xdr:cNvPicPr>
          <a:picLocks noChangeAspect="1"/>
        </xdr:cNvPicPr>
      </xdr:nvPicPr>
      <xdr:blipFill>
        <a:blip xmlns:r="http://schemas.openxmlformats.org/officeDocument/2006/relationships" r:link="rId319"/>
        <a:stretch>
          <a:fillRect/>
        </a:stretch>
      </xdr:blipFill>
      <xdr:spPr>
        <a:xfrm>
          <a:off x="28457211" y="454926924"/>
          <a:ext cx="967149" cy="970752"/>
        </a:xfrm>
        <a:prstGeom prst="rect">
          <a:avLst/>
        </a:prstGeom>
      </xdr:spPr>
    </xdr:pic>
    <xdr:clientData/>
  </xdr:twoCellAnchor>
  <xdr:twoCellAnchor editAs="oneCell">
    <xdr:from>
      <xdr:col>12</xdr:col>
      <xdr:colOff>689414</xdr:colOff>
      <xdr:row>327</xdr:row>
      <xdr:rowOff>206663</xdr:rowOff>
    </xdr:from>
    <xdr:to>
      <xdr:col>12</xdr:col>
      <xdr:colOff>1656563</xdr:colOff>
      <xdr:row>327</xdr:row>
      <xdr:rowOff>1177415</xdr:rowOff>
    </xdr:to>
    <xdr:pic>
      <xdr:nvPicPr>
        <xdr:cNvPr id="657" name="Picture 656">
          <a:extLst>
            <a:ext uri="{FF2B5EF4-FFF2-40B4-BE49-F238E27FC236}">
              <a16:creationId xmlns:a16="http://schemas.microsoft.com/office/drawing/2014/main" id="{DC65A270-8D79-34B7-D252-180782661E66}"/>
            </a:ext>
          </a:extLst>
        </xdr:cNvPr>
        <xdr:cNvPicPr>
          <a:picLocks noChangeAspect="1"/>
        </xdr:cNvPicPr>
      </xdr:nvPicPr>
      <xdr:blipFill>
        <a:blip xmlns:r="http://schemas.openxmlformats.org/officeDocument/2006/relationships" r:link="rId320"/>
        <a:stretch>
          <a:fillRect/>
        </a:stretch>
      </xdr:blipFill>
      <xdr:spPr>
        <a:xfrm>
          <a:off x="28457211" y="456321782"/>
          <a:ext cx="967149" cy="970752"/>
        </a:xfrm>
        <a:prstGeom prst="rect">
          <a:avLst/>
        </a:prstGeom>
      </xdr:spPr>
    </xdr:pic>
    <xdr:clientData/>
  </xdr:twoCellAnchor>
  <xdr:twoCellAnchor editAs="oneCell">
    <xdr:from>
      <xdr:col>12</xdr:col>
      <xdr:colOff>689414</xdr:colOff>
      <xdr:row>328</xdr:row>
      <xdr:rowOff>206236</xdr:rowOff>
    </xdr:from>
    <xdr:to>
      <xdr:col>12</xdr:col>
      <xdr:colOff>1656563</xdr:colOff>
      <xdr:row>328</xdr:row>
      <xdr:rowOff>1177580</xdr:rowOff>
    </xdr:to>
    <xdr:pic>
      <xdr:nvPicPr>
        <xdr:cNvPr id="659" name="Picture 658">
          <a:extLst>
            <a:ext uri="{FF2B5EF4-FFF2-40B4-BE49-F238E27FC236}">
              <a16:creationId xmlns:a16="http://schemas.microsoft.com/office/drawing/2014/main" id="{86886930-0AE0-20A0-0D5B-2536A1AAEB52}"/>
            </a:ext>
          </a:extLst>
        </xdr:cNvPr>
        <xdr:cNvPicPr>
          <a:picLocks noChangeAspect="1"/>
        </xdr:cNvPicPr>
      </xdr:nvPicPr>
      <xdr:blipFill>
        <a:blip xmlns:r="http://schemas.openxmlformats.org/officeDocument/2006/relationships" r:link="rId321"/>
        <a:stretch>
          <a:fillRect/>
        </a:stretch>
      </xdr:blipFill>
      <xdr:spPr>
        <a:xfrm>
          <a:off x="28457211" y="457716202"/>
          <a:ext cx="967149" cy="971344"/>
        </a:xfrm>
        <a:prstGeom prst="rect">
          <a:avLst/>
        </a:prstGeom>
      </xdr:spPr>
    </xdr:pic>
    <xdr:clientData/>
  </xdr:twoCellAnchor>
  <xdr:twoCellAnchor editAs="oneCell">
    <xdr:from>
      <xdr:col>12</xdr:col>
      <xdr:colOff>689414</xdr:colOff>
      <xdr:row>329</xdr:row>
      <xdr:rowOff>206244</xdr:rowOff>
    </xdr:from>
    <xdr:to>
      <xdr:col>12</xdr:col>
      <xdr:colOff>1656563</xdr:colOff>
      <xdr:row>329</xdr:row>
      <xdr:rowOff>1177589</xdr:rowOff>
    </xdr:to>
    <xdr:pic>
      <xdr:nvPicPr>
        <xdr:cNvPr id="661" name="Picture 660">
          <a:extLst>
            <a:ext uri="{FF2B5EF4-FFF2-40B4-BE49-F238E27FC236}">
              <a16:creationId xmlns:a16="http://schemas.microsoft.com/office/drawing/2014/main" id="{54ACF2CA-6B22-BD30-AD07-DFAF33CECA50}"/>
            </a:ext>
          </a:extLst>
        </xdr:cNvPr>
        <xdr:cNvPicPr>
          <a:picLocks noChangeAspect="1"/>
        </xdr:cNvPicPr>
      </xdr:nvPicPr>
      <xdr:blipFill>
        <a:blip xmlns:r="http://schemas.openxmlformats.org/officeDocument/2006/relationships" r:link="rId322"/>
        <a:stretch>
          <a:fillRect/>
        </a:stretch>
      </xdr:blipFill>
      <xdr:spPr>
        <a:xfrm>
          <a:off x="28457211" y="459111058"/>
          <a:ext cx="967149" cy="971345"/>
        </a:xfrm>
        <a:prstGeom prst="rect">
          <a:avLst/>
        </a:prstGeom>
      </xdr:spPr>
    </xdr:pic>
    <xdr:clientData/>
  </xdr:twoCellAnchor>
  <xdr:twoCellAnchor editAs="oneCell">
    <xdr:from>
      <xdr:col>12</xdr:col>
      <xdr:colOff>689414</xdr:colOff>
      <xdr:row>330</xdr:row>
      <xdr:rowOff>206643</xdr:rowOff>
    </xdr:from>
    <xdr:to>
      <xdr:col>12</xdr:col>
      <xdr:colOff>1656563</xdr:colOff>
      <xdr:row>330</xdr:row>
      <xdr:rowOff>1177395</xdr:rowOff>
    </xdr:to>
    <xdr:pic>
      <xdr:nvPicPr>
        <xdr:cNvPr id="663" name="Picture 662">
          <a:extLst>
            <a:ext uri="{FF2B5EF4-FFF2-40B4-BE49-F238E27FC236}">
              <a16:creationId xmlns:a16="http://schemas.microsoft.com/office/drawing/2014/main" id="{CF7888B6-DB5F-310D-D86A-6773A0CA0AD5}"/>
            </a:ext>
          </a:extLst>
        </xdr:cNvPr>
        <xdr:cNvPicPr>
          <a:picLocks noChangeAspect="1"/>
        </xdr:cNvPicPr>
      </xdr:nvPicPr>
      <xdr:blipFill>
        <a:blip xmlns:r="http://schemas.openxmlformats.org/officeDocument/2006/relationships" r:link="rId323"/>
        <a:stretch>
          <a:fillRect/>
        </a:stretch>
      </xdr:blipFill>
      <xdr:spPr>
        <a:xfrm>
          <a:off x="28457211" y="460506304"/>
          <a:ext cx="967149" cy="970752"/>
        </a:xfrm>
        <a:prstGeom prst="rect">
          <a:avLst/>
        </a:prstGeom>
      </xdr:spPr>
    </xdr:pic>
    <xdr:clientData/>
  </xdr:twoCellAnchor>
  <xdr:twoCellAnchor editAs="oneCell">
    <xdr:from>
      <xdr:col>12</xdr:col>
      <xdr:colOff>689414</xdr:colOff>
      <xdr:row>331</xdr:row>
      <xdr:rowOff>206653</xdr:rowOff>
    </xdr:from>
    <xdr:to>
      <xdr:col>12</xdr:col>
      <xdr:colOff>1656563</xdr:colOff>
      <xdr:row>331</xdr:row>
      <xdr:rowOff>1177405</xdr:rowOff>
    </xdr:to>
    <xdr:pic>
      <xdr:nvPicPr>
        <xdr:cNvPr id="665" name="Picture 664">
          <a:extLst>
            <a:ext uri="{FF2B5EF4-FFF2-40B4-BE49-F238E27FC236}">
              <a16:creationId xmlns:a16="http://schemas.microsoft.com/office/drawing/2014/main" id="{0A6805C3-014D-7D05-97C4-6C2BD2C27150}"/>
            </a:ext>
          </a:extLst>
        </xdr:cNvPr>
        <xdr:cNvPicPr>
          <a:picLocks noChangeAspect="1"/>
        </xdr:cNvPicPr>
      </xdr:nvPicPr>
      <xdr:blipFill>
        <a:blip xmlns:r="http://schemas.openxmlformats.org/officeDocument/2006/relationships" r:link="rId324"/>
        <a:stretch>
          <a:fillRect/>
        </a:stretch>
      </xdr:blipFill>
      <xdr:spPr>
        <a:xfrm>
          <a:off x="28457211" y="461901161"/>
          <a:ext cx="967149" cy="970752"/>
        </a:xfrm>
        <a:prstGeom prst="rect">
          <a:avLst/>
        </a:prstGeom>
      </xdr:spPr>
    </xdr:pic>
    <xdr:clientData/>
  </xdr:twoCellAnchor>
  <xdr:twoCellAnchor editAs="oneCell">
    <xdr:from>
      <xdr:col>12</xdr:col>
      <xdr:colOff>689414</xdr:colOff>
      <xdr:row>332</xdr:row>
      <xdr:rowOff>206663</xdr:rowOff>
    </xdr:from>
    <xdr:to>
      <xdr:col>12</xdr:col>
      <xdr:colOff>1656563</xdr:colOff>
      <xdr:row>332</xdr:row>
      <xdr:rowOff>1177415</xdr:rowOff>
    </xdr:to>
    <xdr:pic>
      <xdr:nvPicPr>
        <xdr:cNvPr id="667" name="Picture 666">
          <a:extLst>
            <a:ext uri="{FF2B5EF4-FFF2-40B4-BE49-F238E27FC236}">
              <a16:creationId xmlns:a16="http://schemas.microsoft.com/office/drawing/2014/main" id="{88DB283E-0D59-C4C6-5F88-6ED6AC76A28D}"/>
            </a:ext>
          </a:extLst>
        </xdr:cNvPr>
        <xdr:cNvPicPr>
          <a:picLocks noChangeAspect="1"/>
        </xdr:cNvPicPr>
      </xdr:nvPicPr>
      <xdr:blipFill>
        <a:blip xmlns:r="http://schemas.openxmlformats.org/officeDocument/2006/relationships" r:link="rId325"/>
        <a:stretch>
          <a:fillRect/>
        </a:stretch>
      </xdr:blipFill>
      <xdr:spPr>
        <a:xfrm>
          <a:off x="28457211" y="463296019"/>
          <a:ext cx="967149" cy="970752"/>
        </a:xfrm>
        <a:prstGeom prst="rect">
          <a:avLst/>
        </a:prstGeom>
      </xdr:spPr>
    </xdr:pic>
    <xdr:clientData/>
  </xdr:twoCellAnchor>
  <xdr:twoCellAnchor editAs="oneCell">
    <xdr:from>
      <xdr:col>12</xdr:col>
      <xdr:colOff>689414</xdr:colOff>
      <xdr:row>333</xdr:row>
      <xdr:rowOff>206236</xdr:rowOff>
    </xdr:from>
    <xdr:to>
      <xdr:col>12</xdr:col>
      <xdr:colOff>1656563</xdr:colOff>
      <xdr:row>333</xdr:row>
      <xdr:rowOff>1177580</xdr:rowOff>
    </xdr:to>
    <xdr:pic>
      <xdr:nvPicPr>
        <xdr:cNvPr id="669" name="Picture 668">
          <a:extLst>
            <a:ext uri="{FF2B5EF4-FFF2-40B4-BE49-F238E27FC236}">
              <a16:creationId xmlns:a16="http://schemas.microsoft.com/office/drawing/2014/main" id="{646158D3-2EE2-362C-4BBE-1AC82B48CF5B}"/>
            </a:ext>
          </a:extLst>
        </xdr:cNvPr>
        <xdr:cNvPicPr>
          <a:picLocks noChangeAspect="1"/>
        </xdr:cNvPicPr>
      </xdr:nvPicPr>
      <xdr:blipFill>
        <a:blip xmlns:r="http://schemas.openxmlformats.org/officeDocument/2006/relationships" r:link="rId326"/>
        <a:stretch>
          <a:fillRect/>
        </a:stretch>
      </xdr:blipFill>
      <xdr:spPr>
        <a:xfrm>
          <a:off x="28457211" y="464690439"/>
          <a:ext cx="967149" cy="971344"/>
        </a:xfrm>
        <a:prstGeom prst="rect">
          <a:avLst/>
        </a:prstGeom>
      </xdr:spPr>
    </xdr:pic>
    <xdr:clientData/>
  </xdr:twoCellAnchor>
  <xdr:twoCellAnchor editAs="oneCell">
    <xdr:from>
      <xdr:col>12</xdr:col>
      <xdr:colOff>689414</xdr:colOff>
      <xdr:row>334</xdr:row>
      <xdr:rowOff>206244</xdr:rowOff>
    </xdr:from>
    <xdr:to>
      <xdr:col>12</xdr:col>
      <xdr:colOff>1656563</xdr:colOff>
      <xdr:row>334</xdr:row>
      <xdr:rowOff>1177589</xdr:rowOff>
    </xdr:to>
    <xdr:pic>
      <xdr:nvPicPr>
        <xdr:cNvPr id="671" name="Picture 670">
          <a:extLst>
            <a:ext uri="{FF2B5EF4-FFF2-40B4-BE49-F238E27FC236}">
              <a16:creationId xmlns:a16="http://schemas.microsoft.com/office/drawing/2014/main" id="{039A143D-DE23-EADE-5336-4EBC51C20244}"/>
            </a:ext>
          </a:extLst>
        </xdr:cNvPr>
        <xdr:cNvPicPr>
          <a:picLocks noChangeAspect="1"/>
        </xdr:cNvPicPr>
      </xdr:nvPicPr>
      <xdr:blipFill>
        <a:blip xmlns:r="http://schemas.openxmlformats.org/officeDocument/2006/relationships" r:link="rId327"/>
        <a:stretch>
          <a:fillRect/>
        </a:stretch>
      </xdr:blipFill>
      <xdr:spPr>
        <a:xfrm>
          <a:off x="28457211" y="466085295"/>
          <a:ext cx="967149" cy="971345"/>
        </a:xfrm>
        <a:prstGeom prst="rect">
          <a:avLst/>
        </a:prstGeom>
      </xdr:spPr>
    </xdr:pic>
    <xdr:clientData/>
  </xdr:twoCellAnchor>
  <xdr:twoCellAnchor editAs="oneCell">
    <xdr:from>
      <xdr:col>12</xdr:col>
      <xdr:colOff>689414</xdr:colOff>
      <xdr:row>335</xdr:row>
      <xdr:rowOff>206643</xdr:rowOff>
    </xdr:from>
    <xdr:to>
      <xdr:col>12</xdr:col>
      <xdr:colOff>1656563</xdr:colOff>
      <xdr:row>335</xdr:row>
      <xdr:rowOff>1177395</xdr:rowOff>
    </xdr:to>
    <xdr:pic>
      <xdr:nvPicPr>
        <xdr:cNvPr id="673" name="Picture 672">
          <a:extLst>
            <a:ext uri="{FF2B5EF4-FFF2-40B4-BE49-F238E27FC236}">
              <a16:creationId xmlns:a16="http://schemas.microsoft.com/office/drawing/2014/main" id="{F1CD0F02-729F-4592-3802-FDD3A34D15E7}"/>
            </a:ext>
          </a:extLst>
        </xdr:cNvPr>
        <xdr:cNvPicPr>
          <a:picLocks noChangeAspect="1"/>
        </xdr:cNvPicPr>
      </xdr:nvPicPr>
      <xdr:blipFill>
        <a:blip xmlns:r="http://schemas.openxmlformats.org/officeDocument/2006/relationships" r:link="rId328"/>
        <a:stretch>
          <a:fillRect/>
        </a:stretch>
      </xdr:blipFill>
      <xdr:spPr>
        <a:xfrm>
          <a:off x="28457211" y="467480541"/>
          <a:ext cx="967149" cy="970752"/>
        </a:xfrm>
        <a:prstGeom prst="rect">
          <a:avLst/>
        </a:prstGeom>
      </xdr:spPr>
    </xdr:pic>
    <xdr:clientData/>
  </xdr:twoCellAnchor>
  <xdr:twoCellAnchor editAs="oneCell">
    <xdr:from>
      <xdr:col>12</xdr:col>
      <xdr:colOff>689414</xdr:colOff>
      <xdr:row>336</xdr:row>
      <xdr:rowOff>206653</xdr:rowOff>
    </xdr:from>
    <xdr:to>
      <xdr:col>12</xdr:col>
      <xdr:colOff>1656563</xdr:colOff>
      <xdr:row>336</xdr:row>
      <xdr:rowOff>1177405</xdr:rowOff>
    </xdr:to>
    <xdr:pic>
      <xdr:nvPicPr>
        <xdr:cNvPr id="675" name="Picture 674">
          <a:extLst>
            <a:ext uri="{FF2B5EF4-FFF2-40B4-BE49-F238E27FC236}">
              <a16:creationId xmlns:a16="http://schemas.microsoft.com/office/drawing/2014/main" id="{60C22D10-62A4-5A31-9261-C42DA20952C4}"/>
            </a:ext>
          </a:extLst>
        </xdr:cNvPr>
        <xdr:cNvPicPr>
          <a:picLocks noChangeAspect="1"/>
        </xdr:cNvPicPr>
      </xdr:nvPicPr>
      <xdr:blipFill>
        <a:blip xmlns:r="http://schemas.openxmlformats.org/officeDocument/2006/relationships" r:link="rId329"/>
        <a:stretch>
          <a:fillRect/>
        </a:stretch>
      </xdr:blipFill>
      <xdr:spPr>
        <a:xfrm>
          <a:off x="28457211" y="468875399"/>
          <a:ext cx="967149" cy="970752"/>
        </a:xfrm>
        <a:prstGeom prst="rect">
          <a:avLst/>
        </a:prstGeom>
      </xdr:spPr>
    </xdr:pic>
    <xdr:clientData/>
  </xdr:twoCellAnchor>
  <xdr:twoCellAnchor editAs="oneCell">
    <xdr:from>
      <xdr:col>12</xdr:col>
      <xdr:colOff>689414</xdr:colOff>
      <xdr:row>337</xdr:row>
      <xdr:rowOff>206663</xdr:rowOff>
    </xdr:from>
    <xdr:to>
      <xdr:col>12</xdr:col>
      <xdr:colOff>1656563</xdr:colOff>
      <xdr:row>337</xdr:row>
      <xdr:rowOff>1177415</xdr:rowOff>
    </xdr:to>
    <xdr:pic>
      <xdr:nvPicPr>
        <xdr:cNvPr id="677" name="Picture 676">
          <a:extLst>
            <a:ext uri="{FF2B5EF4-FFF2-40B4-BE49-F238E27FC236}">
              <a16:creationId xmlns:a16="http://schemas.microsoft.com/office/drawing/2014/main" id="{61EC6D9A-4CC8-2104-10A2-40D318A88A71}"/>
            </a:ext>
          </a:extLst>
        </xdr:cNvPr>
        <xdr:cNvPicPr>
          <a:picLocks noChangeAspect="1"/>
        </xdr:cNvPicPr>
      </xdr:nvPicPr>
      <xdr:blipFill>
        <a:blip xmlns:r="http://schemas.openxmlformats.org/officeDocument/2006/relationships" r:link="rId330"/>
        <a:stretch>
          <a:fillRect/>
        </a:stretch>
      </xdr:blipFill>
      <xdr:spPr>
        <a:xfrm>
          <a:off x="28457211" y="470270256"/>
          <a:ext cx="967149" cy="970752"/>
        </a:xfrm>
        <a:prstGeom prst="rect">
          <a:avLst/>
        </a:prstGeom>
      </xdr:spPr>
    </xdr:pic>
    <xdr:clientData/>
  </xdr:twoCellAnchor>
  <xdr:twoCellAnchor editAs="oneCell">
    <xdr:from>
      <xdr:col>12</xdr:col>
      <xdr:colOff>689414</xdr:colOff>
      <xdr:row>338</xdr:row>
      <xdr:rowOff>206234</xdr:rowOff>
    </xdr:from>
    <xdr:to>
      <xdr:col>12</xdr:col>
      <xdr:colOff>1656563</xdr:colOff>
      <xdr:row>338</xdr:row>
      <xdr:rowOff>1177579</xdr:rowOff>
    </xdr:to>
    <xdr:pic>
      <xdr:nvPicPr>
        <xdr:cNvPr id="679" name="Picture 678">
          <a:extLst>
            <a:ext uri="{FF2B5EF4-FFF2-40B4-BE49-F238E27FC236}">
              <a16:creationId xmlns:a16="http://schemas.microsoft.com/office/drawing/2014/main" id="{9EA98E8E-CF41-DA29-91BA-96350659201A}"/>
            </a:ext>
          </a:extLst>
        </xdr:cNvPr>
        <xdr:cNvPicPr>
          <a:picLocks noChangeAspect="1"/>
        </xdr:cNvPicPr>
      </xdr:nvPicPr>
      <xdr:blipFill>
        <a:blip xmlns:r="http://schemas.openxmlformats.org/officeDocument/2006/relationships" r:link="rId331"/>
        <a:stretch>
          <a:fillRect/>
        </a:stretch>
      </xdr:blipFill>
      <xdr:spPr>
        <a:xfrm>
          <a:off x="28457211" y="471664675"/>
          <a:ext cx="967149" cy="971345"/>
        </a:xfrm>
        <a:prstGeom prst="rect">
          <a:avLst/>
        </a:prstGeom>
      </xdr:spPr>
    </xdr:pic>
    <xdr:clientData/>
  </xdr:twoCellAnchor>
  <xdr:twoCellAnchor editAs="oneCell">
    <xdr:from>
      <xdr:col>12</xdr:col>
      <xdr:colOff>689414</xdr:colOff>
      <xdr:row>339</xdr:row>
      <xdr:rowOff>206246</xdr:rowOff>
    </xdr:from>
    <xdr:to>
      <xdr:col>12</xdr:col>
      <xdr:colOff>1656563</xdr:colOff>
      <xdr:row>339</xdr:row>
      <xdr:rowOff>1177590</xdr:rowOff>
    </xdr:to>
    <xdr:pic>
      <xdr:nvPicPr>
        <xdr:cNvPr id="681" name="Picture 680">
          <a:extLst>
            <a:ext uri="{FF2B5EF4-FFF2-40B4-BE49-F238E27FC236}">
              <a16:creationId xmlns:a16="http://schemas.microsoft.com/office/drawing/2014/main" id="{0AB62773-455B-23C7-AF8E-6D4A6087B2EF}"/>
            </a:ext>
          </a:extLst>
        </xdr:cNvPr>
        <xdr:cNvPicPr>
          <a:picLocks noChangeAspect="1"/>
        </xdr:cNvPicPr>
      </xdr:nvPicPr>
      <xdr:blipFill>
        <a:blip xmlns:r="http://schemas.openxmlformats.org/officeDocument/2006/relationships" r:link="rId332"/>
        <a:stretch>
          <a:fillRect/>
        </a:stretch>
      </xdr:blipFill>
      <xdr:spPr>
        <a:xfrm>
          <a:off x="28457211" y="473059534"/>
          <a:ext cx="967149" cy="971344"/>
        </a:xfrm>
        <a:prstGeom prst="rect">
          <a:avLst/>
        </a:prstGeom>
      </xdr:spPr>
    </xdr:pic>
    <xdr:clientData/>
  </xdr:twoCellAnchor>
  <xdr:twoCellAnchor editAs="oneCell">
    <xdr:from>
      <xdr:col>12</xdr:col>
      <xdr:colOff>689414</xdr:colOff>
      <xdr:row>340</xdr:row>
      <xdr:rowOff>206643</xdr:rowOff>
    </xdr:from>
    <xdr:to>
      <xdr:col>12</xdr:col>
      <xdr:colOff>1656563</xdr:colOff>
      <xdr:row>340</xdr:row>
      <xdr:rowOff>1177395</xdr:rowOff>
    </xdr:to>
    <xdr:pic>
      <xdr:nvPicPr>
        <xdr:cNvPr id="683" name="Picture 682">
          <a:extLst>
            <a:ext uri="{FF2B5EF4-FFF2-40B4-BE49-F238E27FC236}">
              <a16:creationId xmlns:a16="http://schemas.microsoft.com/office/drawing/2014/main" id="{094ECD29-C2CF-F59E-4C99-2A2165E846EF}"/>
            </a:ext>
          </a:extLst>
        </xdr:cNvPr>
        <xdr:cNvPicPr>
          <a:picLocks noChangeAspect="1"/>
        </xdr:cNvPicPr>
      </xdr:nvPicPr>
      <xdr:blipFill>
        <a:blip xmlns:r="http://schemas.openxmlformats.org/officeDocument/2006/relationships" r:link="rId333"/>
        <a:stretch>
          <a:fillRect/>
        </a:stretch>
      </xdr:blipFill>
      <xdr:spPr>
        <a:xfrm>
          <a:off x="28457211" y="474454779"/>
          <a:ext cx="967149" cy="970752"/>
        </a:xfrm>
        <a:prstGeom prst="rect">
          <a:avLst/>
        </a:prstGeom>
      </xdr:spPr>
    </xdr:pic>
    <xdr:clientData/>
  </xdr:twoCellAnchor>
  <xdr:twoCellAnchor editAs="oneCell">
    <xdr:from>
      <xdr:col>12</xdr:col>
      <xdr:colOff>689414</xdr:colOff>
      <xdr:row>341</xdr:row>
      <xdr:rowOff>206653</xdr:rowOff>
    </xdr:from>
    <xdr:to>
      <xdr:col>12</xdr:col>
      <xdr:colOff>1656563</xdr:colOff>
      <xdr:row>341</xdr:row>
      <xdr:rowOff>1177405</xdr:rowOff>
    </xdr:to>
    <xdr:pic>
      <xdr:nvPicPr>
        <xdr:cNvPr id="685" name="Picture 684">
          <a:extLst>
            <a:ext uri="{FF2B5EF4-FFF2-40B4-BE49-F238E27FC236}">
              <a16:creationId xmlns:a16="http://schemas.microsoft.com/office/drawing/2014/main" id="{081C9B9A-9A85-3435-4315-128F5A3A9678}"/>
            </a:ext>
          </a:extLst>
        </xdr:cNvPr>
        <xdr:cNvPicPr>
          <a:picLocks noChangeAspect="1"/>
        </xdr:cNvPicPr>
      </xdr:nvPicPr>
      <xdr:blipFill>
        <a:blip xmlns:r="http://schemas.openxmlformats.org/officeDocument/2006/relationships" r:link="rId334"/>
        <a:stretch>
          <a:fillRect/>
        </a:stretch>
      </xdr:blipFill>
      <xdr:spPr>
        <a:xfrm>
          <a:off x="28457211" y="475849636"/>
          <a:ext cx="967149" cy="970752"/>
        </a:xfrm>
        <a:prstGeom prst="rect">
          <a:avLst/>
        </a:prstGeom>
      </xdr:spPr>
    </xdr:pic>
    <xdr:clientData/>
  </xdr:twoCellAnchor>
  <xdr:twoCellAnchor editAs="oneCell">
    <xdr:from>
      <xdr:col>12</xdr:col>
      <xdr:colOff>689414</xdr:colOff>
      <xdr:row>342</xdr:row>
      <xdr:rowOff>206663</xdr:rowOff>
    </xdr:from>
    <xdr:to>
      <xdr:col>12</xdr:col>
      <xdr:colOff>1656563</xdr:colOff>
      <xdr:row>342</xdr:row>
      <xdr:rowOff>1177415</xdr:rowOff>
    </xdr:to>
    <xdr:pic>
      <xdr:nvPicPr>
        <xdr:cNvPr id="687" name="Picture 686">
          <a:extLst>
            <a:ext uri="{FF2B5EF4-FFF2-40B4-BE49-F238E27FC236}">
              <a16:creationId xmlns:a16="http://schemas.microsoft.com/office/drawing/2014/main" id="{44628C8E-7B53-283A-0436-3878ECC885F0}"/>
            </a:ext>
          </a:extLst>
        </xdr:cNvPr>
        <xdr:cNvPicPr>
          <a:picLocks noChangeAspect="1"/>
        </xdr:cNvPicPr>
      </xdr:nvPicPr>
      <xdr:blipFill>
        <a:blip xmlns:r="http://schemas.openxmlformats.org/officeDocument/2006/relationships" r:link="rId335"/>
        <a:stretch>
          <a:fillRect/>
        </a:stretch>
      </xdr:blipFill>
      <xdr:spPr>
        <a:xfrm>
          <a:off x="28457211" y="477244494"/>
          <a:ext cx="967149" cy="970752"/>
        </a:xfrm>
        <a:prstGeom prst="rect">
          <a:avLst/>
        </a:prstGeom>
      </xdr:spPr>
    </xdr:pic>
    <xdr:clientData/>
  </xdr:twoCellAnchor>
  <xdr:twoCellAnchor editAs="oneCell">
    <xdr:from>
      <xdr:col>12</xdr:col>
      <xdr:colOff>689414</xdr:colOff>
      <xdr:row>343</xdr:row>
      <xdr:rowOff>206236</xdr:rowOff>
    </xdr:from>
    <xdr:to>
      <xdr:col>12</xdr:col>
      <xdr:colOff>1656563</xdr:colOff>
      <xdr:row>343</xdr:row>
      <xdr:rowOff>1177580</xdr:rowOff>
    </xdr:to>
    <xdr:pic>
      <xdr:nvPicPr>
        <xdr:cNvPr id="689" name="Picture 688">
          <a:extLst>
            <a:ext uri="{FF2B5EF4-FFF2-40B4-BE49-F238E27FC236}">
              <a16:creationId xmlns:a16="http://schemas.microsoft.com/office/drawing/2014/main" id="{33DCD97E-F903-9F1D-7AA1-5DBB918BC5DD}"/>
            </a:ext>
          </a:extLst>
        </xdr:cNvPr>
        <xdr:cNvPicPr>
          <a:picLocks noChangeAspect="1"/>
        </xdr:cNvPicPr>
      </xdr:nvPicPr>
      <xdr:blipFill>
        <a:blip xmlns:r="http://schemas.openxmlformats.org/officeDocument/2006/relationships" r:link="rId336"/>
        <a:stretch>
          <a:fillRect/>
        </a:stretch>
      </xdr:blipFill>
      <xdr:spPr>
        <a:xfrm>
          <a:off x="28457211" y="478638914"/>
          <a:ext cx="967149" cy="971344"/>
        </a:xfrm>
        <a:prstGeom prst="rect">
          <a:avLst/>
        </a:prstGeom>
      </xdr:spPr>
    </xdr:pic>
    <xdr:clientData/>
  </xdr:twoCellAnchor>
  <xdr:twoCellAnchor editAs="oneCell">
    <xdr:from>
      <xdr:col>12</xdr:col>
      <xdr:colOff>689414</xdr:colOff>
      <xdr:row>344</xdr:row>
      <xdr:rowOff>206246</xdr:rowOff>
    </xdr:from>
    <xdr:to>
      <xdr:col>12</xdr:col>
      <xdr:colOff>1656563</xdr:colOff>
      <xdr:row>344</xdr:row>
      <xdr:rowOff>1177590</xdr:rowOff>
    </xdr:to>
    <xdr:pic>
      <xdr:nvPicPr>
        <xdr:cNvPr id="691" name="Picture 690">
          <a:extLst>
            <a:ext uri="{FF2B5EF4-FFF2-40B4-BE49-F238E27FC236}">
              <a16:creationId xmlns:a16="http://schemas.microsoft.com/office/drawing/2014/main" id="{1747CA42-742E-9C4E-4358-FDCDDB8B70AC}"/>
            </a:ext>
          </a:extLst>
        </xdr:cNvPr>
        <xdr:cNvPicPr>
          <a:picLocks noChangeAspect="1"/>
        </xdr:cNvPicPr>
      </xdr:nvPicPr>
      <xdr:blipFill>
        <a:blip xmlns:r="http://schemas.openxmlformats.org/officeDocument/2006/relationships" r:link="rId337"/>
        <a:stretch>
          <a:fillRect/>
        </a:stretch>
      </xdr:blipFill>
      <xdr:spPr>
        <a:xfrm>
          <a:off x="28457211" y="480033771"/>
          <a:ext cx="967149" cy="971344"/>
        </a:xfrm>
        <a:prstGeom prst="rect">
          <a:avLst/>
        </a:prstGeom>
      </xdr:spPr>
    </xdr:pic>
    <xdr:clientData/>
  </xdr:twoCellAnchor>
  <xdr:twoCellAnchor editAs="oneCell">
    <xdr:from>
      <xdr:col>12</xdr:col>
      <xdr:colOff>689414</xdr:colOff>
      <xdr:row>345</xdr:row>
      <xdr:rowOff>206643</xdr:rowOff>
    </xdr:from>
    <xdr:to>
      <xdr:col>12</xdr:col>
      <xdr:colOff>1656563</xdr:colOff>
      <xdr:row>345</xdr:row>
      <xdr:rowOff>1177395</xdr:rowOff>
    </xdr:to>
    <xdr:pic>
      <xdr:nvPicPr>
        <xdr:cNvPr id="693" name="Picture 692">
          <a:extLst>
            <a:ext uri="{FF2B5EF4-FFF2-40B4-BE49-F238E27FC236}">
              <a16:creationId xmlns:a16="http://schemas.microsoft.com/office/drawing/2014/main" id="{1D4A0836-F71F-94B7-7E46-46B92D2854D8}"/>
            </a:ext>
          </a:extLst>
        </xdr:cNvPr>
        <xdr:cNvPicPr>
          <a:picLocks noChangeAspect="1"/>
        </xdr:cNvPicPr>
      </xdr:nvPicPr>
      <xdr:blipFill>
        <a:blip xmlns:r="http://schemas.openxmlformats.org/officeDocument/2006/relationships" r:link="rId338"/>
        <a:stretch>
          <a:fillRect/>
        </a:stretch>
      </xdr:blipFill>
      <xdr:spPr>
        <a:xfrm>
          <a:off x="28457211" y="481429016"/>
          <a:ext cx="967149" cy="970752"/>
        </a:xfrm>
        <a:prstGeom prst="rect">
          <a:avLst/>
        </a:prstGeom>
      </xdr:spPr>
    </xdr:pic>
    <xdr:clientData/>
  </xdr:twoCellAnchor>
  <xdr:twoCellAnchor editAs="oneCell">
    <xdr:from>
      <xdr:col>12</xdr:col>
      <xdr:colOff>689414</xdr:colOff>
      <xdr:row>346</xdr:row>
      <xdr:rowOff>206653</xdr:rowOff>
    </xdr:from>
    <xdr:to>
      <xdr:col>12</xdr:col>
      <xdr:colOff>1656563</xdr:colOff>
      <xdr:row>346</xdr:row>
      <xdr:rowOff>1177405</xdr:rowOff>
    </xdr:to>
    <xdr:pic>
      <xdr:nvPicPr>
        <xdr:cNvPr id="695" name="Picture 694">
          <a:extLst>
            <a:ext uri="{FF2B5EF4-FFF2-40B4-BE49-F238E27FC236}">
              <a16:creationId xmlns:a16="http://schemas.microsoft.com/office/drawing/2014/main" id="{7131BC4A-E3FF-C651-1760-818222F644FA}"/>
            </a:ext>
          </a:extLst>
        </xdr:cNvPr>
        <xdr:cNvPicPr>
          <a:picLocks noChangeAspect="1"/>
        </xdr:cNvPicPr>
      </xdr:nvPicPr>
      <xdr:blipFill>
        <a:blip xmlns:r="http://schemas.openxmlformats.org/officeDocument/2006/relationships" r:link="rId339"/>
        <a:stretch>
          <a:fillRect/>
        </a:stretch>
      </xdr:blipFill>
      <xdr:spPr>
        <a:xfrm>
          <a:off x="28457211" y="482823873"/>
          <a:ext cx="967149" cy="970752"/>
        </a:xfrm>
        <a:prstGeom prst="rect">
          <a:avLst/>
        </a:prstGeom>
      </xdr:spPr>
    </xdr:pic>
    <xdr:clientData/>
  </xdr:twoCellAnchor>
  <xdr:twoCellAnchor editAs="oneCell">
    <xdr:from>
      <xdr:col>12</xdr:col>
      <xdr:colOff>689414</xdr:colOff>
      <xdr:row>347</xdr:row>
      <xdr:rowOff>206663</xdr:rowOff>
    </xdr:from>
    <xdr:to>
      <xdr:col>12</xdr:col>
      <xdr:colOff>1656563</xdr:colOff>
      <xdr:row>347</xdr:row>
      <xdr:rowOff>1177415</xdr:rowOff>
    </xdr:to>
    <xdr:pic>
      <xdr:nvPicPr>
        <xdr:cNvPr id="697" name="Picture 696">
          <a:extLst>
            <a:ext uri="{FF2B5EF4-FFF2-40B4-BE49-F238E27FC236}">
              <a16:creationId xmlns:a16="http://schemas.microsoft.com/office/drawing/2014/main" id="{5A52B1C4-92CD-1C00-1222-AE0533ADB4CF}"/>
            </a:ext>
          </a:extLst>
        </xdr:cNvPr>
        <xdr:cNvPicPr>
          <a:picLocks noChangeAspect="1"/>
        </xdr:cNvPicPr>
      </xdr:nvPicPr>
      <xdr:blipFill>
        <a:blip xmlns:r="http://schemas.openxmlformats.org/officeDocument/2006/relationships" r:link="rId340"/>
        <a:stretch>
          <a:fillRect/>
        </a:stretch>
      </xdr:blipFill>
      <xdr:spPr>
        <a:xfrm>
          <a:off x="28457211" y="484218731"/>
          <a:ext cx="967149" cy="970752"/>
        </a:xfrm>
        <a:prstGeom prst="rect">
          <a:avLst/>
        </a:prstGeom>
      </xdr:spPr>
    </xdr:pic>
    <xdr:clientData/>
  </xdr:twoCellAnchor>
  <xdr:twoCellAnchor editAs="oneCell">
    <xdr:from>
      <xdr:col>12</xdr:col>
      <xdr:colOff>689414</xdr:colOff>
      <xdr:row>348</xdr:row>
      <xdr:rowOff>206236</xdr:rowOff>
    </xdr:from>
    <xdr:to>
      <xdr:col>12</xdr:col>
      <xdr:colOff>1656563</xdr:colOff>
      <xdr:row>348</xdr:row>
      <xdr:rowOff>1177580</xdr:rowOff>
    </xdr:to>
    <xdr:pic>
      <xdr:nvPicPr>
        <xdr:cNvPr id="699" name="Picture 698">
          <a:extLst>
            <a:ext uri="{FF2B5EF4-FFF2-40B4-BE49-F238E27FC236}">
              <a16:creationId xmlns:a16="http://schemas.microsoft.com/office/drawing/2014/main" id="{0FE48705-DC3C-3F90-C6DC-675B21A44E09}"/>
            </a:ext>
          </a:extLst>
        </xdr:cNvPr>
        <xdr:cNvPicPr>
          <a:picLocks noChangeAspect="1"/>
        </xdr:cNvPicPr>
      </xdr:nvPicPr>
      <xdr:blipFill>
        <a:blip xmlns:r="http://schemas.openxmlformats.org/officeDocument/2006/relationships" r:link="rId341"/>
        <a:stretch>
          <a:fillRect/>
        </a:stretch>
      </xdr:blipFill>
      <xdr:spPr>
        <a:xfrm>
          <a:off x="28457211" y="485613151"/>
          <a:ext cx="967149" cy="971344"/>
        </a:xfrm>
        <a:prstGeom prst="rect">
          <a:avLst/>
        </a:prstGeom>
      </xdr:spPr>
    </xdr:pic>
    <xdr:clientData/>
  </xdr:twoCellAnchor>
  <xdr:twoCellAnchor editAs="oneCell">
    <xdr:from>
      <xdr:col>12</xdr:col>
      <xdr:colOff>689414</xdr:colOff>
      <xdr:row>349</xdr:row>
      <xdr:rowOff>206244</xdr:rowOff>
    </xdr:from>
    <xdr:to>
      <xdr:col>12</xdr:col>
      <xdr:colOff>1656563</xdr:colOff>
      <xdr:row>349</xdr:row>
      <xdr:rowOff>1177589</xdr:rowOff>
    </xdr:to>
    <xdr:pic>
      <xdr:nvPicPr>
        <xdr:cNvPr id="701" name="Picture 700">
          <a:extLst>
            <a:ext uri="{FF2B5EF4-FFF2-40B4-BE49-F238E27FC236}">
              <a16:creationId xmlns:a16="http://schemas.microsoft.com/office/drawing/2014/main" id="{F826AFA7-0619-F564-4B6C-35543BC8BA23}"/>
            </a:ext>
          </a:extLst>
        </xdr:cNvPr>
        <xdr:cNvPicPr>
          <a:picLocks noChangeAspect="1"/>
        </xdr:cNvPicPr>
      </xdr:nvPicPr>
      <xdr:blipFill>
        <a:blip xmlns:r="http://schemas.openxmlformats.org/officeDocument/2006/relationships" r:link="rId342"/>
        <a:stretch>
          <a:fillRect/>
        </a:stretch>
      </xdr:blipFill>
      <xdr:spPr>
        <a:xfrm>
          <a:off x="28457211" y="487008007"/>
          <a:ext cx="967149" cy="971345"/>
        </a:xfrm>
        <a:prstGeom prst="rect">
          <a:avLst/>
        </a:prstGeom>
      </xdr:spPr>
    </xdr:pic>
    <xdr:clientData/>
  </xdr:twoCellAnchor>
  <xdr:twoCellAnchor editAs="oneCell">
    <xdr:from>
      <xdr:col>12</xdr:col>
      <xdr:colOff>689414</xdr:colOff>
      <xdr:row>350</xdr:row>
      <xdr:rowOff>206643</xdr:rowOff>
    </xdr:from>
    <xdr:to>
      <xdr:col>12</xdr:col>
      <xdr:colOff>1656563</xdr:colOff>
      <xdr:row>350</xdr:row>
      <xdr:rowOff>1177395</xdr:rowOff>
    </xdr:to>
    <xdr:pic>
      <xdr:nvPicPr>
        <xdr:cNvPr id="703" name="Picture 702">
          <a:extLst>
            <a:ext uri="{FF2B5EF4-FFF2-40B4-BE49-F238E27FC236}">
              <a16:creationId xmlns:a16="http://schemas.microsoft.com/office/drawing/2014/main" id="{6015234D-5695-B7B3-D53A-6E011ED925D1}"/>
            </a:ext>
          </a:extLst>
        </xdr:cNvPr>
        <xdr:cNvPicPr>
          <a:picLocks noChangeAspect="1"/>
        </xdr:cNvPicPr>
      </xdr:nvPicPr>
      <xdr:blipFill>
        <a:blip xmlns:r="http://schemas.openxmlformats.org/officeDocument/2006/relationships" r:link="rId343"/>
        <a:stretch>
          <a:fillRect/>
        </a:stretch>
      </xdr:blipFill>
      <xdr:spPr>
        <a:xfrm>
          <a:off x="28457211" y="488403253"/>
          <a:ext cx="967149" cy="970752"/>
        </a:xfrm>
        <a:prstGeom prst="rect">
          <a:avLst/>
        </a:prstGeom>
      </xdr:spPr>
    </xdr:pic>
    <xdr:clientData/>
  </xdr:twoCellAnchor>
  <xdr:twoCellAnchor editAs="oneCell">
    <xdr:from>
      <xdr:col>12</xdr:col>
      <xdr:colOff>689414</xdr:colOff>
      <xdr:row>351</xdr:row>
      <xdr:rowOff>206653</xdr:rowOff>
    </xdr:from>
    <xdr:to>
      <xdr:col>12</xdr:col>
      <xdr:colOff>1656563</xdr:colOff>
      <xdr:row>351</xdr:row>
      <xdr:rowOff>1177405</xdr:rowOff>
    </xdr:to>
    <xdr:pic>
      <xdr:nvPicPr>
        <xdr:cNvPr id="705" name="Picture 704">
          <a:extLst>
            <a:ext uri="{FF2B5EF4-FFF2-40B4-BE49-F238E27FC236}">
              <a16:creationId xmlns:a16="http://schemas.microsoft.com/office/drawing/2014/main" id="{97C486B1-17D7-46A1-B074-9439E6E44133}"/>
            </a:ext>
          </a:extLst>
        </xdr:cNvPr>
        <xdr:cNvPicPr>
          <a:picLocks noChangeAspect="1"/>
        </xdr:cNvPicPr>
      </xdr:nvPicPr>
      <xdr:blipFill>
        <a:blip xmlns:r="http://schemas.openxmlformats.org/officeDocument/2006/relationships" r:link="rId344"/>
        <a:stretch>
          <a:fillRect/>
        </a:stretch>
      </xdr:blipFill>
      <xdr:spPr>
        <a:xfrm>
          <a:off x="28457211" y="489798111"/>
          <a:ext cx="967149" cy="970752"/>
        </a:xfrm>
        <a:prstGeom prst="rect">
          <a:avLst/>
        </a:prstGeom>
      </xdr:spPr>
    </xdr:pic>
    <xdr:clientData/>
  </xdr:twoCellAnchor>
  <xdr:twoCellAnchor editAs="oneCell">
    <xdr:from>
      <xdr:col>12</xdr:col>
      <xdr:colOff>689414</xdr:colOff>
      <xdr:row>352</xdr:row>
      <xdr:rowOff>206663</xdr:rowOff>
    </xdr:from>
    <xdr:to>
      <xdr:col>12</xdr:col>
      <xdr:colOff>1656563</xdr:colOff>
      <xdr:row>352</xdr:row>
      <xdr:rowOff>1177415</xdr:rowOff>
    </xdr:to>
    <xdr:pic>
      <xdr:nvPicPr>
        <xdr:cNvPr id="707" name="Picture 706">
          <a:extLst>
            <a:ext uri="{FF2B5EF4-FFF2-40B4-BE49-F238E27FC236}">
              <a16:creationId xmlns:a16="http://schemas.microsoft.com/office/drawing/2014/main" id="{8AA79425-C43C-F0C8-EB14-476C553E6E11}"/>
            </a:ext>
          </a:extLst>
        </xdr:cNvPr>
        <xdr:cNvPicPr>
          <a:picLocks noChangeAspect="1"/>
        </xdr:cNvPicPr>
      </xdr:nvPicPr>
      <xdr:blipFill>
        <a:blip xmlns:r="http://schemas.openxmlformats.org/officeDocument/2006/relationships" r:link="rId345"/>
        <a:stretch>
          <a:fillRect/>
        </a:stretch>
      </xdr:blipFill>
      <xdr:spPr>
        <a:xfrm>
          <a:off x="28457211" y="491192968"/>
          <a:ext cx="967149" cy="970752"/>
        </a:xfrm>
        <a:prstGeom prst="rect">
          <a:avLst/>
        </a:prstGeom>
      </xdr:spPr>
    </xdr:pic>
    <xdr:clientData/>
  </xdr:twoCellAnchor>
  <xdr:twoCellAnchor editAs="oneCell">
    <xdr:from>
      <xdr:col>12</xdr:col>
      <xdr:colOff>689414</xdr:colOff>
      <xdr:row>353</xdr:row>
      <xdr:rowOff>206234</xdr:rowOff>
    </xdr:from>
    <xdr:to>
      <xdr:col>12</xdr:col>
      <xdr:colOff>1656563</xdr:colOff>
      <xdr:row>353</xdr:row>
      <xdr:rowOff>1177579</xdr:rowOff>
    </xdr:to>
    <xdr:pic>
      <xdr:nvPicPr>
        <xdr:cNvPr id="709" name="Picture 708">
          <a:extLst>
            <a:ext uri="{FF2B5EF4-FFF2-40B4-BE49-F238E27FC236}">
              <a16:creationId xmlns:a16="http://schemas.microsoft.com/office/drawing/2014/main" id="{6449010B-B016-FCF5-2119-A703548177E5}"/>
            </a:ext>
          </a:extLst>
        </xdr:cNvPr>
        <xdr:cNvPicPr>
          <a:picLocks noChangeAspect="1"/>
        </xdr:cNvPicPr>
      </xdr:nvPicPr>
      <xdr:blipFill>
        <a:blip xmlns:r="http://schemas.openxmlformats.org/officeDocument/2006/relationships" r:link="rId346"/>
        <a:stretch>
          <a:fillRect/>
        </a:stretch>
      </xdr:blipFill>
      <xdr:spPr>
        <a:xfrm>
          <a:off x="28457211" y="492587387"/>
          <a:ext cx="967149" cy="971345"/>
        </a:xfrm>
        <a:prstGeom prst="rect">
          <a:avLst/>
        </a:prstGeom>
      </xdr:spPr>
    </xdr:pic>
    <xdr:clientData/>
  </xdr:twoCellAnchor>
  <xdr:twoCellAnchor editAs="oneCell">
    <xdr:from>
      <xdr:col>12</xdr:col>
      <xdr:colOff>689414</xdr:colOff>
      <xdr:row>354</xdr:row>
      <xdr:rowOff>206246</xdr:rowOff>
    </xdr:from>
    <xdr:to>
      <xdr:col>12</xdr:col>
      <xdr:colOff>1656563</xdr:colOff>
      <xdr:row>354</xdr:row>
      <xdr:rowOff>1177590</xdr:rowOff>
    </xdr:to>
    <xdr:pic>
      <xdr:nvPicPr>
        <xdr:cNvPr id="711" name="Picture 710">
          <a:extLst>
            <a:ext uri="{FF2B5EF4-FFF2-40B4-BE49-F238E27FC236}">
              <a16:creationId xmlns:a16="http://schemas.microsoft.com/office/drawing/2014/main" id="{1B2CB3BB-BDA5-0FFC-5B2F-DEC04D134B25}"/>
            </a:ext>
          </a:extLst>
        </xdr:cNvPr>
        <xdr:cNvPicPr>
          <a:picLocks noChangeAspect="1"/>
        </xdr:cNvPicPr>
      </xdr:nvPicPr>
      <xdr:blipFill>
        <a:blip xmlns:r="http://schemas.openxmlformats.org/officeDocument/2006/relationships" r:link="rId347"/>
        <a:stretch>
          <a:fillRect/>
        </a:stretch>
      </xdr:blipFill>
      <xdr:spPr>
        <a:xfrm>
          <a:off x="28457211" y="493982246"/>
          <a:ext cx="967149" cy="971344"/>
        </a:xfrm>
        <a:prstGeom prst="rect">
          <a:avLst/>
        </a:prstGeom>
      </xdr:spPr>
    </xdr:pic>
    <xdr:clientData/>
  </xdr:twoCellAnchor>
  <xdr:twoCellAnchor editAs="oneCell">
    <xdr:from>
      <xdr:col>12</xdr:col>
      <xdr:colOff>689414</xdr:colOff>
      <xdr:row>355</xdr:row>
      <xdr:rowOff>206643</xdr:rowOff>
    </xdr:from>
    <xdr:to>
      <xdr:col>12</xdr:col>
      <xdr:colOff>1656563</xdr:colOff>
      <xdr:row>355</xdr:row>
      <xdr:rowOff>1177395</xdr:rowOff>
    </xdr:to>
    <xdr:pic>
      <xdr:nvPicPr>
        <xdr:cNvPr id="713" name="Picture 712">
          <a:extLst>
            <a:ext uri="{FF2B5EF4-FFF2-40B4-BE49-F238E27FC236}">
              <a16:creationId xmlns:a16="http://schemas.microsoft.com/office/drawing/2014/main" id="{C7E5CF3F-66BC-C0F1-6769-F01038D87D6B}"/>
            </a:ext>
          </a:extLst>
        </xdr:cNvPr>
        <xdr:cNvPicPr>
          <a:picLocks noChangeAspect="1"/>
        </xdr:cNvPicPr>
      </xdr:nvPicPr>
      <xdr:blipFill>
        <a:blip xmlns:r="http://schemas.openxmlformats.org/officeDocument/2006/relationships" r:link="rId348"/>
        <a:stretch>
          <a:fillRect/>
        </a:stretch>
      </xdr:blipFill>
      <xdr:spPr>
        <a:xfrm>
          <a:off x="28457211" y="495377490"/>
          <a:ext cx="967149" cy="970752"/>
        </a:xfrm>
        <a:prstGeom prst="rect">
          <a:avLst/>
        </a:prstGeom>
      </xdr:spPr>
    </xdr:pic>
    <xdr:clientData/>
  </xdr:twoCellAnchor>
  <xdr:twoCellAnchor editAs="oneCell">
    <xdr:from>
      <xdr:col>12</xdr:col>
      <xdr:colOff>689414</xdr:colOff>
      <xdr:row>356</xdr:row>
      <xdr:rowOff>206653</xdr:rowOff>
    </xdr:from>
    <xdr:to>
      <xdr:col>12</xdr:col>
      <xdr:colOff>1656563</xdr:colOff>
      <xdr:row>356</xdr:row>
      <xdr:rowOff>1177405</xdr:rowOff>
    </xdr:to>
    <xdr:pic>
      <xdr:nvPicPr>
        <xdr:cNvPr id="715" name="Picture 714">
          <a:extLst>
            <a:ext uri="{FF2B5EF4-FFF2-40B4-BE49-F238E27FC236}">
              <a16:creationId xmlns:a16="http://schemas.microsoft.com/office/drawing/2014/main" id="{3937BB01-008A-FB4A-2EC4-575402154BF5}"/>
            </a:ext>
          </a:extLst>
        </xdr:cNvPr>
        <xdr:cNvPicPr>
          <a:picLocks noChangeAspect="1"/>
        </xdr:cNvPicPr>
      </xdr:nvPicPr>
      <xdr:blipFill>
        <a:blip xmlns:r="http://schemas.openxmlformats.org/officeDocument/2006/relationships" r:link="rId349"/>
        <a:stretch>
          <a:fillRect/>
        </a:stretch>
      </xdr:blipFill>
      <xdr:spPr>
        <a:xfrm>
          <a:off x="28457211" y="496772348"/>
          <a:ext cx="967149" cy="970752"/>
        </a:xfrm>
        <a:prstGeom prst="rect">
          <a:avLst/>
        </a:prstGeom>
      </xdr:spPr>
    </xdr:pic>
    <xdr:clientData/>
  </xdr:twoCellAnchor>
  <xdr:twoCellAnchor editAs="oneCell">
    <xdr:from>
      <xdr:col>12</xdr:col>
      <xdr:colOff>689414</xdr:colOff>
      <xdr:row>357</xdr:row>
      <xdr:rowOff>206663</xdr:rowOff>
    </xdr:from>
    <xdr:to>
      <xdr:col>12</xdr:col>
      <xdr:colOff>1656563</xdr:colOff>
      <xdr:row>357</xdr:row>
      <xdr:rowOff>1177415</xdr:rowOff>
    </xdr:to>
    <xdr:pic>
      <xdr:nvPicPr>
        <xdr:cNvPr id="717" name="Picture 716">
          <a:extLst>
            <a:ext uri="{FF2B5EF4-FFF2-40B4-BE49-F238E27FC236}">
              <a16:creationId xmlns:a16="http://schemas.microsoft.com/office/drawing/2014/main" id="{5D9145AF-B843-3B24-5B8A-4807E8179F26}"/>
            </a:ext>
          </a:extLst>
        </xdr:cNvPr>
        <xdr:cNvPicPr>
          <a:picLocks noChangeAspect="1"/>
        </xdr:cNvPicPr>
      </xdr:nvPicPr>
      <xdr:blipFill>
        <a:blip xmlns:r="http://schemas.openxmlformats.org/officeDocument/2006/relationships" r:link="rId350"/>
        <a:stretch>
          <a:fillRect/>
        </a:stretch>
      </xdr:blipFill>
      <xdr:spPr>
        <a:xfrm>
          <a:off x="28457211" y="498167205"/>
          <a:ext cx="967149" cy="970752"/>
        </a:xfrm>
        <a:prstGeom prst="rect">
          <a:avLst/>
        </a:prstGeom>
      </xdr:spPr>
    </xdr:pic>
    <xdr:clientData/>
  </xdr:twoCellAnchor>
  <xdr:twoCellAnchor editAs="oneCell">
    <xdr:from>
      <xdr:col>12</xdr:col>
      <xdr:colOff>689414</xdr:colOff>
      <xdr:row>358</xdr:row>
      <xdr:rowOff>206234</xdr:rowOff>
    </xdr:from>
    <xdr:to>
      <xdr:col>12</xdr:col>
      <xdr:colOff>1656563</xdr:colOff>
      <xdr:row>358</xdr:row>
      <xdr:rowOff>1177579</xdr:rowOff>
    </xdr:to>
    <xdr:pic>
      <xdr:nvPicPr>
        <xdr:cNvPr id="719" name="Picture 718">
          <a:extLst>
            <a:ext uri="{FF2B5EF4-FFF2-40B4-BE49-F238E27FC236}">
              <a16:creationId xmlns:a16="http://schemas.microsoft.com/office/drawing/2014/main" id="{2E1E34C0-6268-26A1-8162-BB32351D6E38}"/>
            </a:ext>
          </a:extLst>
        </xdr:cNvPr>
        <xdr:cNvPicPr>
          <a:picLocks noChangeAspect="1"/>
        </xdr:cNvPicPr>
      </xdr:nvPicPr>
      <xdr:blipFill>
        <a:blip xmlns:r="http://schemas.openxmlformats.org/officeDocument/2006/relationships" r:link="rId351"/>
        <a:stretch>
          <a:fillRect/>
        </a:stretch>
      </xdr:blipFill>
      <xdr:spPr>
        <a:xfrm>
          <a:off x="28457211" y="499561624"/>
          <a:ext cx="967149" cy="971345"/>
        </a:xfrm>
        <a:prstGeom prst="rect">
          <a:avLst/>
        </a:prstGeom>
      </xdr:spPr>
    </xdr:pic>
    <xdr:clientData/>
  </xdr:twoCellAnchor>
  <xdr:twoCellAnchor editAs="oneCell">
    <xdr:from>
      <xdr:col>12</xdr:col>
      <xdr:colOff>689414</xdr:colOff>
      <xdr:row>359</xdr:row>
      <xdr:rowOff>206246</xdr:rowOff>
    </xdr:from>
    <xdr:to>
      <xdr:col>12</xdr:col>
      <xdr:colOff>1656563</xdr:colOff>
      <xdr:row>359</xdr:row>
      <xdr:rowOff>1177590</xdr:rowOff>
    </xdr:to>
    <xdr:pic>
      <xdr:nvPicPr>
        <xdr:cNvPr id="721" name="Picture 720">
          <a:extLst>
            <a:ext uri="{FF2B5EF4-FFF2-40B4-BE49-F238E27FC236}">
              <a16:creationId xmlns:a16="http://schemas.microsoft.com/office/drawing/2014/main" id="{EFC63501-3994-E03B-BA40-49C10674F132}"/>
            </a:ext>
          </a:extLst>
        </xdr:cNvPr>
        <xdr:cNvPicPr>
          <a:picLocks noChangeAspect="1"/>
        </xdr:cNvPicPr>
      </xdr:nvPicPr>
      <xdr:blipFill>
        <a:blip xmlns:r="http://schemas.openxmlformats.org/officeDocument/2006/relationships" r:link="rId352"/>
        <a:stretch>
          <a:fillRect/>
        </a:stretch>
      </xdr:blipFill>
      <xdr:spPr>
        <a:xfrm>
          <a:off x="28457211" y="500956483"/>
          <a:ext cx="967149" cy="971344"/>
        </a:xfrm>
        <a:prstGeom prst="rect">
          <a:avLst/>
        </a:prstGeom>
      </xdr:spPr>
    </xdr:pic>
    <xdr:clientData/>
  </xdr:twoCellAnchor>
  <xdr:twoCellAnchor editAs="oneCell">
    <xdr:from>
      <xdr:col>12</xdr:col>
      <xdr:colOff>689414</xdr:colOff>
      <xdr:row>360</xdr:row>
      <xdr:rowOff>206643</xdr:rowOff>
    </xdr:from>
    <xdr:to>
      <xdr:col>12</xdr:col>
      <xdr:colOff>1656563</xdr:colOff>
      <xdr:row>360</xdr:row>
      <xdr:rowOff>1177395</xdr:rowOff>
    </xdr:to>
    <xdr:pic>
      <xdr:nvPicPr>
        <xdr:cNvPr id="723" name="Picture 722">
          <a:extLst>
            <a:ext uri="{FF2B5EF4-FFF2-40B4-BE49-F238E27FC236}">
              <a16:creationId xmlns:a16="http://schemas.microsoft.com/office/drawing/2014/main" id="{44BCDC97-90A4-5BF1-96E1-86C65FB40F13}"/>
            </a:ext>
          </a:extLst>
        </xdr:cNvPr>
        <xdr:cNvPicPr>
          <a:picLocks noChangeAspect="1"/>
        </xdr:cNvPicPr>
      </xdr:nvPicPr>
      <xdr:blipFill>
        <a:blip xmlns:r="http://schemas.openxmlformats.org/officeDocument/2006/relationships" r:link="rId353"/>
        <a:stretch>
          <a:fillRect/>
        </a:stretch>
      </xdr:blipFill>
      <xdr:spPr>
        <a:xfrm>
          <a:off x="28457211" y="502351728"/>
          <a:ext cx="967149" cy="970752"/>
        </a:xfrm>
        <a:prstGeom prst="rect">
          <a:avLst/>
        </a:prstGeom>
      </xdr:spPr>
    </xdr:pic>
    <xdr:clientData/>
  </xdr:twoCellAnchor>
  <xdr:twoCellAnchor editAs="oneCell">
    <xdr:from>
      <xdr:col>12</xdr:col>
      <xdr:colOff>689414</xdr:colOff>
      <xdr:row>361</xdr:row>
      <xdr:rowOff>206653</xdr:rowOff>
    </xdr:from>
    <xdr:to>
      <xdr:col>12</xdr:col>
      <xdr:colOff>1656563</xdr:colOff>
      <xdr:row>361</xdr:row>
      <xdr:rowOff>1177405</xdr:rowOff>
    </xdr:to>
    <xdr:pic>
      <xdr:nvPicPr>
        <xdr:cNvPr id="725" name="Picture 724">
          <a:extLst>
            <a:ext uri="{FF2B5EF4-FFF2-40B4-BE49-F238E27FC236}">
              <a16:creationId xmlns:a16="http://schemas.microsoft.com/office/drawing/2014/main" id="{6534CCBF-481F-7606-A9D2-DF0E3D22D20D}"/>
            </a:ext>
          </a:extLst>
        </xdr:cNvPr>
        <xdr:cNvPicPr>
          <a:picLocks noChangeAspect="1"/>
        </xdr:cNvPicPr>
      </xdr:nvPicPr>
      <xdr:blipFill>
        <a:blip xmlns:r="http://schemas.openxmlformats.org/officeDocument/2006/relationships" r:link="rId354"/>
        <a:stretch>
          <a:fillRect/>
        </a:stretch>
      </xdr:blipFill>
      <xdr:spPr>
        <a:xfrm>
          <a:off x="28457211" y="503746585"/>
          <a:ext cx="967149" cy="970752"/>
        </a:xfrm>
        <a:prstGeom prst="rect">
          <a:avLst/>
        </a:prstGeom>
      </xdr:spPr>
    </xdr:pic>
    <xdr:clientData/>
  </xdr:twoCellAnchor>
  <xdr:twoCellAnchor editAs="oneCell">
    <xdr:from>
      <xdr:col>12</xdr:col>
      <xdr:colOff>689414</xdr:colOff>
      <xdr:row>362</xdr:row>
      <xdr:rowOff>206663</xdr:rowOff>
    </xdr:from>
    <xdr:to>
      <xdr:col>12</xdr:col>
      <xdr:colOff>1656563</xdr:colOff>
      <xdr:row>362</xdr:row>
      <xdr:rowOff>1177415</xdr:rowOff>
    </xdr:to>
    <xdr:pic>
      <xdr:nvPicPr>
        <xdr:cNvPr id="727" name="Picture 726">
          <a:extLst>
            <a:ext uri="{FF2B5EF4-FFF2-40B4-BE49-F238E27FC236}">
              <a16:creationId xmlns:a16="http://schemas.microsoft.com/office/drawing/2014/main" id="{5735FD6B-952F-2F9C-6A28-F73CD3750E33}"/>
            </a:ext>
          </a:extLst>
        </xdr:cNvPr>
        <xdr:cNvPicPr>
          <a:picLocks noChangeAspect="1"/>
        </xdr:cNvPicPr>
      </xdr:nvPicPr>
      <xdr:blipFill>
        <a:blip xmlns:r="http://schemas.openxmlformats.org/officeDocument/2006/relationships" r:link="rId355"/>
        <a:stretch>
          <a:fillRect/>
        </a:stretch>
      </xdr:blipFill>
      <xdr:spPr>
        <a:xfrm>
          <a:off x="28457211" y="505141443"/>
          <a:ext cx="967149" cy="970752"/>
        </a:xfrm>
        <a:prstGeom prst="rect">
          <a:avLst/>
        </a:prstGeom>
      </xdr:spPr>
    </xdr:pic>
    <xdr:clientData/>
  </xdr:twoCellAnchor>
  <xdr:twoCellAnchor editAs="oneCell">
    <xdr:from>
      <xdr:col>12</xdr:col>
      <xdr:colOff>689414</xdr:colOff>
      <xdr:row>363</xdr:row>
      <xdr:rowOff>206236</xdr:rowOff>
    </xdr:from>
    <xdr:to>
      <xdr:col>12</xdr:col>
      <xdr:colOff>1656563</xdr:colOff>
      <xdr:row>363</xdr:row>
      <xdr:rowOff>1177580</xdr:rowOff>
    </xdr:to>
    <xdr:pic>
      <xdr:nvPicPr>
        <xdr:cNvPr id="729" name="Picture 728">
          <a:extLst>
            <a:ext uri="{FF2B5EF4-FFF2-40B4-BE49-F238E27FC236}">
              <a16:creationId xmlns:a16="http://schemas.microsoft.com/office/drawing/2014/main" id="{28C485E7-F65B-5213-3375-2B382624BA63}"/>
            </a:ext>
          </a:extLst>
        </xdr:cNvPr>
        <xdr:cNvPicPr>
          <a:picLocks noChangeAspect="1"/>
        </xdr:cNvPicPr>
      </xdr:nvPicPr>
      <xdr:blipFill>
        <a:blip xmlns:r="http://schemas.openxmlformats.org/officeDocument/2006/relationships" r:link="rId356"/>
        <a:stretch>
          <a:fillRect/>
        </a:stretch>
      </xdr:blipFill>
      <xdr:spPr>
        <a:xfrm>
          <a:off x="28457211" y="506535863"/>
          <a:ext cx="967149" cy="971344"/>
        </a:xfrm>
        <a:prstGeom prst="rect">
          <a:avLst/>
        </a:prstGeom>
      </xdr:spPr>
    </xdr:pic>
    <xdr:clientData/>
  </xdr:twoCellAnchor>
  <xdr:twoCellAnchor editAs="oneCell">
    <xdr:from>
      <xdr:col>12</xdr:col>
      <xdr:colOff>689414</xdr:colOff>
      <xdr:row>364</xdr:row>
      <xdr:rowOff>206244</xdr:rowOff>
    </xdr:from>
    <xdr:to>
      <xdr:col>12</xdr:col>
      <xdr:colOff>1656563</xdr:colOff>
      <xdr:row>364</xdr:row>
      <xdr:rowOff>1177589</xdr:rowOff>
    </xdr:to>
    <xdr:pic>
      <xdr:nvPicPr>
        <xdr:cNvPr id="731" name="Picture 730">
          <a:extLst>
            <a:ext uri="{FF2B5EF4-FFF2-40B4-BE49-F238E27FC236}">
              <a16:creationId xmlns:a16="http://schemas.microsoft.com/office/drawing/2014/main" id="{E5E68713-58EB-B360-D378-B74F9C048772}"/>
            </a:ext>
          </a:extLst>
        </xdr:cNvPr>
        <xdr:cNvPicPr>
          <a:picLocks noChangeAspect="1"/>
        </xdr:cNvPicPr>
      </xdr:nvPicPr>
      <xdr:blipFill>
        <a:blip xmlns:r="http://schemas.openxmlformats.org/officeDocument/2006/relationships" r:link="rId357"/>
        <a:stretch>
          <a:fillRect/>
        </a:stretch>
      </xdr:blipFill>
      <xdr:spPr>
        <a:xfrm>
          <a:off x="28457211" y="507930719"/>
          <a:ext cx="967149" cy="971345"/>
        </a:xfrm>
        <a:prstGeom prst="rect">
          <a:avLst/>
        </a:prstGeom>
      </xdr:spPr>
    </xdr:pic>
    <xdr:clientData/>
  </xdr:twoCellAnchor>
  <xdr:twoCellAnchor editAs="oneCell">
    <xdr:from>
      <xdr:col>12</xdr:col>
      <xdr:colOff>689414</xdr:colOff>
      <xdr:row>365</xdr:row>
      <xdr:rowOff>206643</xdr:rowOff>
    </xdr:from>
    <xdr:to>
      <xdr:col>12</xdr:col>
      <xdr:colOff>1656563</xdr:colOff>
      <xdr:row>365</xdr:row>
      <xdr:rowOff>1177395</xdr:rowOff>
    </xdr:to>
    <xdr:pic>
      <xdr:nvPicPr>
        <xdr:cNvPr id="733" name="Picture 732">
          <a:extLst>
            <a:ext uri="{FF2B5EF4-FFF2-40B4-BE49-F238E27FC236}">
              <a16:creationId xmlns:a16="http://schemas.microsoft.com/office/drawing/2014/main" id="{3711BF91-ABBD-CDA8-388D-33E0E0C99CF6}"/>
            </a:ext>
          </a:extLst>
        </xdr:cNvPr>
        <xdr:cNvPicPr>
          <a:picLocks noChangeAspect="1"/>
        </xdr:cNvPicPr>
      </xdr:nvPicPr>
      <xdr:blipFill>
        <a:blip xmlns:r="http://schemas.openxmlformats.org/officeDocument/2006/relationships" r:link="rId358"/>
        <a:stretch>
          <a:fillRect/>
        </a:stretch>
      </xdr:blipFill>
      <xdr:spPr>
        <a:xfrm>
          <a:off x="28457211" y="509325965"/>
          <a:ext cx="967149" cy="970752"/>
        </a:xfrm>
        <a:prstGeom prst="rect">
          <a:avLst/>
        </a:prstGeom>
      </xdr:spPr>
    </xdr:pic>
    <xdr:clientData/>
  </xdr:twoCellAnchor>
  <xdr:twoCellAnchor editAs="oneCell">
    <xdr:from>
      <xdr:col>12</xdr:col>
      <xdr:colOff>689414</xdr:colOff>
      <xdr:row>366</xdr:row>
      <xdr:rowOff>206653</xdr:rowOff>
    </xdr:from>
    <xdr:to>
      <xdr:col>12</xdr:col>
      <xdr:colOff>1656563</xdr:colOff>
      <xdr:row>366</xdr:row>
      <xdr:rowOff>1177405</xdr:rowOff>
    </xdr:to>
    <xdr:pic>
      <xdr:nvPicPr>
        <xdr:cNvPr id="735" name="Picture 734">
          <a:extLst>
            <a:ext uri="{FF2B5EF4-FFF2-40B4-BE49-F238E27FC236}">
              <a16:creationId xmlns:a16="http://schemas.microsoft.com/office/drawing/2014/main" id="{39816A31-8235-6CFF-6EAB-87242467EF18}"/>
            </a:ext>
          </a:extLst>
        </xdr:cNvPr>
        <xdr:cNvPicPr>
          <a:picLocks noChangeAspect="1"/>
        </xdr:cNvPicPr>
      </xdr:nvPicPr>
      <xdr:blipFill>
        <a:blip xmlns:r="http://schemas.openxmlformats.org/officeDocument/2006/relationships" r:link="rId359"/>
        <a:stretch>
          <a:fillRect/>
        </a:stretch>
      </xdr:blipFill>
      <xdr:spPr>
        <a:xfrm>
          <a:off x="28457211" y="510720822"/>
          <a:ext cx="967149" cy="970752"/>
        </a:xfrm>
        <a:prstGeom prst="rect">
          <a:avLst/>
        </a:prstGeom>
      </xdr:spPr>
    </xdr:pic>
    <xdr:clientData/>
  </xdr:twoCellAnchor>
  <xdr:twoCellAnchor editAs="oneCell">
    <xdr:from>
      <xdr:col>12</xdr:col>
      <xdr:colOff>689414</xdr:colOff>
      <xdr:row>367</xdr:row>
      <xdr:rowOff>206663</xdr:rowOff>
    </xdr:from>
    <xdr:to>
      <xdr:col>12</xdr:col>
      <xdr:colOff>1656563</xdr:colOff>
      <xdr:row>367</xdr:row>
      <xdr:rowOff>1177415</xdr:rowOff>
    </xdr:to>
    <xdr:pic>
      <xdr:nvPicPr>
        <xdr:cNvPr id="737" name="Picture 736">
          <a:extLst>
            <a:ext uri="{FF2B5EF4-FFF2-40B4-BE49-F238E27FC236}">
              <a16:creationId xmlns:a16="http://schemas.microsoft.com/office/drawing/2014/main" id="{D0046CBF-2CB4-D983-C7B9-8B5D41F1F3A0}"/>
            </a:ext>
          </a:extLst>
        </xdr:cNvPr>
        <xdr:cNvPicPr>
          <a:picLocks noChangeAspect="1"/>
        </xdr:cNvPicPr>
      </xdr:nvPicPr>
      <xdr:blipFill>
        <a:blip xmlns:r="http://schemas.openxmlformats.org/officeDocument/2006/relationships" r:link="rId360"/>
        <a:stretch>
          <a:fillRect/>
        </a:stretch>
      </xdr:blipFill>
      <xdr:spPr>
        <a:xfrm>
          <a:off x="28457211" y="512115680"/>
          <a:ext cx="967149" cy="970752"/>
        </a:xfrm>
        <a:prstGeom prst="rect">
          <a:avLst/>
        </a:prstGeom>
      </xdr:spPr>
    </xdr:pic>
    <xdr:clientData/>
  </xdr:twoCellAnchor>
  <xdr:twoCellAnchor editAs="oneCell">
    <xdr:from>
      <xdr:col>12</xdr:col>
      <xdr:colOff>689414</xdr:colOff>
      <xdr:row>368</xdr:row>
      <xdr:rowOff>206236</xdr:rowOff>
    </xdr:from>
    <xdr:to>
      <xdr:col>12</xdr:col>
      <xdr:colOff>1656563</xdr:colOff>
      <xdr:row>368</xdr:row>
      <xdr:rowOff>1177580</xdr:rowOff>
    </xdr:to>
    <xdr:pic>
      <xdr:nvPicPr>
        <xdr:cNvPr id="739" name="Picture 738">
          <a:extLst>
            <a:ext uri="{FF2B5EF4-FFF2-40B4-BE49-F238E27FC236}">
              <a16:creationId xmlns:a16="http://schemas.microsoft.com/office/drawing/2014/main" id="{3BB45854-F1F0-C9AB-58ED-73D2186F6197}"/>
            </a:ext>
          </a:extLst>
        </xdr:cNvPr>
        <xdr:cNvPicPr>
          <a:picLocks noChangeAspect="1"/>
        </xdr:cNvPicPr>
      </xdr:nvPicPr>
      <xdr:blipFill>
        <a:blip xmlns:r="http://schemas.openxmlformats.org/officeDocument/2006/relationships" r:link="rId361"/>
        <a:stretch>
          <a:fillRect/>
        </a:stretch>
      </xdr:blipFill>
      <xdr:spPr>
        <a:xfrm>
          <a:off x="28457211" y="513510100"/>
          <a:ext cx="967149" cy="971344"/>
        </a:xfrm>
        <a:prstGeom prst="rect">
          <a:avLst/>
        </a:prstGeom>
      </xdr:spPr>
    </xdr:pic>
    <xdr:clientData/>
  </xdr:twoCellAnchor>
  <xdr:twoCellAnchor editAs="oneCell">
    <xdr:from>
      <xdr:col>12</xdr:col>
      <xdr:colOff>689414</xdr:colOff>
      <xdr:row>369</xdr:row>
      <xdr:rowOff>206244</xdr:rowOff>
    </xdr:from>
    <xdr:to>
      <xdr:col>12</xdr:col>
      <xdr:colOff>1656563</xdr:colOff>
      <xdr:row>369</xdr:row>
      <xdr:rowOff>1177589</xdr:rowOff>
    </xdr:to>
    <xdr:pic>
      <xdr:nvPicPr>
        <xdr:cNvPr id="741" name="Picture 740">
          <a:extLst>
            <a:ext uri="{FF2B5EF4-FFF2-40B4-BE49-F238E27FC236}">
              <a16:creationId xmlns:a16="http://schemas.microsoft.com/office/drawing/2014/main" id="{B2C3FC16-CC16-4AB9-A0DF-94FB774FF27A}"/>
            </a:ext>
          </a:extLst>
        </xdr:cNvPr>
        <xdr:cNvPicPr>
          <a:picLocks noChangeAspect="1"/>
        </xdr:cNvPicPr>
      </xdr:nvPicPr>
      <xdr:blipFill>
        <a:blip xmlns:r="http://schemas.openxmlformats.org/officeDocument/2006/relationships" r:link="rId362"/>
        <a:stretch>
          <a:fillRect/>
        </a:stretch>
      </xdr:blipFill>
      <xdr:spPr>
        <a:xfrm>
          <a:off x="28457211" y="514904956"/>
          <a:ext cx="967149" cy="971345"/>
        </a:xfrm>
        <a:prstGeom prst="rect">
          <a:avLst/>
        </a:prstGeom>
      </xdr:spPr>
    </xdr:pic>
    <xdr:clientData/>
  </xdr:twoCellAnchor>
  <xdr:twoCellAnchor editAs="oneCell">
    <xdr:from>
      <xdr:col>12</xdr:col>
      <xdr:colOff>689414</xdr:colOff>
      <xdr:row>370</xdr:row>
      <xdr:rowOff>206643</xdr:rowOff>
    </xdr:from>
    <xdr:to>
      <xdr:col>12</xdr:col>
      <xdr:colOff>1656563</xdr:colOff>
      <xdr:row>370</xdr:row>
      <xdr:rowOff>1177395</xdr:rowOff>
    </xdr:to>
    <xdr:pic>
      <xdr:nvPicPr>
        <xdr:cNvPr id="743" name="Picture 742">
          <a:extLst>
            <a:ext uri="{FF2B5EF4-FFF2-40B4-BE49-F238E27FC236}">
              <a16:creationId xmlns:a16="http://schemas.microsoft.com/office/drawing/2014/main" id="{7761566D-9001-2038-59D2-F7A03876ACF6}"/>
            </a:ext>
          </a:extLst>
        </xdr:cNvPr>
        <xdr:cNvPicPr>
          <a:picLocks noChangeAspect="1"/>
        </xdr:cNvPicPr>
      </xdr:nvPicPr>
      <xdr:blipFill>
        <a:blip xmlns:r="http://schemas.openxmlformats.org/officeDocument/2006/relationships" r:link="rId363"/>
        <a:stretch>
          <a:fillRect/>
        </a:stretch>
      </xdr:blipFill>
      <xdr:spPr>
        <a:xfrm>
          <a:off x="28457211" y="516300202"/>
          <a:ext cx="967149" cy="970752"/>
        </a:xfrm>
        <a:prstGeom prst="rect">
          <a:avLst/>
        </a:prstGeom>
      </xdr:spPr>
    </xdr:pic>
    <xdr:clientData/>
  </xdr:twoCellAnchor>
  <xdr:twoCellAnchor editAs="oneCell">
    <xdr:from>
      <xdr:col>12</xdr:col>
      <xdr:colOff>689414</xdr:colOff>
      <xdr:row>371</xdr:row>
      <xdr:rowOff>206653</xdr:rowOff>
    </xdr:from>
    <xdr:to>
      <xdr:col>12</xdr:col>
      <xdr:colOff>1656563</xdr:colOff>
      <xdr:row>371</xdr:row>
      <xdr:rowOff>1177405</xdr:rowOff>
    </xdr:to>
    <xdr:pic>
      <xdr:nvPicPr>
        <xdr:cNvPr id="745" name="Picture 744">
          <a:extLst>
            <a:ext uri="{FF2B5EF4-FFF2-40B4-BE49-F238E27FC236}">
              <a16:creationId xmlns:a16="http://schemas.microsoft.com/office/drawing/2014/main" id="{A4C9C468-095D-97F4-7C5D-F88DFCBD9A12}"/>
            </a:ext>
          </a:extLst>
        </xdr:cNvPr>
        <xdr:cNvPicPr>
          <a:picLocks noChangeAspect="1"/>
        </xdr:cNvPicPr>
      </xdr:nvPicPr>
      <xdr:blipFill>
        <a:blip xmlns:r="http://schemas.openxmlformats.org/officeDocument/2006/relationships" r:link="rId364"/>
        <a:stretch>
          <a:fillRect/>
        </a:stretch>
      </xdr:blipFill>
      <xdr:spPr>
        <a:xfrm>
          <a:off x="28457211" y="517695060"/>
          <a:ext cx="967149" cy="970752"/>
        </a:xfrm>
        <a:prstGeom prst="rect">
          <a:avLst/>
        </a:prstGeom>
      </xdr:spPr>
    </xdr:pic>
    <xdr:clientData/>
  </xdr:twoCellAnchor>
  <xdr:twoCellAnchor editAs="oneCell">
    <xdr:from>
      <xdr:col>12</xdr:col>
      <xdr:colOff>689414</xdr:colOff>
      <xdr:row>372</xdr:row>
      <xdr:rowOff>206663</xdr:rowOff>
    </xdr:from>
    <xdr:to>
      <xdr:col>12</xdr:col>
      <xdr:colOff>1656563</xdr:colOff>
      <xdr:row>372</xdr:row>
      <xdr:rowOff>1177415</xdr:rowOff>
    </xdr:to>
    <xdr:pic>
      <xdr:nvPicPr>
        <xdr:cNvPr id="747" name="Picture 746">
          <a:extLst>
            <a:ext uri="{FF2B5EF4-FFF2-40B4-BE49-F238E27FC236}">
              <a16:creationId xmlns:a16="http://schemas.microsoft.com/office/drawing/2014/main" id="{AD23131D-94CF-DD55-61FE-DC855297C55E}"/>
            </a:ext>
          </a:extLst>
        </xdr:cNvPr>
        <xdr:cNvPicPr>
          <a:picLocks noChangeAspect="1"/>
        </xdr:cNvPicPr>
      </xdr:nvPicPr>
      <xdr:blipFill>
        <a:blip xmlns:r="http://schemas.openxmlformats.org/officeDocument/2006/relationships" r:link="rId365"/>
        <a:stretch>
          <a:fillRect/>
        </a:stretch>
      </xdr:blipFill>
      <xdr:spPr>
        <a:xfrm>
          <a:off x="28457211" y="519089917"/>
          <a:ext cx="967149" cy="970752"/>
        </a:xfrm>
        <a:prstGeom prst="rect">
          <a:avLst/>
        </a:prstGeom>
      </xdr:spPr>
    </xdr:pic>
    <xdr:clientData/>
  </xdr:twoCellAnchor>
  <xdr:twoCellAnchor editAs="oneCell">
    <xdr:from>
      <xdr:col>12</xdr:col>
      <xdr:colOff>689414</xdr:colOff>
      <xdr:row>373</xdr:row>
      <xdr:rowOff>206234</xdr:rowOff>
    </xdr:from>
    <xdr:to>
      <xdr:col>12</xdr:col>
      <xdr:colOff>1656563</xdr:colOff>
      <xdr:row>373</xdr:row>
      <xdr:rowOff>1177579</xdr:rowOff>
    </xdr:to>
    <xdr:pic>
      <xdr:nvPicPr>
        <xdr:cNvPr id="749" name="Picture 748">
          <a:extLst>
            <a:ext uri="{FF2B5EF4-FFF2-40B4-BE49-F238E27FC236}">
              <a16:creationId xmlns:a16="http://schemas.microsoft.com/office/drawing/2014/main" id="{4C6EBF33-48B1-00B0-EBEE-FB316E371F6B}"/>
            </a:ext>
          </a:extLst>
        </xdr:cNvPr>
        <xdr:cNvPicPr>
          <a:picLocks noChangeAspect="1"/>
        </xdr:cNvPicPr>
      </xdr:nvPicPr>
      <xdr:blipFill>
        <a:blip xmlns:r="http://schemas.openxmlformats.org/officeDocument/2006/relationships" r:link="rId366"/>
        <a:stretch>
          <a:fillRect/>
        </a:stretch>
      </xdr:blipFill>
      <xdr:spPr>
        <a:xfrm>
          <a:off x="28457211" y="520484336"/>
          <a:ext cx="967149" cy="971345"/>
        </a:xfrm>
        <a:prstGeom prst="rect">
          <a:avLst/>
        </a:prstGeom>
      </xdr:spPr>
    </xdr:pic>
    <xdr:clientData/>
  </xdr:twoCellAnchor>
  <xdr:twoCellAnchor editAs="oneCell">
    <xdr:from>
      <xdr:col>12</xdr:col>
      <xdr:colOff>689414</xdr:colOff>
      <xdr:row>374</xdr:row>
      <xdr:rowOff>206246</xdr:rowOff>
    </xdr:from>
    <xdr:to>
      <xdr:col>12</xdr:col>
      <xdr:colOff>1656563</xdr:colOff>
      <xdr:row>374</xdr:row>
      <xdr:rowOff>1177590</xdr:rowOff>
    </xdr:to>
    <xdr:pic>
      <xdr:nvPicPr>
        <xdr:cNvPr id="751" name="Picture 750">
          <a:extLst>
            <a:ext uri="{FF2B5EF4-FFF2-40B4-BE49-F238E27FC236}">
              <a16:creationId xmlns:a16="http://schemas.microsoft.com/office/drawing/2014/main" id="{22A2E1E2-ABAD-CC7E-E4AD-4912142E83E4}"/>
            </a:ext>
          </a:extLst>
        </xdr:cNvPr>
        <xdr:cNvPicPr>
          <a:picLocks noChangeAspect="1"/>
        </xdr:cNvPicPr>
      </xdr:nvPicPr>
      <xdr:blipFill>
        <a:blip xmlns:r="http://schemas.openxmlformats.org/officeDocument/2006/relationships" r:link="rId367"/>
        <a:stretch>
          <a:fillRect/>
        </a:stretch>
      </xdr:blipFill>
      <xdr:spPr>
        <a:xfrm>
          <a:off x="28457211" y="521879195"/>
          <a:ext cx="967149" cy="971344"/>
        </a:xfrm>
        <a:prstGeom prst="rect">
          <a:avLst/>
        </a:prstGeom>
      </xdr:spPr>
    </xdr:pic>
    <xdr:clientData/>
  </xdr:twoCellAnchor>
  <xdr:twoCellAnchor editAs="oneCell">
    <xdr:from>
      <xdr:col>12</xdr:col>
      <xdr:colOff>689414</xdr:colOff>
      <xdr:row>375</xdr:row>
      <xdr:rowOff>206643</xdr:rowOff>
    </xdr:from>
    <xdr:to>
      <xdr:col>12</xdr:col>
      <xdr:colOff>1656563</xdr:colOff>
      <xdr:row>375</xdr:row>
      <xdr:rowOff>1177395</xdr:rowOff>
    </xdr:to>
    <xdr:pic>
      <xdr:nvPicPr>
        <xdr:cNvPr id="753" name="Picture 752">
          <a:extLst>
            <a:ext uri="{FF2B5EF4-FFF2-40B4-BE49-F238E27FC236}">
              <a16:creationId xmlns:a16="http://schemas.microsoft.com/office/drawing/2014/main" id="{0BF1ADBD-F272-1443-EB0A-C370B4C35BB4}"/>
            </a:ext>
          </a:extLst>
        </xdr:cNvPr>
        <xdr:cNvPicPr>
          <a:picLocks noChangeAspect="1"/>
        </xdr:cNvPicPr>
      </xdr:nvPicPr>
      <xdr:blipFill>
        <a:blip xmlns:r="http://schemas.openxmlformats.org/officeDocument/2006/relationships" r:link="rId368"/>
        <a:stretch>
          <a:fillRect/>
        </a:stretch>
      </xdr:blipFill>
      <xdr:spPr>
        <a:xfrm>
          <a:off x="28457211" y="523274440"/>
          <a:ext cx="967149" cy="970752"/>
        </a:xfrm>
        <a:prstGeom prst="rect">
          <a:avLst/>
        </a:prstGeom>
      </xdr:spPr>
    </xdr:pic>
    <xdr:clientData/>
  </xdr:twoCellAnchor>
  <xdr:twoCellAnchor editAs="oneCell">
    <xdr:from>
      <xdr:col>12</xdr:col>
      <xdr:colOff>689414</xdr:colOff>
      <xdr:row>376</xdr:row>
      <xdr:rowOff>206653</xdr:rowOff>
    </xdr:from>
    <xdr:to>
      <xdr:col>12</xdr:col>
      <xdr:colOff>1656563</xdr:colOff>
      <xdr:row>376</xdr:row>
      <xdr:rowOff>1177405</xdr:rowOff>
    </xdr:to>
    <xdr:pic>
      <xdr:nvPicPr>
        <xdr:cNvPr id="755" name="Picture 754">
          <a:extLst>
            <a:ext uri="{FF2B5EF4-FFF2-40B4-BE49-F238E27FC236}">
              <a16:creationId xmlns:a16="http://schemas.microsoft.com/office/drawing/2014/main" id="{EF489801-28EF-DDA3-3C0D-940C13F9C74E}"/>
            </a:ext>
          </a:extLst>
        </xdr:cNvPr>
        <xdr:cNvPicPr>
          <a:picLocks noChangeAspect="1"/>
        </xdr:cNvPicPr>
      </xdr:nvPicPr>
      <xdr:blipFill>
        <a:blip xmlns:r="http://schemas.openxmlformats.org/officeDocument/2006/relationships" r:link="rId369"/>
        <a:stretch>
          <a:fillRect/>
        </a:stretch>
      </xdr:blipFill>
      <xdr:spPr>
        <a:xfrm>
          <a:off x="28457211" y="524669297"/>
          <a:ext cx="967149" cy="970752"/>
        </a:xfrm>
        <a:prstGeom prst="rect">
          <a:avLst/>
        </a:prstGeom>
      </xdr:spPr>
    </xdr:pic>
    <xdr:clientData/>
  </xdr:twoCellAnchor>
  <xdr:twoCellAnchor editAs="oneCell">
    <xdr:from>
      <xdr:col>12</xdr:col>
      <xdr:colOff>689414</xdr:colOff>
      <xdr:row>377</xdr:row>
      <xdr:rowOff>206663</xdr:rowOff>
    </xdr:from>
    <xdr:to>
      <xdr:col>12</xdr:col>
      <xdr:colOff>1656563</xdr:colOff>
      <xdr:row>377</xdr:row>
      <xdr:rowOff>1177415</xdr:rowOff>
    </xdr:to>
    <xdr:pic>
      <xdr:nvPicPr>
        <xdr:cNvPr id="757" name="Picture 756">
          <a:extLst>
            <a:ext uri="{FF2B5EF4-FFF2-40B4-BE49-F238E27FC236}">
              <a16:creationId xmlns:a16="http://schemas.microsoft.com/office/drawing/2014/main" id="{BEA4F454-67B1-0BC8-50AE-6F9B61B6503A}"/>
            </a:ext>
          </a:extLst>
        </xdr:cNvPr>
        <xdr:cNvPicPr>
          <a:picLocks noChangeAspect="1"/>
        </xdr:cNvPicPr>
      </xdr:nvPicPr>
      <xdr:blipFill>
        <a:blip xmlns:r="http://schemas.openxmlformats.org/officeDocument/2006/relationships" r:link="rId370"/>
        <a:stretch>
          <a:fillRect/>
        </a:stretch>
      </xdr:blipFill>
      <xdr:spPr>
        <a:xfrm>
          <a:off x="28457211" y="526064155"/>
          <a:ext cx="967149" cy="970752"/>
        </a:xfrm>
        <a:prstGeom prst="rect">
          <a:avLst/>
        </a:prstGeom>
      </xdr:spPr>
    </xdr:pic>
    <xdr:clientData/>
  </xdr:twoCellAnchor>
  <xdr:twoCellAnchor editAs="oneCell">
    <xdr:from>
      <xdr:col>12</xdr:col>
      <xdr:colOff>689414</xdr:colOff>
      <xdr:row>378</xdr:row>
      <xdr:rowOff>206236</xdr:rowOff>
    </xdr:from>
    <xdr:to>
      <xdr:col>12</xdr:col>
      <xdr:colOff>1656563</xdr:colOff>
      <xdr:row>378</xdr:row>
      <xdr:rowOff>1177580</xdr:rowOff>
    </xdr:to>
    <xdr:pic>
      <xdr:nvPicPr>
        <xdr:cNvPr id="759" name="Picture 758">
          <a:extLst>
            <a:ext uri="{FF2B5EF4-FFF2-40B4-BE49-F238E27FC236}">
              <a16:creationId xmlns:a16="http://schemas.microsoft.com/office/drawing/2014/main" id="{DF9A1CF3-F9DE-5075-95AA-BC7F975E0DBF}"/>
            </a:ext>
          </a:extLst>
        </xdr:cNvPr>
        <xdr:cNvPicPr>
          <a:picLocks noChangeAspect="1"/>
        </xdr:cNvPicPr>
      </xdr:nvPicPr>
      <xdr:blipFill>
        <a:blip xmlns:r="http://schemas.openxmlformats.org/officeDocument/2006/relationships" r:link="rId371"/>
        <a:stretch>
          <a:fillRect/>
        </a:stretch>
      </xdr:blipFill>
      <xdr:spPr>
        <a:xfrm>
          <a:off x="28457211" y="527458575"/>
          <a:ext cx="967149" cy="971344"/>
        </a:xfrm>
        <a:prstGeom prst="rect">
          <a:avLst/>
        </a:prstGeom>
      </xdr:spPr>
    </xdr:pic>
    <xdr:clientData/>
  </xdr:twoCellAnchor>
  <xdr:twoCellAnchor editAs="oneCell">
    <xdr:from>
      <xdr:col>12</xdr:col>
      <xdr:colOff>689414</xdr:colOff>
      <xdr:row>379</xdr:row>
      <xdr:rowOff>206246</xdr:rowOff>
    </xdr:from>
    <xdr:to>
      <xdr:col>12</xdr:col>
      <xdr:colOff>1656563</xdr:colOff>
      <xdr:row>379</xdr:row>
      <xdr:rowOff>1177590</xdr:rowOff>
    </xdr:to>
    <xdr:pic>
      <xdr:nvPicPr>
        <xdr:cNvPr id="761" name="Picture 760">
          <a:extLst>
            <a:ext uri="{FF2B5EF4-FFF2-40B4-BE49-F238E27FC236}">
              <a16:creationId xmlns:a16="http://schemas.microsoft.com/office/drawing/2014/main" id="{DE1A41DB-BD83-BDA0-EA5A-B8CD485720DC}"/>
            </a:ext>
          </a:extLst>
        </xdr:cNvPr>
        <xdr:cNvPicPr>
          <a:picLocks noChangeAspect="1"/>
        </xdr:cNvPicPr>
      </xdr:nvPicPr>
      <xdr:blipFill>
        <a:blip xmlns:r="http://schemas.openxmlformats.org/officeDocument/2006/relationships" r:link="rId372"/>
        <a:stretch>
          <a:fillRect/>
        </a:stretch>
      </xdr:blipFill>
      <xdr:spPr>
        <a:xfrm>
          <a:off x="28457211" y="528853432"/>
          <a:ext cx="967149" cy="971344"/>
        </a:xfrm>
        <a:prstGeom prst="rect">
          <a:avLst/>
        </a:prstGeom>
      </xdr:spPr>
    </xdr:pic>
    <xdr:clientData/>
  </xdr:twoCellAnchor>
  <xdr:twoCellAnchor editAs="oneCell">
    <xdr:from>
      <xdr:col>12</xdr:col>
      <xdr:colOff>689414</xdr:colOff>
      <xdr:row>380</xdr:row>
      <xdr:rowOff>206643</xdr:rowOff>
    </xdr:from>
    <xdr:to>
      <xdr:col>12</xdr:col>
      <xdr:colOff>1656563</xdr:colOff>
      <xdr:row>380</xdr:row>
      <xdr:rowOff>1177395</xdr:rowOff>
    </xdr:to>
    <xdr:pic>
      <xdr:nvPicPr>
        <xdr:cNvPr id="763" name="Picture 762">
          <a:extLst>
            <a:ext uri="{FF2B5EF4-FFF2-40B4-BE49-F238E27FC236}">
              <a16:creationId xmlns:a16="http://schemas.microsoft.com/office/drawing/2014/main" id="{5FDD60B4-3653-1B26-0259-0AD0EF44775B}"/>
            </a:ext>
          </a:extLst>
        </xdr:cNvPr>
        <xdr:cNvPicPr>
          <a:picLocks noChangeAspect="1"/>
        </xdr:cNvPicPr>
      </xdr:nvPicPr>
      <xdr:blipFill>
        <a:blip xmlns:r="http://schemas.openxmlformats.org/officeDocument/2006/relationships" r:link="rId373"/>
        <a:stretch>
          <a:fillRect/>
        </a:stretch>
      </xdr:blipFill>
      <xdr:spPr>
        <a:xfrm>
          <a:off x="28457211" y="530248677"/>
          <a:ext cx="967149" cy="970752"/>
        </a:xfrm>
        <a:prstGeom prst="rect">
          <a:avLst/>
        </a:prstGeom>
      </xdr:spPr>
    </xdr:pic>
    <xdr:clientData/>
  </xdr:twoCellAnchor>
  <xdr:twoCellAnchor editAs="oneCell">
    <xdr:from>
      <xdr:col>12</xdr:col>
      <xdr:colOff>689414</xdr:colOff>
      <xdr:row>381</xdr:row>
      <xdr:rowOff>206653</xdr:rowOff>
    </xdr:from>
    <xdr:to>
      <xdr:col>12</xdr:col>
      <xdr:colOff>1656563</xdr:colOff>
      <xdr:row>381</xdr:row>
      <xdr:rowOff>1177405</xdr:rowOff>
    </xdr:to>
    <xdr:pic>
      <xdr:nvPicPr>
        <xdr:cNvPr id="765" name="Picture 764">
          <a:extLst>
            <a:ext uri="{FF2B5EF4-FFF2-40B4-BE49-F238E27FC236}">
              <a16:creationId xmlns:a16="http://schemas.microsoft.com/office/drawing/2014/main" id="{BEAF3C3F-7631-6E92-8F29-2D04D3FFD514}"/>
            </a:ext>
          </a:extLst>
        </xdr:cNvPr>
        <xdr:cNvPicPr>
          <a:picLocks noChangeAspect="1"/>
        </xdr:cNvPicPr>
      </xdr:nvPicPr>
      <xdr:blipFill>
        <a:blip xmlns:r="http://schemas.openxmlformats.org/officeDocument/2006/relationships" r:link="rId374"/>
        <a:stretch>
          <a:fillRect/>
        </a:stretch>
      </xdr:blipFill>
      <xdr:spPr>
        <a:xfrm>
          <a:off x="28457211" y="531643534"/>
          <a:ext cx="967149" cy="970752"/>
        </a:xfrm>
        <a:prstGeom prst="rect">
          <a:avLst/>
        </a:prstGeom>
      </xdr:spPr>
    </xdr:pic>
    <xdr:clientData/>
  </xdr:twoCellAnchor>
  <xdr:twoCellAnchor editAs="oneCell">
    <xdr:from>
      <xdr:col>12</xdr:col>
      <xdr:colOff>689414</xdr:colOff>
      <xdr:row>382</xdr:row>
      <xdr:rowOff>206663</xdr:rowOff>
    </xdr:from>
    <xdr:to>
      <xdr:col>12</xdr:col>
      <xdr:colOff>1656563</xdr:colOff>
      <xdr:row>382</xdr:row>
      <xdr:rowOff>1177415</xdr:rowOff>
    </xdr:to>
    <xdr:pic>
      <xdr:nvPicPr>
        <xdr:cNvPr id="767" name="Picture 766">
          <a:extLst>
            <a:ext uri="{FF2B5EF4-FFF2-40B4-BE49-F238E27FC236}">
              <a16:creationId xmlns:a16="http://schemas.microsoft.com/office/drawing/2014/main" id="{132A09D1-0006-1512-AD5E-3E4F2929DB8D}"/>
            </a:ext>
          </a:extLst>
        </xdr:cNvPr>
        <xdr:cNvPicPr>
          <a:picLocks noChangeAspect="1"/>
        </xdr:cNvPicPr>
      </xdr:nvPicPr>
      <xdr:blipFill>
        <a:blip xmlns:r="http://schemas.openxmlformats.org/officeDocument/2006/relationships" r:link="rId375"/>
        <a:stretch>
          <a:fillRect/>
        </a:stretch>
      </xdr:blipFill>
      <xdr:spPr>
        <a:xfrm>
          <a:off x="28457211" y="533038392"/>
          <a:ext cx="967149" cy="970752"/>
        </a:xfrm>
        <a:prstGeom prst="rect">
          <a:avLst/>
        </a:prstGeom>
      </xdr:spPr>
    </xdr:pic>
    <xdr:clientData/>
  </xdr:twoCellAnchor>
  <xdr:twoCellAnchor editAs="oneCell">
    <xdr:from>
      <xdr:col>12</xdr:col>
      <xdr:colOff>689414</xdr:colOff>
      <xdr:row>383</xdr:row>
      <xdr:rowOff>206236</xdr:rowOff>
    </xdr:from>
    <xdr:to>
      <xdr:col>12</xdr:col>
      <xdr:colOff>1656563</xdr:colOff>
      <xdr:row>383</xdr:row>
      <xdr:rowOff>1177580</xdr:rowOff>
    </xdr:to>
    <xdr:pic>
      <xdr:nvPicPr>
        <xdr:cNvPr id="769" name="Picture 768">
          <a:extLst>
            <a:ext uri="{FF2B5EF4-FFF2-40B4-BE49-F238E27FC236}">
              <a16:creationId xmlns:a16="http://schemas.microsoft.com/office/drawing/2014/main" id="{FD1C21D1-C263-8506-1388-869BFEE5E531}"/>
            </a:ext>
          </a:extLst>
        </xdr:cNvPr>
        <xdr:cNvPicPr>
          <a:picLocks noChangeAspect="1"/>
        </xdr:cNvPicPr>
      </xdr:nvPicPr>
      <xdr:blipFill>
        <a:blip xmlns:r="http://schemas.openxmlformats.org/officeDocument/2006/relationships" r:link="rId376"/>
        <a:stretch>
          <a:fillRect/>
        </a:stretch>
      </xdr:blipFill>
      <xdr:spPr>
        <a:xfrm>
          <a:off x="28457211" y="534432812"/>
          <a:ext cx="967149" cy="971344"/>
        </a:xfrm>
        <a:prstGeom prst="rect">
          <a:avLst/>
        </a:prstGeom>
      </xdr:spPr>
    </xdr:pic>
    <xdr:clientData/>
  </xdr:twoCellAnchor>
  <xdr:twoCellAnchor editAs="oneCell">
    <xdr:from>
      <xdr:col>12</xdr:col>
      <xdr:colOff>689414</xdr:colOff>
      <xdr:row>384</xdr:row>
      <xdr:rowOff>206244</xdr:rowOff>
    </xdr:from>
    <xdr:to>
      <xdr:col>12</xdr:col>
      <xdr:colOff>1656563</xdr:colOff>
      <xdr:row>384</xdr:row>
      <xdr:rowOff>1177589</xdr:rowOff>
    </xdr:to>
    <xdr:pic>
      <xdr:nvPicPr>
        <xdr:cNvPr id="771" name="Picture 770">
          <a:extLst>
            <a:ext uri="{FF2B5EF4-FFF2-40B4-BE49-F238E27FC236}">
              <a16:creationId xmlns:a16="http://schemas.microsoft.com/office/drawing/2014/main" id="{39C9C498-990E-BA66-71B9-FE4E1E9D414F}"/>
            </a:ext>
          </a:extLst>
        </xdr:cNvPr>
        <xdr:cNvPicPr>
          <a:picLocks noChangeAspect="1"/>
        </xdr:cNvPicPr>
      </xdr:nvPicPr>
      <xdr:blipFill>
        <a:blip xmlns:r="http://schemas.openxmlformats.org/officeDocument/2006/relationships" r:link="rId377"/>
        <a:stretch>
          <a:fillRect/>
        </a:stretch>
      </xdr:blipFill>
      <xdr:spPr>
        <a:xfrm>
          <a:off x="28457211" y="535827668"/>
          <a:ext cx="967149" cy="971345"/>
        </a:xfrm>
        <a:prstGeom prst="rect">
          <a:avLst/>
        </a:prstGeom>
      </xdr:spPr>
    </xdr:pic>
    <xdr:clientData/>
  </xdr:twoCellAnchor>
  <xdr:twoCellAnchor editAs="oneCell">
    <xdr:from>
      <xdr:col>12</xdr:col>
      <xdr:colOff>689414</xdr:colOff>
      <xdr:row>385</xdr:row>
      <xdr:rowOff>206643</xdr:rowOff>
    </xdr:from>
    <xdr:to>
      <xdr:col>12</xdr:col>
      <xdr:colOff>1656563</xdr:colOff>
      <xdr:row>385</xdr:row>
      <xdr:rowOff>1177395</xdr:rowOff>
    </xdr:to>
    <xdr:pic>
      <xdr:nvPicPr>
        <xdr:cNvPr id="773" name="Picture 772">
          <a:extLst>
            <a:ext uri="{FF2B5EF4-FFF2-40B4-BE49-F238E27FC236}">
              <a16:creationId xmlns:a16="http://schemas.microsoft.com/office/drawing/2014/main" id="{A2F2E9D7-ABC3-B8BF-860D-E8EDDBE02453}"/>
            </a:ext>
          </a:extLst>
        </xdr:cNvPr>
        <xdr:cNvPicPr>
          <a:picLocks noChangeAspect="1"/>
        </xdr:cNvPicPr>
      </xdr:nvPicPr>
      <xdr:blipFill>
        <a:blip xmlns:r="http://schemas.openxmlformats.org/officeDocument/2006/relationships" r:link="rId378"/>
        <a:stretch>
          <a:fillRect/>
        </a:stretch>
      </xdr:blipFill>
      <xdr:spPr>
        <a:xfrm>
          <a:off x="28457211" y="537222914"/>
          <a:ext cx="967149" cy="970752"/>
        </a:xfrm>
        <a:prstGeom prst="rect">
          <a:avLst/>
        </a:prstGeom>
      </xdr:spPr>
    </xdr:pic>
    <xdr:clientData/>
  </xdr:twoCellAnchor>
  <xdr:twoCellAnchor editAs="oneCell">
    <xdr:from>
      <xdr:col>12</xdr:col>
      <xdr:colOff>689414</xdr:colOff>
      <xdr:row>386</xdr:row>
      <xdr:rowOff>206653</xdr:rowOff>
    </xdr:from>
    <xdr:to>
      <xdr:col>12</xdr:col>
      <xdr:colOff>1656563</xdr:colOff>
      <xdr:row>386</xdr:row>
      <xdr:rowOff>1177405</xdr:rowOff>
    </xdr:to>
    <xdr:pic>
      <xdr:nvPicPr>
        <xdr:cNvPr id="775" name="Picture 774">
          <a:extLst>
            <a:ext uri="{FF2B5EF4-FFF2-40B4-BE49-F238E27FC236}">
              <a16:creationId xmlns:a16="http://schemas.microsoft.com/office/drawing/2014/main" id="{44842EFE-ADCD-6865-5483-3A0D30E22575}"/>
            </a:ext>
          </a:extLst>
        </xdr:cNvPr>
        <xdr:cNvPicPr>
          <a:picLocks noChangeAspect="1"/>
        </xdr:cNvPicPr>
      </xdr:nvPicPr>
      <xdr:blipFill>
        <a:blip xmlns:r="http://schemas.openxmlformats.org/officeDocument/2006/relationships" r:link="rId379"/>
        <a:stretch>
          <a:fillRect/>
        </a:stretch>
      </xdr:blipFill>
      <xdr:spPr>
        <a:xfrm>
          <a:off x="28457211" y="538617772"/>
          <a:ext cx="967149" cy="970752"/>
        </a:xfrm>
        <a:prstGeom prst="rect">
          <a:avLst/>
        </a:prstGeom>
      </xdr:spPr>
    </xdr:pic>
    <xdr:clientData/>
  </xdr:twoCellAnchor>
  <xdr:twoCellAnchor editAs="oneCell">
    <xdr:from>
      <xdr:col>12</xdr:col>
      <xdr:colOff>689414</xdr:colOff>
      <xdr:row>387</xdr:row>
      <xdr:rowOff>206663</xdr:rowOff>
    </xdr:from>
    <xdr:to>
      <xdr:col>12</xdr:col>
      <xdr:colOff>1656563</xdr:colOff>
      <xdr:row>387</xdr:row>
      <xdr:rowOff>1177415</xdr:rowOff>
    </xdr:to>
    <xdr:pic>
      <xdr:nvPicPr>
        <xdr:cNvPr id="777" name="Picture 776">
          <a:extLst>
            <a:ext uri="{FF2B5EF4-FFF2-40B4-BE49-F238E27FC236}">
              <a16:creationId xmlns:a16="http://schemas.microsoft.com/office/drawing/2014/main" id="{5B2E4834-77B6-02BB-D933-F84B6B9FEF31}"/>
            </a:ext>
          </a:extLst>
        </xdr:cNvPr>
        <xdr:cNvPicPr>
          <a:picLocks noChangeAspect="1"/>
        </xdr:cNvPicPr>
      </xdr:nvPicPr>
      <xdr:blipFill>
        <a:blip xmlns:r="http://schemas.openxmlformats.org/officeDocument/2006/relationships" r:link="rId380"/>
        <a:stretch>
          <a:fillRect/>
        </a:stretch>
      </xdr:blipFill>
      <xdr:spPr>
        <a:xfrm>
          <a:off x="28457211" y="540012629"/>
          <a:ext cx="967149" cy="970752"/>
        </a:xfrm>
        <a:prstGeom prst="rect">
          <a:avLst/>
        </a:prstGeom>
      </xdr:spPr>
    </xdr:pic>
    <xdr:clientData/>
  </xdr:twoCellAnchor>
  <xdr:twoCellAnchor editAs="oneCell">
    <xdr:from>
      <xdr:col>12</xdr:col>
      <xdr:colOff>689414</xdr:colOff>
      <xdr:row>388</xdr:row>
      <xdr:rowOff>206234</xdr:rowOff>
    </xdr:from>
    <xdr:to>
      <xdr:col>12</xdr:col>
      <xdr:colOff>1656563</xdr:colOff>
      <xdr:row>388</xdr:row>
      <xdr:rowOff>1177579</xdr:rowOff>
    </xdr:to>
    <xdr:pic>
      <xdr:nvPicPr>
        <xdr:cNvPr id="779" name="Picture 778">
          <a:extLst>
            <a:ext uri="{FF2B5EF4-FFF2-40B4-BE49-F238E27FC236}">
              <a16:creationId xmlns:a16="http://schemas.microsoft.com/office/drawing/2014/main" id="{4FB6A3BD-F425-E5EE-0E20-EDEF3F8BAF74}"/>
            </a:ext>
          </a:extLst>
        </xdr:cNvPr>
        <xdr:cNvPicPr>
          <a:picLocks noChangeAspect="1"/>
        </xdr:cNvPicPr>
      </xdr:nvPicPr>
      <xdr:blipFill>
        <a:blip xmlns:r="http://schemas.openxmlformats.org/officeDocument/2006/relationships" r:link="rId381"/>
        <a:stretch>
          <a:fillRect/>
        </a:stretch>
      </xdr:blipFill>
      <xdr:spPr>
        <a:xfrm>
          <a:off x="28457211" y="541407048"/>
          <a:ext cx="967149" cy="971345"/>
        </a:xfrm>
        <a:prstGeom prst="rect">
          <a:avLst/>
        </a:prstGeom>
      </xdr:spPr>
    </xdr:pic>
    <xdr:clientData/>
  </xdr:twoCellAnchor>
  <xdr:twoCellAnchor editAs="oneCell">
    <xdr:from>
      <xdr:col>12</xdr:col>
      <xdr:colOff>689414</xdr:colOff>
      <xdr:row>389</xdr:row>
      <xdr:rowOff>206246</xdr:rowOff>
    </xdr:from>
    <xdr:to>
      <xdr:col>12</xdr:col>
      <xdr:colOff>1656563</xdr:colOff>
      <xdr:row>389</xdr:row>
      <xdr:rowOff>1177590</xdr:rowOff>
    </xdr:to>
    <xdr:pic>
      <xdr:nvPicPr>
        <xdr:cNvPr id="781" name="Picture 780">
          <a:extLst>
            <a:ext uri="{FF2B5EF4-FFF2-40B4-BE49-F238E27FC236}">
              <a16:creationId xmlns:a16="http://schemas.microsoft.com/office/drawing/2014/main" id="{FADA921A-853B-8A08-FE02-E54EC3173F85}"/>
            </a:ext>
          </a:extLst>
        </xdr:cNvPr>
        <xdr:cNvPicPr>
          <a:picLocks noChangeAspect="1"/>
        </xdr:cNvPicPr>
      </xdr:nvPicPr>
      <xdr:blipFill>
        <a:blip xmlns:r="http://schemas.openxmlformats.org/officeDocument/2006/relationships" r:link="rId382"/>
        <a:stretch>
          <a:fillRect/>
        </a:stretch>
      </xdr:blipFill>
      <xdr:spPr>
        <a:xfrm>
          <a:off x="28457211" y="542801907"/>
          <a:ext cx="967149" cy="971344"/>
        </a:xfrm>
        <a:prstGeom prst="rect">
          <a:avLst/>
        </a:prstGeom>
      </xdr:spPr>
    </xdr:pic>
    <xdr:clientData/>
  </xdr:twoCellAnchor>
  <xdr:twoCellAnchor editAs="oneCell">
    <xdr:from>
      <xdr:col>12</xdr:col>
      <xdr:colOff>689414</xdr:colOff>
      <xdr:row>390</xdr:row>
      <xdr:rowOff>206643</xdr:rowOff>
    </xdr:from>
    <xdr:to>
      <xdr:col>12</xdr:col>
      <xdr:colOff>1656563</xdr:colOff>
      <xdr:row>390</xdr:row>
      <xdr:rowOff>1177395</xdr:rowOff>
    </xdr:to>
    <xdr:pic>
      <xdr:nvPicPr>
        <xdr:cNvPr id="783" name="Picture 782">
          <a:extLst>
            <a:ext uri="{FF2B5EF4-FFF2-40B4-BE49-F238E27FC236}">
              <a16:creationId xmlns:a16="http://schemas.microsoft.com/office/drawing/2014/main" id="{BCE6EA4D-584A-DCFD-9C66-8590E05C12B9}"/>
            </a:ext>
          </a:extLst>
        </xdr:cNvPr>
        <xdr:cNvPicPr>
          <a:picLocks noChangeAspect="1"/>
        </xdr:cNvPicPr>
      </xdr:nvPicPr>
      <xdr:blipFill>
        <a:blip xmlns:r="http://schemas.openxmlformats.org/officeDocument/2006/relationships" r:link="rId383"/>
        <a:stretch>
          <a:fillRect/>
        </a:stretch>
      </xdr:blipFill>
      <xdr:spPr>
        <a:xfrm>
          <a:off x="28457211" y="544197151"/>
          <a:ext cx="967149" cy="970752"/>
        </a:xfrm>
        <a:prstGeom prst="rect">
          <a:avLst/>
        </a:prstGeom>
      </xdr:spPr>
    </xdr:pic>
    <xdr:clientData/>
  </xdr:twoCellAnchor>
  <xdr:twoCellAnchor editAs="oneCell">
    <xdr:from>
      <xdr:col>12</xdr:col>
      <xdr:colOff>689414</xdr:colOff>
      <xdr:row>391</xdr:row>
      <xdr:rowOff>206653</xdr:rowOff>
    </xdr:from>
    <xdr:to>
      <xdr:col>12</xdr:col>
      <xdr:colOff>1656563</xdr:colOff>
      <xdr:row>391</xdr:row>
      <xdr:rowOff>1177405</xdr:rowOff>
    </xdr:to>
    <xdr:pic>
      <xdr:nvPicPr>
        <xdr:cNvPr id="785" name="Picture 784">
          <a:extLst>
            <a:ext uri="{FF2B5EF4-FFF2-40B4-BE49-F238E27FC236}">
              <a16:creationId xmlns:a16="http://schemas.microsoft.com/office/drawing/2014/main" id="{24F75C41-57E0-CB1A-941E-64D3FA28F5DE}"/>
            </a:ext>
          </a:extLst>
        </xdr:cNvPr>
        <xdr:cNvPicPr>
          <a:picLocks noChangeAspect="1"/>
        </xdr:cNvPicPr>
      </xdr:nvPicPr>
      <xdr:blipFill>
        <a:blip xmlns:r="http://schemas.openxmlformats.org/officeDocument/2006/relationships" r:link="rId384"/>
        <a:stretch>
          <a:fillRect/>
        </a:stretch>
      </xdr:blipFill>
      <xdr:spPr>
        <a:xfrm>
          <a:off x="28457211" y="545592009"/>
          <a:ext cx="967149" cy="970752"/>
        </a:xfrm>
        <a:prstGeom prst="rect">
          <a:avLst/>
        </a:prstGeom>
      </xdr:spPr>
    </xdr:pic>
    <xdr:clientData/>
  </xdr:twoCellAnchor>
  <xdr:twoCellAnchor editAs="oneCell">
    <xdr:from>
      <xdr:col>12</xdr:col>
      <xdr:colOff>689414</xdr:colOff>
      <xdr:row>392</xdr:row>
      <xdr:rowOff>206663</xdr:rowOff>
    </xdr:from>
    <xdr:to>
      <xdr:col>12</xdr:col>
      <xdr:colOff>1656563</xdr:colOff>
      <xdr:row>392</xdr:row>
      <xdr:rowOff>1177415</xdr:rowOff>
    </xdr:to>
    <xdr:pic>
      <xdr:nvPicPr>
        <xdr:cNvPr id="787" name="Picture 786">
          <a:extLst>
            <a:ext uri="{FF2B5EF4-FFF2-40B4-BE49-F238E27FC236}">
              <a16:creationId xmlns:a16="http://schemas.microsoft.com/office/drawing/2014/main" id="{A64EA129-6441-E967-F46F-29FAA4DC69A8}"/>
            </a:ext>
          </a:extLst>
        </xdr:cNvPr>
        <xdr:cNvPicPr>
          <a:picLocks noChangeAspect="1"/>
        </xdr:cNvPicPr>
      </xdr:nvPicPr>
      <xdr:blipFill>
        <a:blip xmlns:r="http://schemas.openxmlformats.org/officeDocument/2006/relationships" r:link="rId385"/>
        <a:stretch>
          <a:fillRect/>
        </a:stretch>
      </xdr:blipFill>
      <xdr:spPr>
        <a:xfrm>
          <a:off x="28457211" y="546986866"/>
          <a:ext cx="967149" cy="970752"/>
        </a:xfrm>
        <a:prstGeom prst="rect">
          <a:avLst/>
        </a:prstGeom>
      </xdr:spPr>
    </xdr:pic>
    <xdr:clientData/>
  </xdr:twoCellAnchor>
  <xdr:twoCellAnchor editAs="oneCell">
    <xdr:from>
      <xdr:col>12</xdr:col>
      <xdr:colOff>689414</xdr:colOff>
      <xdr:row>393</xdr:row>
      <xdr:rowOff>206234</xdr:rowOff>
    </xdr:from>
    <xdr:to>
      <xdr:col>12</xdr:col>
      <xdr:colOff>1656563</xdr:colOff>
      <xdr:row>393</xdr:row>
      <xdr:rowOff>1177579</xdr:rowOff>
    </xdr:to>
    <xdr:pic>
      <xdr:nvPicPr>
        <xdr:cNvPr id="789" name="Picture 788">
          <a:extLst>
            <a:ext uri="{FF2B5EF4-FFF2-40B4-BE49-F238E27FC236}">
              <a16:creationId xmlns:a16="http://schemas.microsoft.com/office/drawing/2014/main" id="{B4A6FD71-5468-AE35-A389-23789B5219BD}"/>
            </a:ext>
          </a:extLst>
        </xdr:cNvPr>
        <xdr:cNvPicPr>
          <a:picLocks noChangeAspect="1"/>
        </xdr:cNvPicPr>
      </xdr:nvPicPr>
      <xdr:blipFill>
        <a:blip xmlns:r="http://schemas.openxmlformats.org/officeDocument/2006/relationships" r:link="rId386"/>
        <a:stretch>
          <a:fillRect/>
        </a:stretch>
      </xdr:blipFill>
      <xdr:spPr>
        <a:xfrm>
          <a:off x="28457211" y="548381285"/>
          <a:ext cx="967149" cy="971345"/>
        </a:xfrm>
        <a:prstGeom prst="rect">
          <a:avLst/>
        </a:prstGeom>
      </xdr:spPr>
    </xdr:pic>
    <xdr:clientData/>
  </xdr:twoCellAnchor>
  <xdr:twoCellAnchor editAs="oneCell">
    <xdr:from>
      <xdr:col>12</xdr:col>
      <xdr:colOff>689414</xdr:colOff>
      <xdr:row>394</xdr:row>
      <xdr:rowOff>206246</xdr:rowOff>
    </xdr:from>
    <xdr:to>
      <xdr:col>12</xdr:col>
      <xdr:colOff>1656563</xdr:colOff>
      <xdr:row>394</xdr:row>
      <xdr:rowOff>1177590</xdr:rowOff>
    </xdr:to>
    <xdr:pic>
      <xdr:nvPicPr>
        <xdr:cNvPr id="791" name="Picture 790">
          <a:extLst>
            <a:ext uri="{FF2B5EF4-FFF2-40B4-BE49-F238E27FC236}">
              <a16:creationId xmlns:a16="http://schemas.microsoft.com/office/drawing/2014/main" id="{25BB8766-FF02-455D-854C-71032201F636}"/>
            </a:ext>
          </a:extLst>
        </xdr:cNvPr>
        <xdr:cNvPicPr>
          <a:picLocks noChangeAspect="1"/>
        </xdr:cNvPicPr>
      </xdr:nvPicPr>
      <xdr:blipFill>
        <a:blip xmlns:r="http://schemas.openxmlformats.org/officeDocument/2006/relationships" r:link="rId387"/>
        <a:stretch>
          <a:fillRect/>
        </a:stretch>
      </xdr:blipFill>
      <xdr:spPr>
        <a:xfrm>
          <a:off x="28457211" y="549776144"/>
          <a:ext cx="967149" cy="971344"/>
        </a:xfrm>
        <a:prstGeom prst="rect">
          <a:avLst/>
        </a:prstGeom>
      </xdr:spPr>
    </xdr:pic>
    <xdr:clientData/>
  </xdr:twoCellAnchor>
  <xdr:twoCellAnchor editAs="oneCell">
    <xdr:from>
      <xdr:col>12</xdr:col>
      <xdr:colOff>689414</xdr:colOff>
      <xdr:row>395</xdr:row>
      <xdr:rowOff>206643</xdr:rowOff>
    </xdr:from>
    <xdr:to>
      <xdr:col>12</xdr:col>
      <xdr:colOff>1656563</xdr:colOff>
      <xdr:row>395</xdr:row>
      <xdr:rowOff>1177395</xdr:rowOff>
    </xdr:to>
    <xdr:pic>
      <xdr:nvPicPr>
        <xdr:cNvPr id="793" name="Picture 792">
          <a:extLst>
            <a:ext uri="{FF2B5EF4-FFF2-40B4-BE49-F238E27FC236}">
              <a16:creationId xmlns:a16="http://schemas.microsoft.com/office/drawing/2014/main" id="{3E8D1353-EFE9-9BBF-CFC9-E8307147AB1A}"/>
            </a:ext>
          </a:extLst>
        </xdr:cNvPr>
        <xdr:cNvPicPr>
          <a:picLocks noChangeAspect="1"/>
        </xdr:cNvPicPr>
      </xdr:nvPicPr>
      <xdr:blipFill>
        <a:blip xmlns:r="http://schemas.openxmlformats.org/officeDocument/2006/relationships" r:link="rId388"/>
        <a:stretch>
          <a:fillRect/>
        </a:stretch>
      </xdr:blipFill>
      <xdr:spPr>
        <a:xfrm>
          <a:off x="28457211" y="551171389"/>
          <a:ext cx="967149" cy="970752"/>
        </a:xfrm>
        <a:prstGeom prst="rect">
          <a:avLst/>
        </a:prstGeom>
      </xdr:spPr>
    </xdr:pic>
    <xdr:clientData/>
  </xdr:twoCellAnchor>
  <xdr:twoCellAnchor editAs="oneCell">
    <xdr:from>
      <xdr:col>12</xdr:col>
      <xdr:colOff>689414</xdr:colOff>
      <xdr:row>396</xdr:row>
      <xdr:rowOff>206653</xdr:rowOff>
    </xdr:from>
    <xdr:to>
      <xdr:col>12</xdr:col>
      <xdr:colOff>1656563</xdr:colOff>
      <xdr:row>396</xdr:row>
      <xdr:rowOff>1177405</xdr:rowOff>
    </xdr:to>
    <xdr:pic>
      <xdr:nvPicPr>
        <xdr:cNvPr id="795" name="Picture 794">
          <a:extLst>
            <a:ext uri="{FF2B5EF4-FFF2-40B4-BE49-F238E27FC236}">
              <a16:creationId xmlns:a16="http://schemas.microsoft.com/office/drawing/2014/main" id="{6818B679-9239-7F0C-1564-F3A826E77437}"/>
            </a:ext>
          </a:extLst>
        </xdr:cNvPr>
        <xdr:cNvPicPr>
          <a:picLocks noChangeAspect="1"/>
        </xdr:cNvPicPr>
      </xdr:nvPicPr>
      <xdr:blipFill>
        <a:blip xmlns:r="http://schemas.openxmlformats.org/officeDocument/2006/relationships" r:link="rId389"/>
        <a:stretch>
          <a:fillRect/>
        </a:stretch>
      </xdr:blipFill>
      <xdr:spPr>
        <a:xfrm>
          <a:off x="28457211" y="552566246"/>
          <a:ext cx="967149" cy="970752"/>
        </a:xfrm>
        <a:prstGeom prst="rect">
          <a:avLst/>
        </a:prstGeom>
      </xdr:spPr>
    </xdr:pic>
    <xdr:clientData/>
  </xdr:twoCellAnchor>
  <xdr:twoCellAnchor editAs="oneCell">
    <xdr:from>
      <xdr:col>12</xdr:col>
      <xdr:colOff>689414</xdr:colOff>
      <xdr:row>397</xdr:row>
      <xdr:rowOff>206663</xdr:rowOff>
    </xdr:from>
    <xdr:to>
      <xdr:col>12</xdr:col>
      <xdr:colOff>1656563</xdr:colOff>
      <xdr:row>397</xdr:row>
      <xdr:rowOff>1177415</xdr:rowOff>
    </xdr:to>
    <xdr:pic>
      <xdr:nvPicPr>
        <xdr:cNvPr id="797" name="Picture 796">
          <a:extLst>
            <a:ext uri="{FF2B5EF4-FFF2-40B4-BE49-F238E27FC236}">
              <a16:creationId xmlns:a16="http://schemas.microsoft.com/office/drawing/2014/main" id="{AAF171D1-8B1D-1043-ACE9-A61DC8FAA920}"/>
            </a:ext>
          </a:extLst>
        </xdr:cNvPr>
        <xdr:cNvPicPr>
          <a:picLocks noChangeAspect="1"/>
        </xdr:cNvPicPr>
      </xdr:nvPicPr>
      <xdr:blipFill>
        <a:blip xmlns:r="http://schemas.openxmlformats.org/officeDocument/2006/relationships" r:link="rId390"/>
        <a:stretch>
          <a:fillRect/>
        </a:stretch>
      </xdr:blipFill>
      <xdr:spPr>
        <a:xfrm>
          <a:off x="28457211" y="553961104"/>
          <a:ext cx="967149" cy="970752"/>
        </a:xfrm>
        <a:prstGeom prst="rect">
          <a:avLst/>
        </a:prstGeom>
      </xdr:spPr>
    </xdr:pic>
    <xdr:clientData/>
  </xdr:twoCellAnchor>
  <xdr:twoCellAnchor editAs="oneCell">
    <xdr:from>
      <xdr:col>12</xdr:col>
      <xdr:colOff>689414</xdr:colOff>
      <xdr:row>398</xdr:row>
      <xdr:rowOff>206236</xdr:rowOff>
    </xdr:from>
    <xdr:to>
      <xdr:col>12</xdr:col>
      <xdr:colOff>1656563</xdr:colOff>
      <xdr:row>398</xdr:row>
      <xdr:rowOff>1177580</xdr:rowOff>
    </xdr:to>
    <xdr:pic>
      <xdr:nvPicPr>
        <xdr:cNvPr id="799" name="Picture 798">
          <a:extLst>
            <a:ext uri="{FF2B5EF4-FFF2-40B4-BE49-F238E27FC236}">
              <a16:creationId xmlns:a16="http://schemas.microsoft.com/office/drawing/2014/main" id="{EAB08EF7-BAAE-24BF-0AB9-A18A15DFD03F}"/>
            </a:ext>
          </a:extLst>
        </xdr:cNvPr>
        <xdr:cNvPicPr>
          <a:picLocks noChangeAspect="1"/>
        </xdr:cNvPicPr>
      </xdr:nvPicPr>
      <xdr:blipFill>
        <a:blip xmlns:r="http://schemas.openxmlformats.org/officeDocument/2006/relationships" r:link="rId391"/>
        <a:stretch>
          <a:fillRect/>
        </a:stretch>
      </xdr:blipFill>
      <xdr:spPr>
        <a:xfrm>
          <a:off x="28457211" y="555355524"/>
          <a:ext cx="967149" cy="971344"/>
        </a:xfrm>
        <a:prstGeom prst="rect">
          <a:avLst/>
        </a:prstGeom>
      </xdr:spPr>
    </xdr:pic>
    <xdr:clientData/>
  </xdr:twoCellAnchor>
  <xdr:twoCellAnchor editAs="oneCell">
    <xdr:from>
      <xdr:col>12</xdr:col>
      <xdr:colOff>689414</xdr:colOff>
      <xdr:row>399</xdr:row>
      <xdr:rowOff>206244</xdr:rowOff>
    </xdr:from>
    <xdr:to>
      <xdr:col>12</xdr:col>
      <xdr:colOff>1656563</xdr:colOff>
      <xdr:row>399</xdr:row>
      <xdr:rowOff>1177589</xdr:rowOff>
    </xdr:to>
    <xdr:pic>
      <xdr:nvPicPr>
        <xdr:cNvPr id="801" name="Picture 800">
          <a:extLst>
            <a:ext uri="{FF2B5EF4-FFF2-40B4-BE49-F238E27FC236}">
              <a16:creationId xmlns:a16="http://schemas.microsoft.com/office/drawing/2014/main" id="{4DC62B21-7275-7315-7C3A-66BE93A0B8A3}"/>
            </a:ext>
          </a:extLst>
        </xdr:cNvPr>
        <xdr:cNvPicPr>
          <a:picLocks noChangeAspect="1"/>
        </xdr:cNvPicPr>
      </xdr:nvPicPr>
      <xdr:blipFill>
        <a:blip xmlns:r="http://schemas.openxmlformats.org/officeDocument/2006/relationships" r:link="rId392"/>
        <a:stretch>
          <a:fillRect/>
        </a:stretch>
      </xdr:blipFill>
      <xdr:spPr>
        <a:xfrm>
          <a:off x="28457211" y="556750380"/>
          <a:ext cx="967149" cy="971345"/>
        </a:xfrm>
        <a:prstGeom prst="rect">
          <a:avLst/>
        </a:prstGeom>
      </xdr:spPr>
    </xdr:pic>
    <xdr:clientData/>
  </xdr:twoCellAnchor>
  <xdr:twoCellAnchor editAs="oneCell">
    <xdr:from>
      <xdr:col>12</xdr:col>
      <xdr:colOff>689414</xdr:colOff>
      <xdr:row>400</xdr:row>
      <xdr:rowOff>206643</xdr:rowOff>
    </xdr:from>
    <xdr:to>
      <xdr:col>12</xdr:col>
      <xdr:colOff>1656563</xdr:colOff>
      <xdr:row>400</xdr:row>
      <xdr:rowOff>1177395</xdr:rowOff>
    </xdr:to>
    <xdr:pic>
      <xdr:nvPicPr>
        <xdr:cNvPr id="803" name="Picture 802">
          <a:extLst>
            <a:ext uri="{FF2B5EF4-FFF2-40B4-BE49-F238E27FC236}">
              <a16:creationId xmlns:a16="http://schemas.microsoft.com/office/drawing/2014/main" id="{8AB3C7B8-763F-1B5A-4834-8EE246252225}"/>
            </a:ext>
          </a:extLst>
        </xdr:cNvPr>
        <xdr:cNvPicPr>
          <a:picLocks noChangeAspect="1"/>
        </xdr:cNvPicPr>
      </xdr:nvPicPr>
      <xdr:blipFill>
        <a:blip xmlns:r="http://schemas.openxmlformats.org/officeDocument/2006/relationships" r:link="rId393"/>
        <a:stretch>
          <a:fillRect/>
        </a:stretch>
      </xdr:blipFill>
      <xdr:spPr>
        <a:xfrm>
          <a:off x="28457211" y="558145626"/>
          <a:ext cx="967149" cy="970752"/>
        </a:xfrm>
        <a:prstGeom prst="rect">
          <a:avLst/>
        </a:prstGeom>
      </xdr:spPr>
    </xdr:pic>
    <xdr:clientData/>
  </xdr:twoCellAnchor>
  <xdr:twoCellAnchor editAs="oneCell">
    <xdr:from>
      <xdr:col>12</xdr:col>
      <xdr:colOff>689414</xdr:colOff>
      <xdr:row>401</xdr:row>
      <xdr:rowOff>206653</xdr:rowOff>
    </xdr:from>
    <xdr:to>
      <xdr:col>12</xdr:col>
      <xdr:colOff>1656563</xdr:colOff>
      <xdr:row>401</xdr:row>
      <xdr:rowOff>1177405</xdr:rowOff>
    </xdr:to>
    <xdr:pic>
      <xdr:nvPicPr>
        <xdr:cNvPr id="805" name="Picture 804">
          <a:extLst>
            <a:ext uri="{FF2B5EF4-FFF2-40B4-BE49-F238E27FC236}">
              <a16:creationId xmlns:a16="http://schemas.microsoft.com/office/drawing/2014/main" id="{8D72DB81-1273-7AEA-031F-8BD6A21B42A8}"/>
            </a:ext>
          </a:extLst>
        </xdr:cNvPr>
        <xdr:cNvPicPr>
          <a:picLocks noChangeAspect="1"/>
        </xdr:cNvPicPr>
      </xdr:nvPicPr>
      <xdr:blipFill>
        <a:blip xmlns:r="http://schemas.openxmlformats.org/officeDocument/2006/relationships" r:link="rId394"/>
        <a:stretch>
          <a:fillRect/>
        </a:stretch>
      </xdr:blipFill>
      <xdr:spPr>
        <a:xfrm>
          <a:off x="28457211" y="559540484"/>
          <a:ext cx="967149" cy="970752"/>
        </a:xfrm>
        <a:prstGeom prst="rect">
          <a:avLst/>
        </a:prstGeom>
      </xdr:spPr>
    </xdr:pic>
    <xdr:clientData/>
  </xdr:twoCellAnchor>
  <xdr:twoCellAnchor editAs="oneCell">
    <xdr:from>
      <xdr:col>12</xdr:col>
      <xdr:colOff>689414</xdr:colOff>
      <xdr:row>402</xdr:row>
      <xdr:rowOff>206663</xdr:rowOff>
    </xdr:from>
    <xdr:to>
      <xdr:col>12</xdr:col>
      <xdr:colOff>1656563</xdr:colOff>
      <xdr:row>402</xdr:row>
      <xdr:rowOff>1177415</xdr:rowOff>
    </xdr:to>
    <xdr:pic>
      <xdr:nvPicPr>
        <xdr:cNvPr id="807" name="Picture 806">
          <a:extLst>
            <a:ext uri="{FF2B5EF4-FFF2-40B4-BE49-F238E27FC236}">
              <a16:creationId xmlns:a16="http://schemas.microsoft.com/office/drawing/2014/main" id="{7B8FE149-C55C-7E67-6EC6-53CF8058E71C}"/>
            </a:ext>
          </a:extLst>
        </xdr:cNvPr>
        <xdr:cNvPicPr>
          <a:picLocks noChangeAspect="1"/>
        </xdr:cNvPicPr>
      </xdr:nvPicPr>
      <xdr:blipFill>
        <a:blip xmlns:r="http://schemas.openxmlformats.org/officeDocument/2006/relationships" r:link="rId395"/>
        <a:stretch>
          <a:fillRect/>
        </a:stretch>
      </xdr:blipFill>
      <xdr:spPr>
        <a:xfrm>
          <a:off x="28457211" y="560935341"/>
          <a:ext cx="967149" cy="970752"/>
        </a:xfrm>
        <a:prstGeom prst="rect">
          <a:avLst/>
        </a:prstGeom>
      </xdr:spPr>
    </xdr:pic>
    <xdr:clientData/>
  </xdr:twoCellAnchor>
  <xdr:twoCellAnchor editAs="oneCell">
    <xdr:from>
      <xdr:col>12</xdr:col>
      <xdr:colOff>689414</xdr:colOff>
      <xdr:row>403</xdr:row>
      <xdr:rowOff>206236</xdr:rowOff>
    </xdr:from>
    <xdr:to>
      <xdr:col>12</xdr:col>
      <xdr:colOff>1656563</xdr:colOff>
      <xdr:row>403</xdr:row>
      <xdr:rowOff>1177580</xdr:rowOff>
    </xdr:to>
    <xdr:pic>
      <xdr:nvPicPr>
        <xdr:cNvPr id="809" name="Picture 808">
          <a:extLst>
            <a:ext uri="{FF2B5EF4-FFF2-40B4-BE49-F238E27FC236}">
              <a16:creationId xmlns:a16="http://schemas.microsoft.com/office/drawing/2014/main" id="{548E0917-BBBC-BB3E-70FB-2A85E22E6DBA}"/>
            </a:ext>
          </a:extLst>
        </xdr:cNvPr>
        <xdr:cNvPicPr>
          <a:picLocks noChangeAspect="1"/>
        </xdr:cNvPicPr>
      </xdr:nvPicPr>
      <xdr:blipFill>
        <a:blip xmlns:r="http://schemas.openxmlformats.org/officeDocument/2006/relationships" r:link="rId396"/>
        <a:stretch>
          <a:fillRect/>
        </a:stretch>
      </xdr:blipFill>
      <xdr:spPr>
        <a:xfrm>
          <a:off x="28457211" y="562329761"/>
          <a:ext cx="967149" cy="971344"/>
        </a:xfrm>
        <a:prstGeom prst="rect">
          <a:avLst/>
        </a:prstGeom>
      </xdr:spPr>
    </xdr:pic>
    <xdr:clientData/>
  </xdr:twoCellAnchor>
  <xdr:twoCellAnchor editAs="oneCell">
    <xdr:from>
      <xdr:col>12</xdr:col>
      <xdr:colOff>689414</xdr:colOff>
      <xdr:row>404</xdr:row>
      <xdr:rowOff>206244</xdr:rowOff>
    </xdr:from>
    <xdr:to>
      <xdr:col>12</xdr:col>
      <xdr:colOff>1656563</xdr:colOff>
      <xdr:row>404</xdr:row>
      <xdr:rowOff>1177589</xdr:rowOff>
    </xdr:to>
    <xdr:pic>
      <xdr:nvPicPr>
        <xdr:cNvPr id="811" name="Picture 810">
          <a:extLst>
            <a:ext uri="{FF2B5EF4-FFF2-40B4-BE49-F238E27FC236}">
              <a16:creationId xmlns:a16="http://schemas.microsoft.com/office/drawing/2014/main" id="{96182438-51B8-031D-2977-FA3D9EB39A32}"/>
            </a:ext>
          </a:extLst>
        </xdr:cNvPr>
        <xdr:cNvPicPr>
          <a:picLocks noChangeAspect="1"/>
        </xdr:cNvPicPr>
      </xdr:nvPicPr>
      <xdr:blipFill>
        <a:blip xmlns:r="http://schemas.openxmlformats.org/officeDocument/2006/relationships" r:link="rId397"/>
        <a:stretch>
          <a:fillRect/>
        </a:stretch>
      </xdr:blipFill>
      <xdr:spPr>
        <a:xfrm>
          <a:off x="28457211" y="563724617"/>
          <a:ext cx="967149" cy="971345"/>
        </a:xfrm>
        <a:prstGeom prst="rect">
          <a:avLst/>
        </a:prstGeom>
      </xdr:spPr>
    </xdr:pic>
    <xdr:clientData/>
  </xdr:twoCellAnchor>
  <xdr:twoCellAnchor editAs="oneCell">
    <xdr:from>
      <xdr:col>12</xdr:col>
      <xdr:colOff>689414</xdr:colOff>
      <xdr:row>405</xdr:row>
      <xdr:rowOff>206643</xdr:rowOff>
    </xdr:from>
    <xdr:to>
      <xdr:col>12</xdr:col>
      <xdr:colOff>1656563</xdr:colOff>
      <xdr:row>405</xdr:row>
      <xdr:rowOff>1177395</xdr:rowOff>
    </xdr:to>
    <xdr:pic>
      <xdr:nvPicPr>
        <xdr:cNvPr id="813" name="Picture 812">
          <a:extLst>
            <a:ext uri="{FF2B5EF4-FFF2-40B4-BE49-F238E27FC236}">
              <a16:creationId xmlns:a16="http://schemas.microsoft.com/office/drawing/2014/main" id="{425845D4-4428-57D8-A8CA-FE9650629AB3}"/>
            </a:ext>
          </a:extLst>
        </xdr:cNvPr>
        <xdr:cNvPicPr>
          <a:picLocks noChangeAspect="1"/>
        </xdr:cNvPicPr>
      </xdr:nvPicPr>
      <xdr:blipFill>
        <a:blip xmlns:r="http://schemas.openxmlformats.org/officeDocument/2006/relationships" r:link="rId398"/>
        <a:stretch>
          <a:fillRect/>
        </a:stretch>
      </xdr:blipFill>
      <xdr:spPr>
        <a:xfrm>
          <a:off x="28457211" y="565119863"/>
          <a:ext cx="967149" cy="970752"/>
        </a:xfrm>
        <a:prstGeom prst="rect">
          <a:avLst/>
        </a:prstGeom>
      </xdr:spPr>
    </xdr:pic>
    <xdr:clientData/>
  </xdr:twoCellAnchor>
  <xdr:twoCellAnchor editAs="oneCell">
    <xdr:from>
      <xdr:col>12</xdr:col>
      <xdr:colOff>689414</xdr:colOff>
      <xdr:row>406</xdr:row>
      <xdr:rowOff>206653</xdr:rowOff>
    </xdr:from>
    <xdr:to>
      <xdr:col>12</xdr:col>
      <xdr:colOff>1656563</xdr:colOff>
      <xdr:row>406</xdr:row>
      <xdr:rowOff>1177405</xdr:rowOff>
    </xdr:to>
    <xdr:pic>
      <xdr:nvPicPr>
        <xdr:cNvPr id="815" name="Picture 814">
          <a:extLst>
            <a:ext uri="{FF2B5EF4-FFF2-40B4-BE49-F238E27FC236}">
              <a16:creationId xmlns:a16="http://schemas.microsoft.com/office/drawing/2014/main" id="{F264E1DB-7268-69FD-8622-93D981140EA6}"/>
            </a:ext>
          </a:extLst>
        </xdr:cNvPr>
        <xdr:cNvPicPr>
          <a:picLocks noChangeAspect="1"/>
        </xdr:cNvPicPr>
      </xdr:nvPicPr>
      <xdr:blipFill>
        <a:blip xmlns:r="http://schemas.openxmlformats.org/officeDocument/2006/relationships" r:link="rId399"/>
        <a:stretch>
          <a:fillRect/>
        </a:stretch>
      </xdr:blipFill>
      <xdr:spPr>
        <a:xfrm>
          <a:off x="28457211" y="566514721"/>
          <a:ext cx="967149" cy="970752"/>
        </a:xfrm>
        <a:prstGeom prst="rect">
          <a:avLst/>
        </a:prstGeom>
      </xdr:spPr>
    </xdr:pic>
    <xdr:clientData/>
  </xdr:twoCellAnchor>
  <xdr:twoCellAnchor editAs="oneCell">
    <xdr:from>
      <xdr:col>12</xdr:col>
      <xdr:colOff>689414</xdr:colOff>
      <xdr:row>407</xdr:row>
      <xdr:rowOff>206663</xdr:rowOff>
    </xdr:from>
    <xdr:to>
      <xdr:col>12</xdr:col>
      <xdr:colOff>1656563</xdr:colOff>
      <xdr:row>407</xdr:row>
      <xdr:rowOff>1177415</xdr:rowOff>
    </xdr:to>
    <xdr:pic>
      <xdr:nvPicPr>
        <xdr:cNvPr id="817" name="Picture 816">
          <a:extLst>
            <a:ext uri="{FF2B5EF4-FFF2-40B4-BE49-F238E27FC236}">
              <a16:creationId xmlns:a16="http://schemas.microsoft.com/office/drawing/2014/main" id="{95D4ED80-FEA2-B1E5-CACC-90D326852293}"/>
            </a:ext>
          </a:extLst>
        </xdr:cNvPr>
        <xdr:cNvPicPr>
          <a:picLocks noChangeAspect="1"/>
        </xdr:cNvPicPr>
      </xdr:nvPicPr>
      <xdr:blipFill>
        <a:blip xmlns:r="http://schemas.openxmlformats.org/officeDocument/2006/relationships" r:link="rId400"/>
        <a:stretch>
          <a:fillRect/>
        </a:stretch>
      </xdr:blipFill>
      <xdr:spPr>
        <a:xfrm>
          <a:off x="28457211" y="567909578"/>
          <a:ext cx="967149" cy="970752"/>
        </a:xfrm>
        <a:prstGeom prst="rect">
          <a:avLst/>
        </a:prstGeom>
      </xdr:spPr>
    </xdr:pic>
    <xdr:clientData/>
  </xdr:twoCellAnchor>
  <xdr:twoCellAnchor editAs="oneCell">
    <xdr:from>
      <xdr:col>12</xdr:col>
      <xdr:colOff>689414</xdr:colOff>
      <xdr:row>408</xdr:row>
      <xdr:rowOff>206234</xdr:rowOff>
    </xdr:from>
    <xdr:to>
      <xdr:col>12</xdr:col>
      <xdr:colOff>1656563</xdr:colOff>
      <xdr:row>408</xdr:row>
      <xdr:rowOff>1177579</xdr:rowOff>
    </xdr:to>
    <xdr:pic>
      <xdr:nvPicPr>
        <xdr:cNvPr id="819" name="Picture 818">
          <a:extLst>
            <a:ext uri="{FF2B5EF4-FFF2-40B4-BE49-F238E27FC236}">
              <a16:creationId xmlns:a16="http://schemas.microsoft.com/office/drawing/2014/main" id="{EE50DECE-1C26-DF12-2893-D7F21D338962}"/>
            </a:ext>
          </a:extLst>
        </xdr:cNvPr>
        <xdr:cNvPicPr>
          <a:picLocks noChangeAspect="1"/>
        </xdr:cNvPicPr>
      </xdr:nvPicPr>
      <xdr:blipFill>
        <a:blip xmlns:r="http://schemas.openxmlformats.org/officeDocument/2006/relationships" r:link="rId401"/>
        <a:stretch>
          <a:fillRect/>
        </a:stretch>
      </xdr:blipFill>
      <xdr:spPr>
        <a:xfrm>
          <a:off x="28457211" y="569303997"/>
          <a:ext cx="967149" cy="971345"/>
        </a:xfrm>
        <a:prstGeom prst="rect">
          <a:avLst/>
        </a:prstGeom>
      </xdr:spPr>
    </xdr:pic>
    <xdr:clientData/>
  </xdr:twoCellAnchor>
  <xdr:twoCellAnchor editAs="oneCell">
    <xdr:from>
      <xdr:col>12</xdr:col>
      <xdr:colOff>689414</xdr:colOff>
      <xdr:row>409</xdr:row>
      <xdr:rowOff>206246</xdr:rowOff>
    </xdr:from>
    <xdr:to>
      <xdr:col>12</xdr:col>
      <xdr:colOff>1656563</xdr:colOff>
      <xdr:row>409</xdr:row>
      <xdr:rowOff>1177590</xdr:rowOff>
    </xdr:to>
    <xdr:pic>
      <xdr:nvPicPr>
        <xdr:cNvPr id="821" name="Picture 820">
          <a:extLst>
            <a:ext uri="{FF2B5EF4-FFF2-40B4-BE49-F238E27FC236}">
              <a16:creationId xmlns:a16="http://schemas.microsoft.com/office/drawing/2014/main" id="{0241C9EF-8476-D975-C694-0E165B043CC4}"/>
            </a:ext>
          </a:extLst>
        </xdr:cNvPr>
        <xdr:cNvPicPr>
          <a:picLocks noChangeAspect="1"/>
        </xdr:cNvPicPr>
      </xdr:nvPicPr>
      <xdr:blipFill>
        <a:blip xmlns:r="http://schemas.openxmlformats.org/officeDocument/2006/relationships" r:link="rId402"/>
        <a:stretch>
          <a:fillRect/>
        </a:stretch>
      </xdr:blipFill>
      <xdr:spPr>
        <a:xfrm>
          <a:off x="28457211" y="570698856"/>
          <a:ext cx="967149" cy="971344"/>
        </a:xfrm>
        <a:prstGeom prst="rect">
          <a:avLst/>
        </a:prstGeom>
      </xdr:spPr>
    </xdr:pic>
    <xdr:clientData/>
  </xdr:twoCellAnchor>
  <xdr:twoCellAnchor editAs="oneCell">
    <xdr:from>
      <xdr:col>12</xdr:col>
      <xdr:colOff>689414</xdr:colOff>
      <xdr:row>410</xdr:row>
      <xdr:rowOff>206643</xdr:rowOff>
    </xdr:from>
    <xdr:to>
      <xdr:col>12</xdr:col>
      <xdr:colOff>1656563</xdr:colOff>
      <xdr:row>410</xdr:row>
      <xdr:rowOff>1177395</xdr:rowOff>
    </xdr:to>
    <xdr:pic>
      <xdr:nvPicPr>
        <xdr:cNvPr id="823" name="Picture 822">
          <a:extLst>
            <a:ext uri="{FF2B5EF4-FFF2-40B4-BE49-F238E27FC236}">
              <a16:creationId xmlns:a16="http://schemas.microsoft.com/office/drawing/2014/main" id="{7FEA873E-D852-9D24-B548-A19345D929C4}"/>
            </a:ext>
          </a:extLst>
        </xdr:cNvPr>
        <xdr:cNvPicPr>
          <a:picLocks noChangeAspect="1"/>
        </xdr:cNvPicPr>
      </xdr:nvPicPr>
      <xdr:blipFill>
        <a:blip xmlns:r="http://schemas.openxmlformats.org/officeDocument/2006/relationships" r:link="rId403"/>
        <a:stretch>
          <a:fillRect/>
        </a:stretch>
      </xdr:blipFill>
      <xdr:spPr>
        <a:xfrm>
          <a:off x="28457211" y="572094101"/>
          <a:ext cx="967149" cy="970752"/>
        </a:xfrm>
        <a:prstGeom prst="rect">
          <a:avLst/>
        </a:prstGeom>
      </xdr:spPr>
    </xdr:pic>
    <xdr:clientData/>
  </xdr:twoCellAnchor>
  <xdr:twoCellAnchor editAs="oneCell">
    <xdr:from>
      <xdr:col>12</xdr:col>
      <xdr:colOff>689414</xdr:colOff>
      <xdr:row>411</xdr:row>
      <xdr:rowOff>206653</xdr:rowOff>
    </xdr:from>
    <xdr:to>
      <xdr:col>12</xdr:col>
      <xdr:colOff>1656563</xdr:colOff>
      <xdr:row>411</xdr:row>
      <xdr:rowOff>1177405</xdr:rowOff>
    </xdr:to>
    <xdr:pic>
      <xdr:nvPicPr>
        <xdr:cNvPr id="825" name="Picture 824">
          <a:extLst>
            <a:ext uri="{FF2B5EF4-FFF2-40B4-BE49-F238E27FC236}">
              <a16:creationId xmlns:a16="http://schemas.microsoft.com/office/drawing/2014/main" id="{AF3A53A0-FC2A-FB77-CCB9-26A4F76F24CD}"/>
            </a:ext>
          </a:extLst>
        </xdr:cNvPr>
        <xdr:cNvPicPr>
          <a:picLocks noChangeAspect="1"/>
        </xdr:cNvPicPr>
      </xdr:nvPicPr>
      <xdr:blipFill>
        <a:blip xmlns:r="http://schemas.openxmlformats.org/officeDocument/2006/relationships" r:link="rId404"/>
        <a:stretch>
          <a:fillRect/>
        </a:stretch>
      </xdr:blipFill>
      <xdr:spPr>
        <a:xfrm>
          <a:off x="28457211" y="573488958"/>
          <a:ext cx="967149" cy="970752"/>
        </a:xfrm>
        <a:prstGeom prst="rect">
          <a:avLst/>
        </a:prstGeom>
      </xdr:spPr>
    </xdr:pic>
    <xdr:clientData/>
  </xdr:twoCellAnchor>
  <xdr:twoCellAnchor editAs="oneCell">
    <xdr:from>
      <xdr:col>12</xdr:col>
      <xdr:colOff>689414</xdr:colOff>
      <xdr:row>412</xdr:row>
      <xdr:rowOff>206663</xdr:rowOff>
    </xdr:from>
    <xdr:to>
      <xdr:col>12</xdr:col>
      <xdr:colOff>1656563</xdr:colOff>
      <xdr:row>412</xdr:row>
      <xdr:rowOff>1177415</xdr:rowOff>
    </xdr:to>
    <xdr:pic>
      <xdr:nvPicPr>
        <xdr:cNvPr id="827" name="Picture 826">
          <a:extLst>
            <a:ext uri="{FF2B5EF4-FFF2-40B4-BE49-F238E27FC236}">
              <a16:creationId xmlns:a16="http://schemas.microsoft.com/office/drawing/2014/main" id="{0CA27BA2-8F18-4486-69EF-9328FAF75D78}"/>
            </a:ext>
          </a:extLst>
        </xdr:cNvPr>
        <xdr:cNvPicPr>
          <a:picLocks noChangeAspect="1"/>
        </xdr:cNvPicPr>
      </xdr:nvPicPr>
      <xdr:blipFill>
        <a:blip xmlns:r="http://schemas.openxmlformats.org/officeDocument/2006/relationships" r:link="rId405"/>
        <a:stretch>
          <a:fillRect/>
        </a:stretch>
      </xdr:blipFill>
      <xdr:spPr>
        <a:xfrm>
          <a:off x="28457211" y="574883816"/>
          <a:ext cx="967149" cy="970752"/>
        </a:xfrm>
        <a:prstGeom prst="rect">
          <a:avLst/>
        </a:prstGeom>
      </xdr:spPr>
    </xdr:pic>
    <xdr:clientData/>
  </xdr:twoCellAnchor>
  <xdr:twoCellAnchor editAs="oneCell">
    <xdr:from>
      <xdr:col>12</xdr:col>
      <xdr:colOff>689414</xdr:colOff>
      <xdr:row>413</xdr:row>
      <xdr:rowOff>206236</xdr:rowOff>
    </xdr:from>
    <xdr:to>
      <xdr:col>12</xdr:col>
      <xdr:colOff>1656563</xdr:colOff>
      <xdr:row>413</xdr:row>
      <xdr:rowOff>1177580</xdr:rowOff>
    </xdr:to>
    <xdr:pic>
      <xdr:nvPicPr>
        <xdr:cNvPr id="829" name="Picture 828">
          <a:extLst>
            <a:ext uri="{FF2B5EF4-FFF2-40B4-BE49-F238E27FC236}">
              <a16:creationId xmlns:a16="http://schemas.microsoft.com/office/drawing/2014/main" id="{68C9244E-37F6-8193-30D0-080E96AA824F}"/>
            </a:ext>
          </a:extLst>
        </xdr:cNvPr>
        <xdr:cNvPicPr>
          <a:picLocks noChangeAspect="1"/>
        </xdr:cNvPicPr>
      </xdr:nvPicPr>
      <xdr:blipFill>
        <a:blip xmlns:r="http://schemas.openxmlformats.org/officeDocument/2006/relationships" r:link="rId406"/>
        <a:stretch>
          <a:fillRect/>
        </a:stretch>
      </xdr:blipFill>
      <xdr:spPr>
        <a:xfrm>
          <a:off x="28457211" y="576278236"/>
          <a:ext cx="967149" cy="971344"/>
        </a:xfrm>
        <a:prstGeom prst="rect">
          <a:avLst/>
        </a:prstGeom>
      </xdr:spPr>
    </xdr:pic>
    <xdr:clientData/>
  </xdr:twoCellAnchor>
  <xdr:twoCellAnchor editAs="oneCell">
    <xdr:from>
      <xdr:col>12</xdr:col>
      <xdr:colOff>689414</xdr:colOff>
      <xdr:row>414</xdr:row>
      <xdr:rowOff>206246</xdr:rowOff>
    </xdr:from>
    <xdr:to>
      <xdr:col>12</xdr:col>
      <xdr:colOff>1656563</xdr:colOff>
      <xdr:row>414</xdr:row>
      <xdr:rowOff>1177590</xdr:rowOff>
    </xdr:to>
    <xdr:pic>
      <xdr:nvPicPr>
        <xdr:cNvPr id="831" name="Picture 830">
          <a:extLst>
            <a:ext uri="{FF2B5EF4-FFF2-40B4-BE49-F238E27FC236}">
              <a16:creationId xmlns:a16="http://schemas.microsoft.com/office/drawing/2014/main" id="{35FE93E7-AFDC-C24F-086C-84AAA51C5A77}"/>
            </a:ext>
          </a:extLst>
        </xdr:cNvPr>
        <xdr:cNvPicPr>
          <a:picLocks noChangeAspect="1"/>
        </xdr:cNvPicPr>
      </xdr:nvPicPr>
      <xdr:blipFill>
        <a:blip xmlns:r="http://schemas.openxmlformats.org/officeDocument/2006/relationships" r:link="rId407"/>
        <a:stretch>
          <a:fillRect/>
        </a:stretch>
      </xdr:blipFill>
      <xdr:spPr>
        <a:xfrm>
          <a:off x="28457211" y="577673093"/>
          <a:ext cx="967149" cy="971344"/>
        </a:xfrm>
        <a:prstGeom prst="rect">
          <a:avLst/>
        </a:prstGeom>
      </xdr:spPr>
    </xdr:pic>
    <xdr:clientData/>
  </xdr:twoCellAnchor>
  <xdr:twoCellAnchor editAs="oneCell">
    <xdr:from>
      <xdr:col>12</xdr:col>
      <xdr:colOff>689414</xdr:colOff>
      <xdr:row>415</xdr:row>
      <xdr:rowOff>206643</xdr:rowOff>
    </xdr:from>
    <xdr:to>
      <xdr:col>12</xdr:col>
      <xdr:colOff>1656563</xdr:colOff>
      <xdr:row>415</xdr:row>
      <xdr:rowOff>1177395</xdr:rowOff>
    </xdr:to>
    <xdr:pic>
      <xdr:nvPicPr>
        <xdr:cNvPr id="833" name="Picture 832">
          <a:extLst>
            <a:ext uri="{FF2B5EF4-FFF2-40B4-BE49-F238E27FC236}">
              <a16:creationId xmlns:a16="http://schemas.microsoft.com/office/drawing/2014/main" id="{96B39F53-6D98-A933-D776-56DC622DAA0C}"/>
            </a:ext>
          </a:extLst>
        </xdr:cNvPr>
        <xdr:cNvPicPr>
          <a:picLocks noChangeAspect="1"/>
        </xdr:cNvPicPr>
      </xdr:nvPicPr>
      <xdr:blipFill>
        <a:blip xmlns:r="http://schemas.openxmlformats.org/officeDocument/2006/relationships" r:link="rId408"/>
        <a:stretch>
          <a:fillRect/>
        </a:stretch>
      </xdr:blipFill>
      <xdr:spPr>
        <a:xfrm>
          <a:off x="28457211" y="579068338"/>
          <a:ext cx="967149" cy="970752"/>
        </a:xfrm>
        <a:prstGeom prst="rect">
          <a:avLst/>
        </a:prstGeom>
      </xdr:spPr>
    </xdr:pic>
    <xdr:clientData/>
  </xdr:twoCellAnchor>
  <xdr:twoCellAnchor editAs="oneCell">
    <xdr:from>
      <xdr:col>12</xdr:col>
      <xdr:colOff>689414</xdr:colOff>
      <xdr:row>416</xdr:row>
      <xdr:rowOff>206653</xdr:rowOff>
    </xdr:from>
    <xdr:to>
      <xdr:col>12</xdr:col>
      <xdr:colOff>1656563</xdr:colOff>
      <xdr:row>416</xdr:row>
      <xdr:rowOff>1177405</xdr:rowOff>
    </xdr:to>
    <xdr:pic>
      <xdr:nvPicPr>
        <xdr:cNvPr id="835" name="Picture 834">
          <a:extLst>
            <a:ext uri="{FF2B5EF4-FFF2-40B4-BE49-F238E27FC236}">
              <a16:creationId xmlns:a16="http://schemas.microsoft.com/office/drawing/2014/main" id="{4EE7E3AD-4BC3-12EF-B258-21369031189D}"/>
            </a:ext>
          </a:extLst>
        </xdr:cNvPr>
        <xdr:cNvPicPr>
          <a:picLocks noChangeAspect="1"/>
        </xdr:cNvPicPr>
      </xdr:nvPicPr>
      <xdr:blipFill>
        <a:blip xmlns:r="http://schemas.openxmlformats.org/officeDocument/2006/relationships" r:link="rId409"/>
        <a:stretch>
          <a:fillRect/>
        </a:stretch>
      </xdr:blipFill>
      <xdr:spPr>
        <a:xfrm>
          <a:off x="28457211" y="580463195"/>
          <a:ext cx="967149" cy="970752"/>
        </a:xfrm>
        <a:prstGeom prst="rect">
          <a:avLst/>
        </a:prstGeom>
      </xdr:spPr>
    </xdr:pic>
    <xdr:clientData/>
  </xdr:twoCellAnchor>
  <xdr:twoCellAnchor editAs="oneCell">
    <xdr:from>
      <xdr:col>12</xdr:col>
      <xdr:colOff>689414</xdr:colOff>
      <xdr:row>417</xdr:row>
      <xdr:rowOff>206663</xdr:rowOff>
    </xdr:from>
    <xdr:to>
      <xdr:col>12</xdr:col>
      <xdr:colOff>1656563</xdr:colOff>
      <xdr:row>417</xdr:row>
      <xdr:rowOff>1177415</xdr:rowOff>
    </xdr:to>
    <xdr:pic>
      <xdr:nvPicPr>
        <xdr:cNvPr id="837" name="Picture 836">
          <a:extLst>
            <a:ext uri="{FF2B5EF4-FFF2-40B4-BE49-F238E27FC236}">
              <a16:creationId xmlns:a16="http://schemas.microsoft.com/office/drawing/2014/main" id="{27928B75-142B-F6D4-3702-AA735A4E483F}"/>
            </a:ext>
          </a:extLst>
        </xdr:cNvPr>
        <xdr:cNvPicPr>
          <a:picLocks noChangeAspect="1"/>
        </xdr:cNvPicPr>
      </xdr:nvPicPr>
      <xdr:blipFill>
        <a:blip xmlns:r="http://schemas.openxmlformats.org/officeDocument/2006/relationships" r:link="rId410"/>
        <a:stretch>
          <a:fillRect/>
        </a:stretch>
      </xdr:blipFill>
      <xdr:spPr>
        <a:xfrm>
          <a:off x="28457211" y="581858053"/>
          <a:ext cx="967149" cy="970752"/>
        </a:xfrm>
        <a:prstGeom prst="rect">
          <a:avLst/>
        </a:prstGeom>
      </xdr:spPr>
    </xdr:pic>
    <xdr:clientData/>
  </xdr:twoCellAnchor>
  <xdr:twoCellAnchor editAs="oneCell">
    <xdr:from>
      <xdr:col>12</xdr:col>
      <xdr:colOff>689414</xdr:colOff>
      <xdr:row>418</xdr:row>
      <xdr:rowOff>206236</xdr:rowOff>
    </xdr:from>
    <xdr:to>
      <xdr:col>12</xdr:col>
      <xdr:colOff>1656563</xdr:colOff>
      <xdr:row>418</xdr:row>
      <xdr:rowOff>1177580</xdr:rowOff>
    </xdr:to>
    <xdr:pic>
      <xdr:nvPicPr>
        <xdr:cNvPr id="839" name="Picture 838">
          <a:extLst>
            <a:ext uri="{FF2B5EF4-FFF2-40B4-BE49-F238E27FC236}">
              <a16:creationId xmlns:a16="http://schemas.microsoft.com/office/drawing/2014/main" id="{932054CD-E878-0FB2-3201-E0B53DAC6547}"/>
            </a:ext>
          </a:extLst>
        </xdr:cNvPr>
        <xdr:cNvPicPr>
          <a:picLocks noChangeAspect="1"/>
        </xdr:cNvPicPr>
      </xdr:nvPicPr>
      <xdr:blipFill>
        <a:blip xmlns:r="http://schemas.openxmlformats.org/officeDocument/2006/relationships" r:link="rId411"/>
        <a:stretch>
          <a:fillRect/>
        </a:stretch>
      </xdr:blipFill>
      <xdr:spPr>
        <a:xfrm>
          <a:off x="28457211" y="583252473"/>
          <a:ext cx="967149" cy="971344"/>
        </a:xfrm>
        <a:prstGeom prst="rect">
          <a:avLst/>
        </a:prstGeom>
      </xdr:spPr>
    </xdr:pic>
    <xdr:clientData/>
  </xdr:twoCellAnchor>
  <xdr:twoCellAnchor editAs="oneCell">
    <xdr:from>
      <xdr:col>12</xdr:col>
      <xdr:colOff>689414</xdr:colOff>
      <xdr:row>419</xdr:row>
      <xdr:rowOff>206244</xdr:rowOff>
    </xdr:from>
    <xdr:to>
      <xdr:col>12</xdr:col>
      <xdr:colOff>1656563</xdr:colOff>
      <xdr:row>419</xdr:row>
      <xdr:rowOff>1177589</xdr:rowOff>
    </xdr:to>
    <xdr:pic>
      <xdr:nvPicPr>
        <xdr:cNvPr id="841" name="Picture 840">
          <a:extLst>
            <a:ext uri="{FF2B5EF4-FFF2-40B4-BE49-F238E27FC236}">
              <a16:creationId xmlns:a16="http://schemas.microsoft.com/office/drawing/2014/main" id="{4B6ACADF-9824-2CFC-8C75-B37A5CC17726}"/>
            </a:ext>
          </a:extLst>
        </xdr:cNvPr>
        <xdr:cNvPicPr>
          <a:picLocks noChangeAspect="1"/>
        </xdr:cNvPicPr>
      </xdr:nvPicPr>
      <xdr:blipFill>
        <a:blip xmlns:r="http://schemas.openxmlformats.org/officeDocument/2006/relationships" r:link="rId412"/>
        <a:stretch>
          <a:fillRect/>
        </a:stretch>
      </xdr:blipFill>
      <xdr:spPr>
        <a:xfrm>
          <a:off x="28457211" y="584647329"/>
          <a:ext cx="967149" cy="971345"/>
        </a:xfrm>
        <a:prstGeom prst="rect">
          <a:avLst/>
        </a:prstGeom>
      </xdr:spPr>
    </xdr:pic>
    <xdr:clientData/>
  </xdr:twoCellAnchor>
  <xdr:twoCellAnchor editAs="oneCell">
    <xdr:from>
      <xdr:col>12</xdr:col>
      <xdr:colOff>689414</xdr:colOff>
      <xdr:row>420</xdr:row>
      <xdr:rowOff>206643</xdr:rowOff>
    </xdr:from>
    <xdr:to>
      <xdr:col>12</xdr:col>
      <xdr:colOff>1656563</xdr:colOff>
      <xdr:row>420</xdr:row>
      <xdr:rowOff>1177395</xdr:rowOff>
    </xdr:to>
    <xdr:pic>
      <xdr:nvPicPr>
        <xdr:cNvPr id="843" name="Picture 842">
          <a:extLst>
            <a:ext uri="{FF2B5EF4-FFF2-40B4-BE49-F238E27FC236}">
              <a16:creationId xmlns:a16="http://schemas.microsoft.com/office/drawing/2014/main" id="{F674E804-19F0-A9A6-986C-6B1D0811784D}"/>
            </a:ext>
          </a:extLst>
        </xdr:cNvPr>
        <xdr:cNvPicPr>
          <a:picLocks noChangeAspect="1"/>
        </xdr:cNvPicPr>
      </xdr:nvPicPr>
      <xdr:blipFill>
        <a:blip xmlns:r="http://schemas.openxmlformats.org/officeDocument/2006/relationships" r:link="rId413"/>
        <a:stretch>
          <a:fillRect/>
        </a:stretch>
      </xdr:blipFill>
      <xdr:spPr>
        <a:xfrm>
          <a:off x="28457211" y="586042575"/>
          <a:ext cx="967149" cy="970752"/>
        </a:xfrm>
        <a:prstGeom prst="rect">
          <a:avLst/>
        </a:prstGeom>
      </xdr:spPr>
    </xdr:pic>
    <xdr:clientData/>
  </xdr:twoCellAnchor>
  <xdr:twoCellAnchor editAs="oneCell">
    <xdr:from>
      <xdr:col>12</xdr:col>
      <xdr:colOff>689414</xdr:colOff>
      <xdr:row>421</xdr:row>
      <xdr:rowOff>206653</xdr:rowOff>
    </xdr:from>
    <xdr:to>
      <xdr:col>12</xdr:col>
      <xdr:colOff>1656563</xdr:colOff>
      <xdr:row>421</xdr:row>
      <xdr:rowOff>1177405</xdr:rowOff>
    </xdr:to>
    <xdr:pic>
      <xdr:nvPicPr>
        <xdr:cNvPr id="845" name="Picture 844">
          <a:extLst>
            <a:ext uri="{FF2B5EF4-FFF2-40B4-BE49-F238E27FC236}">
              <a16:creationId xmlns:a16="http://schemas.microsoft.com/office/drawing/2014/main" id="{9A8393AF-3B9C-F7D9-C0CD-FBD97D5D001B}"/>
            </a:ext>
          </a:extLst>
        </xdr:cNvPr>
        <xdr:cNvPicPr>
          <a:picLocks noChangeAspect="1"/>
        </xdr:cNvPicPr>
      </xdr:nvPicPr>
      <xdr:blipFill>
        <a:blip xmlns:r="http://schemas.openxmlformats.org/officeDocument/2006/relationships" r:link="rId414"/>
        <a:stretch>
          <a:fillRect/>
        </a:stretch>
      </xdr:blipFill>
      <xdr:spPr>
        <a:xfrm>
          <a:off x="28457211" y="587437433"/>
          <a:ext cx="967149" cy="970752"/>
        </a:xfrm>
        <a:prstGeom prst="rect">
          <a:avLst/>
        </a:prstGeom>
      </xdr:spPr>
    </xdr:pic>
    <xdr:clientData/>
  </xdr:twoCellAnchor>
  <xdr:twoCellAnchor editAs="oneCell">
    <xdr:from>
      <xdr:col>12</xdr:col>
      <xdr:colOff>689414</xdr:colOff>
      <xdr:row>422</xdr:row>
      <xdr:rowOff>206663</xdr:rowOff>
    </xdr:from>
    <xdr:to>
      <xdr:col>12</xdr:col>
      <xdr:colOff>1656563</xdr:colOff>
      <xdr:row>422</xdr:row>
      <xdr:rowOff>1177415</xdr:rowOff>
    </xdr:to>
    <xdr:pic>
      <xdr:nvPicPr>
        <xdr:cNvPr id="847" name="Picture 846">
          <a:extLst>
            <a:ext uri="{FF2B5EF4-FFF2-40B4-BE49-F238E27FC236}">
              <a16:creationId xmlns:a16="http://schemas.microsoft.com/office/drawing/2014/main" id="{6679435C-2BB9-BAE4-8A29-250A48B2705F}"/>
            </a:ext>
          </a:extLst>
        </xdr:cNvPr>
        <xdr:cNvPicPr>
          <a:picLocks noChangeAspect="1"/>
        </xdr:cNvPicPr>
      </xdr:nvPicPr>
      <xdr:blipFill>
        <a:blip xmlns:r="http://schemas.openxmlformats.org/officeDocument/2006/relationships" r:link="rId415"/>
        <a:stretch>
          <a:fillRect/>
        </a:stretch>
      </xdr:blipFill>
      <xdr:spPr>
        <a:xfrm>
          <a:off x="28457211" y="588832290"/>
          <a:ext cx="967149" cy="970752"/>
        </a:xfrm>
        <a:prstGeom prst="rect">
          <a:avLst/>
        </a:prstGeom>
      </xdr:spPr>
    </xdr:pic>
    <xdr:clientData/>
  </xdr:twoCellAnchor>
  <xdr:twoCellAnchor editAs="oneCell">
    <xdr:from>
      <xdr:col>12</xdr:col>
      <xdr:colOff>689414</xdr:colOff>
      <xdr:row>423</xdr:row>
      <xdr:rowOff>206234</xdr:rowOff>
    </xdr:from>
    <xdr:to>
      <xdr:col>12</xdr:col>
      <xdr:colOff>1656563</xdr:colOff>
      <xdr:row>423</xdr:row>
      <xdr:rowOff>1177579</xdr:rowOff>
    </xdr:to>
    <xdr:pic>
      <xdr:nvPicPr>
        <xdr:cNvPr id="849" name="Picture 848">
          <a:extLst>
            <a:ext uri="{FF2B5EF4-FFF2-40B4-BE49-F238E27FC236}">
              <a16:creationId xmlns:a16="http://schemas.microsoft.com/office/drawing/2014/main" id="{382F6EF5-751D-5E1A-7F20-D0838D5A029C}"/>
            </a:ext>
          </a:extLst>
        </xdr:cNvPr>
        <xdr:cNvPicPr>
          <a:picLocks noChangeAspect="1"/>
        </xdr:cNvPicPr>
      </xdr:nvPicPr>
      <xdr:blipFill>
        <a:blip xmlns:r="http://schemas.openxmlformats.org/officeDocument/2006/relationships" r:link="rId416"/>
        <a:stretch>
          <a:fillRect/>
        </a:stretch>
      </xdr:blipFill>
      <xdr:spPr>
        <a:xfrm>
          <a:off x="28457211" y="590226709"/>
          <a:ext cx="967149" cy="971345"/>
        </a:xfrm>
        <a:prstGeom prst="rect">
          <a:avLst/>
        </a:prstGeom>
      </xdr:spPr>
    </xdr:pic>
    <xdr:clientData/>
  </xdr:twoCellAnchor>
  <xdr:twoCellAnchor editAs="oneCell">
    <xdr:from>
      <xdr:col>12</xdr:col>
      <xdr:colOff>689414</xdr:colOff>
      <xdr:row>424</xdr:row>
      <xdr:rowOff>206246</xdr:rowOff>
    </xdr:from>
    <xdr:to>
      <xdr:col>12</xdr:col>
      <xdr:colOff>1656563</xdr:colOff>
      <xdr:row>424</xdr:row>
      <xdr:rowOff>1177590</xdr:rowOff>
    </xdr:to>
    <xdr:pic>
      <xdr:nvPicPr>
        <xdr:cNvPr id="851" name="Picture 850">
          <a:extLst>
            <a:ext uri="{FF2B5EF4-FFF2-40B4-BE49-F238E27FC236}">
              <a16:creationId xmlns:a16="http://schemas.microsoft.com/office/drawing/2014/main" id="{C2E16100-A29A-50DF-846A-E32E39B7F308}"/>
            </a:ext>
          </a:extLst>
        </xdr:cNvPr>
        <xdr:cNvPicPr>
          <a:picLocks noChangeAspect="1"/>
        </xdr:cNvPicPr>
      </xdr:nvPicPr>
      <xdr:blipFill>
        <a:blip xmlns:r="http://schemas.openxmlformats.org/officeDocument/2006/relationships" r:link="rId417"/>
        <a:stretch>
          <a:fillRect/>
        </a:stretch>
      </xdr:blipFill>
      <xdr:spPr>
        <a:xfrm>
          <a:off x="28457211" y="591621568"/>
          <a:ext cx="967149" cy="971344"/>
        </a:xfrm>
        <a:prstGeom prst="rect">
          <a:avLst/>
        </a:prstGeom>
      </xdr:spPr>
    </xdr:pic>
    <xdr:clientData/>
  </xdr:twoCellAnchor>
  <xdr:twoCellAnchor editAs="oneCell">
    <xdr:from>
      <xdr:col>12</xdr:col>
      <xdr:colOff>689414</xdr:colOff>
      <xdr:row>425</xdr:row>
      <xdr:rowOff>206643</xdr:rowOff>
    </xdr:from>
    <xdr:to>
      <xdr:col>12</xdr:col>
      <xdr:colOff>1656563</xdr:colOff>
      <xdr:row>425</xdr:row>
      <xdr:rowOff>1177395</xdr:rowOff>
    </xdr:to>
    <xdr:pic>
      <xdr:nvPicPr>
        <xdr:cNvPr id="853" name="Picture 852">
          <a:extLst>
            <a:ext uri="{FF2B5EF4-FFF2-40B4-BE49-F238E27FC236}">
              <a16:creationId xmlns:a16="http://schemas.microsoft.com/office/drawing/2014/main" id="{87527667-D25E-37EE-06B4-30B48C5E8C21}"/>
            </a:ext>
          </a:extLst>
        </xdr:cNvPr>
        <xdr:cNvPicPr>
          <a:picLocks noChangeAspect="1"/>
        </xdr:cNvPicPr>
      </xdr:nvPicPr>
      <xdr:blipFill>
        <a:blip xmlns:r="http://schemas.openxmlformats.org/officeDocument/2006/relationships" r:link="rId418"/>
        <a:stretch>
          <a:fillRect/>
        </a:stretch>
      </xdr:blipFill>
      <xdr:spPr>
        <a:xfrm>
          <a:off x="28457211" y="593016812"/>
          <a:ext cx="967149" cy="970752"/>
        </a:xfrm>
        <a:prstGeom prst="rect">
          <a:avLst/>
        </a:prstGeom>
      </xdr:spPr>
    </xdr:pic>
    <xdr:clientData/>
  </xdr:twoCellAnchor>
  <xdr:twoCellAnchor editAs="oneCell">
    <xdr:from>
      <xdr:col>12</xdr:col>
      <xdr:colOff>689414</xdr:colOff>
      <xdr:row>426</xdr:row>
      <xdr:rowOff>206653</xdr:rowOff>
    </xdr:from>
    <xdr:to>
      <xdr:col>12</xdr:col>
      <xdr:colOff>1656563</xdr:colOff>
      <xdr:row>426</xdr:row>
      <xdr:rowOff>1177405</xdr:rowOff>
    </xdr:to>
    <xdr:pic>
      <xdr:nvPicPr>
        <xdr:cNvPr id="855" name="Picture 854">
          <a:extLst>
            <a:ext uri="{FF2B5EF4-FFF2-40B4-BE49-F238E27FC236}">
              <a16:creationId xmlns:a16="http://schemas.microsoft.com/office/drawing/2014/main" id="{FE40E533-62C6-562C-F6AD-77C26BB6F3AC}"/>
            </a:ext>
          </a:extLst>
        </xdr:cNvPr>
        <xdr:cNvPicPr>
          <a:picLocks noChangeAspect="1"/>
        </xdr:cNvPicPr>
      </xdr:nvPicPr>
      <xdr:blipFill>
        <a:blip xmlns:r="http://schemas.openxmlformats.org/officeDocument/2006/relationships" r:link="rId419"/>
        <a:stretch>
          <a:fillRect/>
        </a:stretch>
      </xdr:blipFill>
      <xdr:spPr>
        <a:xfrm>
          <a:off x="28457211" y="594411670"/>
          <a:ext cx="967149" cy="970752"/>
        </a:xfrm>
        <a:prstGeom prst="rect">
          <a:avLst/>
        </a:prstGeom>
      </xdr:spPr>
    </xdr:pic>
    <xdr:clientData/>
  </xdr:twoCellAnchor>
  <xdr:twoCellAnchor editAs="oneCell">
    <xdr:from>
      <xdr:col>12</xdr:col>
      <xdr:colOff>689414</xdr:colOff>
      <xdr:row>427</xdr:row>
      <xdr:rowOff>206663</xdr:rowOff>
    </xdr:from>
    <xdr:to>
      <xdr:col>12</xdr:col>
      <xdr:colOff>1656563</xdr:colOff>
      <xdr:row>427</xdr:row>
      <xdr:rowOff>1177415</xdr:rowOff>
    </xdr:to>
    <xdr:pic>
      <xdr:nvPicPr>
        <xdr:cNvPr id="857" name="Picture 856">
          <a:extLst>
            <a:ext uri="{FF2B5EF4-FFF2-40B4-BE49-F238E27FC236}">
              <a16:creationId xmlns:a16="http://schemas.microsoft.com/office/drawing/2014/main" id="{2ABAF82F-2A7F-238D-18C4-68F0567A1A96}"/>
            </a:ext>
          </a:extLst>
        </xdr:cNvPr>
        <xdr:cNvPicPr>
          <a:picLocks noChangeAspect="1"/>
        </xdr:cNvPicPr>
      </xdr:nvPicPr>
      <xdr:blipFill>
        <a:blip xmlns:r="http://schemas.openxmlformats.org/officeDocument/2006/relationships" r:link="rId420"/>
        <a:stretch>
          <a:fillRect/>
        </a:stretch>
      </xdr:blipFill>
      <xdr:spPr>
        <a:xfrm>
          <a:off x="28457211" y="595806527"/>
          <a:ext cx="967149" cy="970752"/>
        </a:xfrm>
        <a:prstGeom prst="rect">
          <a:avLst/>
        </a:prstGeom>
      </xdr:spPr>
    </xdr:pic>
    <xdr:clientData/>
  </xdr:twoCellAnchor>
  <xdr:twoCellAnchor editAs="oneCell">
    <xdr:from>
      <xdr:col>12</xdr:col>
      <xdr:colOff>689414</xdr:colOff>
      <xdr:row>428</xdr:row>
      <xdr:rowOff>206234</xdr:rowOff>
    </xdr:from>
    <xdr:to>
      <xdr:col>12</xdr:col>
      <xdr:colOff>1656563</xdr:colOff>
      <xdr:row>428</xdr:row>
      <xdr:rowOff>1177579</xdr:rowOff>
    </xdr:to>
    <xdr:pic>
      <xdr:nvPicPr>
        <xdr:cNvPr id="859" name="Picture 858">
          <a:extLst>
            <a:ext uri="{FF2B5EF4-FFF2-40B4-BE49-F238E27FC236}">
              <a16:creationId xmlns:a16="http://schemas.microsoft.com/office/drawing/2014/main" id="{924BBBF8-EDF6-6B4C-1CB8-59FB34DE7CBE}"/>
            </a:ext>
          </a:extLst>
        </xdr:cNvPr>
        <xdr:cNvPicPr>
          <a:picLocks noChangeAspect="1"/>
        </xdr:cNvPicPr>
      </xdr:nvPicPr>
      <xdr:blipFill>
        <a:blip xmlns:r="http://schemas.openxmlformats.org/officeDocument/2006/relationships" r:link="rId421"/>
        <a:stretch>
          <a:fillRect/>
        </a:stretch>
      </xdr:blipFill>
      <xdr:spPr>
        <a:xfrm>
          <a:off x="28457211" y="597200946"/>
          <a:ext cx="967149" cy="971345"/>
        </a:xfrm>
        <a:prstGeom prst="rect">
          <a:avLst/>
        </a:prstGeom>
      </xdr:spPr>
    </xdr:pic>
    <xdr:clientData/>
  </xdr:twoCellAnchor>
  <xdr:twoCellAnchor editAs="oneCell">
    <xdr:from>
      <xdr:col>12</xdr:col>
      <xdr:colOff>689414</xdr:colOff>
      <xdr:row>429</xdr:row>
      <xdr:rowOff>206246</xdr:rowOff>
    </xdr:from>
    <xdr:to>
      <xdr:col>12</xdr:col>
      <xdr:colOff>1656563</xdr:colOff>
      <xdr:row>429</xdr:row>
      <xdr:rowOff>1177590</xdr:rowOff>
    </xdr:to>
    <xdr:pic>
      <xdr:nvPicPr>
        <xdr:cNvPr id="861" name="Picture 860">
          <a:extLst>
            <a:ext uri="{FF2B5EF4-FFF2-40B4-BE49-F238E27FC236}">
              <a16:creationId xmlns:a16="http://schemas.microsoft.com/office/drawing/2014/main" id="{953942C5-87CA-2B9B-D2F4-48F574E4DBB6}"/>
            </a:ext>
          </a:extLst>
        </xdr:cNvPr>
        <xdr:cNvPicPr>
          <a:picLocks noChangeAspect="1"/>
        </xdr:cNvPicPr>
      </xdr:nvPicPr>
      <xdr:blipFill>
        <a:blip xmlns:r="http://schemas.openxmlformats.org/officeDocument/2006/relationships" r:link="rId422"/>
        <a:stretch>
          <a:fillRect/>
        </a:stretch>
      </xdr:blipFill>
      <xdr:spPr>
        <a:xfrm>
          <a:off x="28457211" y="598595805"/>
          <a:ext cx="967149" cy="971344"/>
        </a:xfrm>
        <a:prstGeom prst="rect">
          <a:avLst/>
        </a:prstGeom>
      </xdr:spPr>
    </xdr:pic>
    <xdr:clientData/>
  </xdr:twoCellAnchor>
  <xdr:twoCellAnchor editAs="oneCell">
    <xdr:from>
      <xdr:col>12</xdr:col>
      <xdr:colOff>689414</xdr:colOff>
      <xdr:row>430</xdr:row>
      <xdr:rowOff>206643</xdr:rowOff>
    </xdr:from>
    <xdr:to>
      <xdr:col>12</xdr:col>
      <xdr:colOff>1656563</xdr:colOff>
      <xdr:row>430</xdr:row>
      <xdr:rowOff>1177395</xdr:rowOff>
    </xdr:to>
    <xdr:pic>
      <xdr:nvPicPr>
        <xdr:cNvPr id="863" name="Picture 862">
          <a:extLst>
            <a:ext uri="{FF2B5EF4-FFF2-40B4-BE49-F238E27FC236}">
              <a16:creationId xmlns:a16="http://schemas.microsoft.com/office/drawing/2014/main" id="{A7AE3684-C671-B5CC-8526-0318D2E083B5}"/>
            </a:ext>
          </a:extLst>
        </xdr:cNvPr>
        <xdr:cNvPicPr>
          <a:picLocks noChangeAspect="1"/>
        </xdr:cNvPicPr>
      </xdr:nvPicPr>
      <xdr:blipFill>
        <a:blip xmlns:r="http://schemas.openxmlformats.org/officeDocument/2006/relationships" r:link="rId423"/>
        <a:stretch>
          <a:fillRect/>
        </a:stretch>
      </xdr:blipFill>
      <xdr:spPr>
        <a:xfrm>
          <a:off x="28457211" y="599991050"/>
          <a:ext cx="967149" cy="970752"/>
        </a:xfrm>
        <a:prstGeom prst="rect">
          <a:avLst/>
        </a:prstGeom>
      </xdr:spPr>
    </xdr:pic>
    <xdr:clientData/>
  </xdr:twoCellAnchor>
  <xdr:twoCellAnchor editAs="oneCell">
    <xdr:from>
      <xdr:col>12</xdr:col>
      <xdr:colOff>689414</xdr:colOff>
      <xdr:row>431</xdr:row>
      <xdr:rowOff>206653</xdr:rowOff>
    </xdr:from>
    <xdr:to>
      <xdr:col>12</xdr:col>
      <xdr:colOff>1656563</xdr:colOff>
      <xdr:row>431</xdr:row>
      <xdr:rowOff>1177405</xdr:rowOff>
    </xdr:to>
    <xdr:pic>
      <xdr:nvPicPr>
        <xdr:cNvPr id="865" name="Picture 864">
          <a:extLst>
            <a:ext uri="{FF2B5EF4-FFF2-40B4-BE49-F238E27FC236}">
              <a16:creationId xmlns:a16="http://schemas.microsoft.com/office/drawing/2014/main" id="{9DD1BC4C-23CA-D475-1E9E-E7005892401B}"/>
            </a:ext>
          </a:extLst>
        </xdr:cNvPr>
        <xdr:cNvPicPr>
          <a:picLocks noChangeAspect="1"/>
        </xdr:cNvPicPr>
      </xdr:nvPicPr>
      <xdr:blipFill>
        <a:blip xmlns:r="http://schemas.openxmlformats.org/officeDocument/2006/relationships" r:link="rId424"/>
        <a:stretch>
          <a:fillRect/>
        </a:stretch>
      </xdr:blipFill>
      <xdr:spPr>
        <a:xfrm>
          <a:off x="28457211" y="601385907"/>
          <a:ext cx="967149" cy="970752"/>
        </a:xfrm>
        <a:prstGeom prst="rect">
          <a:avLst/>
        </a:prstGeom>
      </xdr:spPr>
    </xdr:pic>
    <xdr:clientData/>
  </xdr:twoCellAnchor>
  <xdr:twoCellAnchor editAs="oneCell">
    <xdr:from>
      <xdr:col>12</xdr:col>
      <xdr:colOff>689414</xdr:colOff>
      <xdr:row>432</xdr:row>
      <xdr:rowOff>206663</xdr:rowOff>
    </xdr:from>
    <xdr:to>
      <xdr:col>12</xdr:col>
      <xdr:colOff>1656563</xdr:colOff>
      <xdr:row>432</xdr:row>
      <xdr:rowOff>1177415</xdr:rowOff>
    </xdr:to>
    <xdr:pic>
      <xdr:nvPicPr>
        <xdr:cNvPr id="867" name="Picture 866">
          <a:extLst>
            <a:ext uri="{FF2B5EF4-FFF2-40B4-BE49-F238E27FC236}">
              <a16:creationId xmlns:a16="http://schemas.microsoft.com/office/drawing/2014/main" id="{E0CE0326-0646-FE15-1929-1D95F840C773}"/>
            </a:ext>
          </a:extLst>
        </xdr:cNvPr>
        <xdr:cNvPicPr>
          <a:picLocks noChangeAspect="1"/>
        </xdr:cNvPicPr>
      </xdr:nvPicPr>
      <xdr:blipFill>
        <a:blip xmlns:r="http://schemas.openxmlformats.org/officeDocument/2006/relationships" r:link="rId425"/>
        <a:stretch>
          <a:fillRect/>
        </a:stretch>
      </xdr:blipFill>
      <xdr:spPr>
        <a:xfrm>
          <a:off x="28457211" y="602780765"/>
          <a:ext cx="967149" cy="970752"/>
        </a:xfrm>
        <a:prstGeom prst="rect">
          <a:avLst/>
        </a:prstGeom>
      </xdr:spPr>
    </xdr:pic>
    <xdr:clientData/>
  </xdr:twoCellAnchor>
  <xdr:twoCellAnchor editAs="oneCell">
    <xdr:from>
      <xdr:col>12</xdr:col>
      <xdr:colOff>689414</xdr:colOff>
      <xdr:row>433</xdr:row>
      <xdr:rowOff>206236</xdr:rowOff>
    </xdr:from>
    <xdr:to>
      <xdr:col>12</xdr:col>
      <xdr:colOff>1656563</xdr:colOff>
      <xdr:row>433</xdr:row>
      <xdr:rowOff>1177580</xdr:rowOff>
    </xdr:to>
    <xdr:pic>
      <xdr:nvPicPr>
        <xdr:cNvPr id="869" name="Picture 868">
          <a:extLst>
            <a:ext uri="{FF2B5EF4-FFF2-40B4-BE49-F238E27FC236}">
              <a16:creationId xmlns:a16="http://schemas.microsoft.com/office/drawing/2014/main" id="{C7E25964-C576-AE5B-F001-DD206EFD85F0}"/>
            </a:ext>
          </a:extLst>
        </xdr:cNvPr>
        <xdr:cNvPicPr>
          <a:picLocks noChangeAspect="1"/>
        </xdr:cNvPicPr>
      </xdr:nvPicPr>
      <xdr:blipFill>
        <a:blip xmlns:r="http://schemas.openxmlformats.org/officeDocument/2006/relationships" r:link="rId426"/>
        <a:stretch>
          <a:fillRect/>
        </a:stretch>
      </xdr:blipFill>
      <xdr:spPr>
        <a:xfrm>
          <a:off x="28457211" y="604175185"/>
          <a:ext cx="967149" cy="971344"/>
        </a:xfrm>
        <a:prstGeom prst="rect">
          <a:avLst/>
        </a:prstGeom>
      </xdr:spPr>
    </xdr:pic>
    <xdr:clientData/>
  </xdr:twoCellAnchor>
  <xdr:twoCellAnchor editAs="oneCell">
    <xdr:from>
      <xdr:col>12</xdr:col>
      <xdr:colOff>689414</xdr:colOff>
      <xdr:row>434</xdr:row>
      <xdr:rowOff>206244</xdr:rowOff>
    </xdr:from>
    <xdr:to>
      <xdr:col>12</xdr:col>
      <xdr:colOff>1656563</xdr:colOff>
      <xdr:row>434</xdr:row>
      <xdr:rowOff>1177589</xdr:rowOff>
    </xdr:to>
    <xdr:pic>
      <xdr:nvPicPr>
        <xdr:cNvPr id="871" name="Picture 870">
          <a:extLst>
            <a:ext uri="{FF2B5EF4-FFF2-40B4-BE49-F238E27FC236}">
              <a16:creationId xmlns:a16="http://schemas.microsoft.com/office/drawing/2014/main" id="{6D7CEF34-19DF-4269-B9C8-344C030854C4}"/>
            </a:ext>
          </a:extLst>
        </xdr:cNvPr>
        <xdr:cNvPicPr>
          <a:picLocks noChangeAspect="1"/>
        </xdr:cNvPicPr>
      </xdr:nvPicPr>
      <xdr:blipFill>
        <a:blip xmlns:r="http://schemas.openxmlformats.org/officeDocument/2006/relationships" r:link="rId427"/>
        <a:stretch>
          <a:fillRect/>
        </a:stretch>
      </xdr:blipFill>
      <xdr:spPr>
        <a:xfrm>
          <a:off x="28457211" y="605570041"/>
          <a:ext cx="967149" cy="971345"/>
        </a:xfrm>
        <a:prstGeom prst="rect">
          <a:avLst/>
        </a:prstGeom>
      </xdr:spPr>
    </xdr:pic>
    <xdr:clientData/>
  </xdr:twoCellAnchor>
  <xdr:twoCellAnchor editAs="oneCell">
    <xdr:from>
      <xdr:col>12</xdr:col>
      <xdr:colOff>689414</xdr:colOff>
      <xdr:row>435</xdr:row>
      <xdr:rowOff>206643</xdr:rowOff>
    </xdr:from>
    <xdr:to>
      <xdr:col>12</xdr:col>
      <xdr:colOff>1656563</xdr:colOff>
      <xdr:row>435</xdr:row>
      <xdr:rowOff>1177395</xdr:rowOff>
    </xdr:to>
    <xdr:pic>
      <xdr:nvPicPr>
        <xdr:cNvPr id="873" name="Picture 872">
          <a:extLst>
            <a:ext uri="{FF2B5EF4-FFF2-40B4-BE49-F238E27FC236}">
              <a16:creationId xmlns:a16="http://schemas.microsoft.com/office/drawing/2014/main" id="{F3A1CC58-59E0-CE50-5B2E-557550D1A40A}"/>
            </a:ext>
          </a:extLst>
        </xdr:cNvPr>
        <xdr:cNvPicPr>
          <a:picLocks noChangeAspect="1"/>
        </xdr:cNvPicPr>
      </xdr:nvPicPr>
      <xdr:blipFill>
        <a:blip xmlns:r="http://schemas.openxmlformats.org/officeDocument/2006/relationships" r:link="rId428"/>
        <a:stretch>
          <a:fillRect/>
        </a:stretch>
      </xdr:blipFill>
      <xdr:spPr>
        <a:xfrm>
          <a:off x="28457211" y="606965287"/>
          <a:ext cx="967149" cy="970752"/>
        </a:xfrm>
        <a:prstGeom prst="rect">
          <a:avLst/>
        </a:prstGeom>
      </xdr:spPr>
    </xdr:pic>
    <xdr:clientData/>
  </xdr:twoCellAnchor>
  <xdr:twoCellAnchor editAs="oneCell">
    <xdr:from>
      <xdr:col>12</xdr:col>
      <xdr:colOff>689414</xdr:colOff>
      <xdr:row>436</xdr:row>
      <xdr:rowOff>206653</xdr:rowOff>
    </xdr:from>
    <xdr:to>
      <xdr:col>12</xdr:col>
      <xdr:colOff>1656563</xdr:colOff>
      <xdr:row>436</xdr:row>
      <xdr:rowOff>1177405</xdr:rowOff>
    </xdr:to>
    <xdr:pic>
      <xdr:nvPicPr>
        <xdr:cNvPr id="875" name="Picture 874">
          <a:extLst>
            <a:ext uri="{FF2B5EF4-FFF2-40B4-BE49-F238E27FC236}">
              <a16:creationId xmlns:a16="http://schemas.microsoft.com/office/drawing/2014/main" id="{1707035E-11E3-5889-06B6-190572158E38}"/>
            </a:ext>
          </a:extLst>
        </xdr:cNvPr>
        <xdr:cNvPicPr>
          <a:picLocks noChangeAspect="1"/>
        </xdr:cNvPicPr>
      </xdr:nvPicPr>
      <xdr:blipFill>
        <a:blip xmlns:r="http://schemas.openxmlformats.org/officeDocument/2006/relationships" r:link="rId429"/>
        <a:stretch>
          <a:fillRect/>
        </a:stretch>
      </xdr:blipFill>
      <xdr:spPr>
        <a:xfrm>
          <a:off x="28457211" y="608360145"/>
          <a:ext cx="967149" cy="970752"/>
        </a:xfrm>
        <a:prstGeom prst="rect">
          <a:avLst/>
        </a:prstGeom>
      </xdr:spPr>
    </xdr:pic>
    <xdr:clientData/>
  </xdr:twoCellAnchor>
  <xdr:twoCellAnchor editAs="oneCell">
    <xdr:from>
      <xdr:col>12</xdr:col>
      <xdr:colOff>689414</xdr:colOff>
      <xdr:row>437</xdr:row>
      <xdr:rowOff>206663</xdr:rowOff>
    </xdr:from>
    <xdr:to>
      <xdr:col>12</xdr:col>
      <xdr:colOff>1656563</xdr:colOff>
      <xdr:row>437</xdr:row>
      <xdr:rowOff>1177415</xdr:rowOff>
    </xdr:to>
    <xdr:pic>
      <xdr:nvPicPr>
        <xdr:cNvPr id="877" name="Picture 876">
          <a:extLst>
            <a:ext uri="{FF2B5EF4-FFF2-40B4-BE49-F238E27FC236}">
              <a16:creationId xmlns:a16="http://schemas.microsoft.com/office/drawing/2014/main" id="{F6EB2A8D-FD78-57C9-9C2B-4B2451A099F2}"/>
            </a:ext>
          </a:extLst>
        </xdr:cNvPr>
        <xdr:cNvPicPr>
          <a:picLocks noChangeAspect="1"/>
        </xdr:cNvPicPr>
      </xdr:nvPicPr>
      <xdr:blipFill>
        <a:blip xmlns:r="http://schemas.openxmlformats.org/officeDocument/2006/relationships" r:link="rId430"/>
        <a:stretch>
          <a:fillRect/>
        </a:stretch>
      </xdr:blipFill>
      <xdr:spPr>
        <a:xfrm>
          <a:off x="28457211" y="609755002"/>
          <a:ext cx="967149" cy="970752"/>
        </a:xfrm>
        <a:prstGeom prst="rect">
          <a:avLst/>
        </a:prstGeom>
      </xdr:spPr>
    </xdr:pic>
    <xdr:clientData/>
  </xdr:twoCellAnchor>
  <xdr:twoCellAnchor editAs="oneCell">
    <xdr:from>
      <xdr:col>12</xdr:col>
      <xdr:colOff>689414</xdr:colOff>
      <xdr:row>438</xdr:row>
      <xdr:rowOff>206236</xdr:rowOff>
    </xdr:from>
    <xdr:to>
      <xdr:col>12</xdr:col>
      <xdr:colOff>1656563</xdr:colOff>
      <xdr:row>438</xdr:row>
      <xdr:rowOff>1177580</xdr:rowOff>
    </xdr:to>
    <xdr:pic>
      <xdr:nvPicPr>
        <xdr:cNvPr id="879" name="Picture 878">
          <a:extLst>
            <a:ext uri="{FF2B5EF4-FFF2-40B4-BE49-F238E27FC236}">
              <a16:creationId xmlns:a16="http://schemas.microsoft.com/office/drawing/2014/main" id="{1B909B1E-1E45-7A6C-04FE-4829E459E124}"/>
            </a:ext>
          </a:extLst>
        </xdr:cNvPr>
        <xdr:cNvPicPr>
          <a:picLocks noChangeAspect="1"/>
        </xdr:cNvPicPr>
      </xdr:nvPicPr>
      <xdr:blipFill>
        <a:blip xmlns:r="http://schemas.openxmlformats.org/officeDocument/2006/relationships" r:link="rId431"/>
        <a:stretch>
          <a:fillRect/>
        </a:stretch>
      </xdr:blipFill>
      <xdr:spPr>
        <a:xfrm>
          <a:off x="28457211" y="611149422"/>
          <a:ext cx="967149" cy="971344"/>
        </a:xfrm>
        <a:prstGeom prst="rect">
          <a:avLst/>
        </a:prstGeom>
      </xdr:spPr>
    </xdr:pic>
    <xdr:clientData/>
  </xdr:twoCellAnchor>
  <xdr:twoCellAnchor editAs="oneCell">
    <xdr:from>
      <xdr:col>12</xdr:col>
      <xdr:colOff>689414</xdr:colOff>
      <xdr:row>439</xdr:row>
      <xdr:rowOff>206244</xdr:rowOff>
    </xdr:from>
    <xdr:to>
      <xdr:col>12</xdr:col>
      <xdr:colOff>1656563</xdr:colOff>
      <xdr:row>439</xdr:row>
      <xdr:rowOff>1177589</xdr:rowOff>
    </xdr:to>
    <xdr:pic>
      <xdr:nvPicPr>
        <xdr:cNvPr id="881" name="Picture 880">
          <a:extLst>
            <a:ext uri="{FF2B5EF4-FFF2-40B4-BE49-F238E27FC236}">
              <a16:creationId xmlns:a16="http://schemas.microsoft.com/office/drawing/2014/main" id="{FAEFB4E6-062D-7E3F-435F-58C94076E61F}"/>
            </a:ext>
          </a:extLst>
        </xdr:cNvPr>
        <xdr:cNvPicPr>
          <a:picLocks noChangeAspect="1"/>
        </xdr:cNvPicPr>
      </xdr:nvPicPr>
      <xdr:blipFill>
        <a:blip xmlns:r="http://schemas.openxmlformats.org/officeDocument/2006/relationships" r:link="rId432"/>
        <a:stretch>
          <a:fillRect/>
        </a:stretch>
      </xdr:blipFill>
      <xdr:spPr>
        <a:xfrm>
          <a:off x="28457211" y="612544278"/>
          <a:ext cx="967149" cy="971345"/>
        </a:xfrm>
        <a:prstGeom prst="rect">
          <a:avLst/>
        </a:prstGeom>
      </xdr:spPr>
    </xdr:pic>
    <xdr:clientData/>
  </xdr:twoCellAnchor>
  <xdr:twoCellAnchor editAs="oneCell">
    <xdr:from>
      <xdr:col>12</xdr:col>
      <xdr:colOff>689414</xdr:colOff>
      <xdr:row>440</xdr:row>
      <xdr:rowOff>206643</xdr:rowOff>
    </xdr:from>
    <xdr:to>
      <xdr:col>12</xdr:col>
      <xdr:colOff>1656563</xdr:colOff>
      <xdr:row>440</xdr:row>
      <xdr:rowOff>1177395</xdr:rowOff>
    </xdr:to>
    <xdr:pic>
      <xdr:nvPicPr>
        <xdr:cNvPr id="883" name="Picture 882">
          <a:extLst>
            <a:ext uri="{FF2B5EF4-FFF2-40B4-BE49-F238E27FC236}">
              <a16:creationId xmlns:a16="http://schemas.microsoft.com/office/drawing/2014/main" id="{DAF383D2-6E56-4437-AA23-236F2293FAA7}"/>
            </a:ext>
          </a:extLst>
        </xdr:cNvPr>
        <xdr:cNvPicPr>
          <a:picLocks noChangeAspect="1"/>
        </xdr:cNvPicPr>
      </xdr:nvPicPr>
      <xdr:blipFill>
        <a:blip xmlns:r="http://schemas.openxmlformats.org/officeDocument/2006/relationships" r:link="rId433"/>
        <a:stretch>
          <a:fillRect/>
        </a:stretch>
      </xdr:blipFill>
      <xdr:spPr>
        <a:xfrm>
          <a:off x="28457211" y="613939524"/>
          <a:ext cx="967149" cy="970752"/>
        </a:xfrm>
        <a:prstGeom prst="rect">
          <a:avLst/>
        </a:prstGeom>
      </xdr:spPr>
    </xdr:pic>
    <xdr:clientData/>
  </xdr:twoCellAnchor>
  <xdr:twoCellAnchor editAs="oneCell">
    <xdr:from>
      <xdr:col>12</xdr:col>
      <xdr:colOff>689414</xdr:colOff>
      <xdr:row>441</xdr:row>
      <xdr:rowOff>206653</xdr:rowOff>
    </xdr:from>
    <xdr:to>
      <xdr:col>12</xdr:col>
      <xdr:colOff>1656563</xdr:colOff>
      <xdr:row>441</xdr:row>
      <xdr:rowOff>1177405</xdr:rowOff>
    </xdr:to>
    <xdr:pic>
      <xdr:nvPicPr>
        <xdr:cNvPr id="885" name="Picture 884">
          <a:extLst>
            <a:ext uri="{FF2B5EF4-FFF2-40B4-BE49-F238E27FC236}">
              <a16:creationId xmlns:a16="http://schemas.microsoft.com/office/drawing/2014/main" id="{925320C8-D0FA-EE37-BB09-CD93513D0F8C}"/>
            </a:ext>
          </a:extLst>
        </xdr:cNvPr>
        <xdr:cNvPicPr>
          <a:picLocks noChangeAspect="1"/>
        </xdr:cNvPicPr>
      </xdr:nvPicPr>
      <xdr:blipFill>
        <a:blip xmlns:r="http://schemas.openxmlformats.org/officeDocument/2006/relationships" r:link="rId434"/>
        <a:stretch>
          <a:fillRect/>
        </a:stretch>
      </xdr:blipFill>
      <xdr:spPr>
        <a:xfrm>
          <a:off x="28457211" y="615334382"/>
          <a:ext cx="967149" cy="970752"/>
        </a:xfrm>
        <a:prstGeom prst="rect">
          <a:avLst/>
        </a:prstGeom>
      </xdr:spPr>
    </xdr:pic>
    <xdr:clientData/>
  </xdr:twoCellAnchor>
  <xdr:twoCellAnchor editAs="oneCell">
    <xdr:from>
      <xdr:col>12</xdr:col>
      <xdr:colOff>689414</xdr:colOff>
      <xdr:row>442</xdr:row>
      <xdr:rowOff>206663</xdr:rowOff>
    </xdr:from>
    <xdr:to>
      <xdr:col>12</xdr:col>
      <xdr:colOff>1656563</xdr:colOff>
      <xdr:row>442</xdr:row>
      <xdr:rowOff>1177415</xdr:rowOff>
    </xdr:to>
    <xdr:pic>
      <xdr:nvPicPr>
        <xdr:cNvPr id="887" name="Picture 886">
          <a:extLst>
            <a:ext uri="{FF2B5EF4-FFF2-40B4-BE49-F238E27FC236}">
              <a16:creationId xmlns:a16="http://schemas.microsoft.com/office/drawing/2014/main" id="{C6434641-EC32-630E-8851-08883B874950}"/>
            </a:ext>
          </a:extLst>
        </xdr:cNvPr>
        <xdr:cNvPicPr>
          <a:picLocks noChangeAspect="1"/>
        </xdr:cNvPicPr>
      </xdr:nvPicPr>
      <xdr:blipFill>
        <a:blip xmlns:r="http://schemas.openxmlformats.org/officeDocument/2006/relationships" r:link="rId435"/>
        <a:stretch>
          <a:fillRect/>
        </a:stretch>
      </xdr:blipFill>
      <xdr:spPr>
        <a:xfrm>
          <a:off x="28457211" y="616729239"/>
          <a:ext cx="967149" cy="970752"/>
        </a:xfrm>
        <a:prstGeom prst="rect">
          <a:avLst/>
        </a:prstGeom>
      </xdr:spPr>
    </xdr:pic>
    <xdr:clientData/>
  </xdr:twoCellAnchor>
  <xdr:twoCellAnchor editAs="oneCell">
    <xdr:from>
      <xdr:col>12</xdr:col>
      <xdr:colOff>689414</xdr:colOff>
      <xdr:row>443</xdr:row>
      <xdr:rowOff>206234</xdr:rowOff>
    </xdr:from>
    <xdr:to>
      <xdr:col>12</xdr:col>
      <xdr:colOff>1656563</xdr:colOff>
      <xdr:row>443</xdr:row>
      <xdr:rowOff>1177579</xdr:rowOff>
    </xdr:to>
    <xdr:pic>
      <xdr:nvPicPr>
        <xdr:cNvPr id="889" name="Picture 888">
          <a:extLst>
            <a:ext uri="{FF2B5EF4-FFF2-40B4-BE49-F238E27FC236}">
              <a16:creationId xmlns:a16="http://schemas.microsoft.com/office/drawing/2014/main" id="{81D519B2-94A8-EFDD-3860-1F4314D12966}"/>
            </a:ext>
          </a:extLst>
        </xdr:cNvPr>
        <xdr:cNvPicPr>
          <a:picLocks noChangeAspect="1"/>
        </xdr:cNvPicPr>
      </xdr:nvPicPr>
      <xdr:blipFill>
        <a:blip xmlns:r="http://schemas.openxmlformats.org/officeDocument/2006/relationships" r:link="rId436"/>
        <a:stretch>
          <a:fillRect/>
        </a:stretch>
      </xdr:blipFill>
      <xdr:spPr>
        <a:xfrm>
          <a:off x="28457211" y="618123658"/>
          <a:ext cx="967149" cy="971345"/>
        </a:xfrm>
        <a:prstGeom prst="rect">
          <a:avLst/>
        </a:prstGeom>
      </xdr:spPr>
    </xdr:pic>
    <xdr:clientData/>
  </xdr:twoCellAnchor>
  <xdr:twoCellAnchor editAs="oneCell">
    <xdr:from>
      <xdr:col>12</xdr:col>
      <xdr:colOff>689414</xdr:colOff>
      <xdr:row>444</xdr:row>
      <xdr:rowOff>206246</xdr:rowOff>
    </xdr:from>
    <xdr:to>
      <xdr:col>12</xdr:col>
      <xdr:colOff>1656563</xdr:colOff>
      <xdr:row>444</xdr:row>
      <xdr:rowOff>1177590</xdr:rowOff>
    </xdr:to>
    <xdr:pic>
      <xdr:nvPicPr>
        <xdr:cNvPr id="891" name="Picture 890">
          <a:extLst>
            <a:ext uri="{FF2B5EF4-FFF2-40B4-BE49-F238E27FC236}">
              <a16:creationId xmlns:a16="http://schemas.microsoft.com/office/drawing/2014/main" id="{DF618968-5B06-578F-8AF9-73DE30154189}"/>
            </a:ext>
          </a:extLst>
        </xdr:cNvPr>
        <xdr:cNvPicPr>
          <a:picLocks noChangeAspect="1"/>
        </xdr:cNvPicPr>
      </xdr:nvPicPr>
      <xdr:blipFill>
        <a:blip xmlns:r="http://schemas.openxmlformats.org/officeDocument/2006/relationships" r:link="rId437"/>
        <a:stretch>
          <a:fillRect/>
        </a:stretch>
      </xdr:blipFill>
      <xdr:spPr>
        <a:xfrm>
          <a:off x="28457211" y="619518517"/>
          <a:ext cx="967149" cy="971344"/>
        </a:xfrm>
        <a:prstGeom prst="rect">
          <a:avLst/>
        </a:prstGeom>
      </xdr:spPr>
    </xdr:pic>
    <xdr:clientData/>
  </xdr:twoCellAnchor>
  <xdr:twoCellAnchor editAs="oneCell">
    <xdr:from>
      <xdr:col>12</xdr:col>
      <xdr:colOff>689414</xdr:colOff>
      <xdr:row>445</xdr:row>
      <xdr:rowOff>206643</xdr:rowOff>
    </xdr:from>
    <xdr:to>
      <xdr:col>12</xdr:col>
      <xdr:colOff>1656563</xdr:colOff>
      <xdr:row>445</xdr:row>
      <xdr:rowOff>1177395</xdr:rowOff>
    </xdr:to>
    <xdr:pic>
      <xdr:nvPicPr>
        <xdr:cNvPr id="893" name="Picture 892">
          <a:extLst>
            <a:ext uri="{FF2B5EF4-FFF2-40B4-BE49-F238E27FC236}">
              <a16:creationId xmlns:a16="http://schemas.microsoft.com/office/drawing/2014/main" id="{71055E52-080B-E595-5A10-56C64A1E76CE}"/>
            </a:ext>
          </a:extLst>
        </xdr:cNvPr>
        <xdr:cNvPicPr>
          <a:picLocks noChangeAspect="1"/>
        </xdr:cNvPicPr>
      </xdr:nvPicPr>
      <xdr:blipFill>
        <a:blip xmlns:r="http://schemas.openxmlformats.org/officeDocument/2006/relationships" r:link="rId438"/>
        <a:stretch>
          <a:fillRect/>
        </a:stretch>
      </xdr:blipFill>
      <xdr:spPr>
        <a:xfrm>
          <a:off x="28457211" y="620913762"/>
          <a:ext cx="967149" cy="970752"/>
        </a:xfrm>
        <a:prstGeom prst="rect">
          <a:avLst/>
        </a:prstGeom>
      </xdr:spPr>
    </xdr:pic>
    <xdr:clientData/>
  </xdr:twoCellAnchor>
  <xdr:twoCellAnchor editAs="oneCell">
    <xdr:from>
      <xdr:col>12</xdr:col>
      <xdr:colOff>689414</xdr:colOff>
      <xdr:row>446</xdr:row>
      <xdr:rowOff>206653</xdr:rowOff>
    </xdr:from>
    <xdr:to>
      <xdr:col>12</xdr:col>
      <xdr:colOff>1656563</xdr:colOff>
      <xdr:row>446</xdr:row>
      <xdr:rowOff>1177405</xdr:rowOff>
    </xdr:to>
    <xdr:pic>
      <xdr:nvPicPr>
        <xdr:cNvPr id="895" name="Picture 894">
          <a:extLst>
            <a:ext uri="{FF2B5EF4-FFF2-40B4-BE49-F238E27FC236}">
              <a16:creationId xmlns:a16="http://schemas.microsoft.com/office/drawing/2014/main" id="{9FCC57AB-A755-3A5A-C5D5-E875E1F3A8DF}"/>
            </a:ext>
          </a:extLst>
        </xdr:cNvPr>
        <xdr:cNvPicPr>
          <a:picLocks noChangeAspect="1"/>
        </xdr:cNvPicPr>
      </xdr:nvPicPr>
      <xdr:blipFill>
        <a:blip xmlns:r="http://schemas.openxmlformats.org/officeDocument/2006/relationships" r:link="rId439"/>
        <a:stretch>
          <a:fillRect/>
        </a:stretch>
      </xdr:blipFill>
      <xdr:spPr>
        <a:xfrm>
          <a:off x="28457211" y="622308619"/>
          <a:ext cx="967149" cy="970752"/>
        </a:xfrm>
        <a:prstGeom prst="rect">
          <a:avLst/>
        </a:prstGeom>
      </xdr:spPr>
    </xdr:pic>
    <xdr:clientData/>
  </xdr:twoCellAnchor>
  <xdr:twoCellAnchor editAs="oneCell">
    <xdr:from>
      <xdr:col>12</xdr:col>
      <xdr:colOff>689414</xdr:colOff>
      <xdr:row>447</xdr:row>
      <xdr:rowOff>206663</xdr:rowOff>
    </xdr:from>
    <xdr:to>
      <xdr:col>12</xdr:col>
      <xdr:colOff>1656563</xdr:colOff>
      <xdr:row>447</xdr:row>
      <xdr:rowOff>1177415</xdr:rowOff>
    </xdr:to>
    <xdr:pic>
      <xdr:nvPicPr>
        <xdr:cNvPr id="897" name="Picture 896">
          <a:extLst>
            <a:ext uri="{FF2B5EF4-FFF2-40B4-BE49-F238E27FC236}">
              <a16:creationId xmlns:a16="http://schemas.microsoft.com/office/drawing/2014/main" id="{D8929611-54DB-3ED4-B1EB-389D1DC9EB1D}"/>
            </a:ext>
          </a:extLst>
        </xdr:cNvPr>
        <xdr:cNvPicPr>
          <a:picLocks noChangeAspect="1"/>
        </xdr:cNvPicPr>
      </xdr:nvPicPr>
      <xdr:blipFill>
        <a:blip xmlns:r="http://schemas.openxmlformats.org/officeDocument/2006/relationships" r:link="rId440"/>
        <a:stretch>
          <a:fillRect/>
        </a:stretch>
      </xdr:blipFill>
      <xdr:spPr>
        <a:xfrm>
          <a:off x="28457211" y="623703477"/>
          <a:ext cx="967149" cy="970752"/>
        </a:xfrm>
        <a:prstGeom prst="rect">
          <a:avLst/>
        </a:prstGeom>
      </xdr:spPr>
    </xdr:pic>
    <xdr:clientData/>
  </xdr:twoCellAnchor>
  <xdr:twoCellAnchor editAs="oneCell">
    <xdr:from>
      <xdr:col>12</xdr:col>
      <xdr:colOff>689414</xdr:colOff>
      <xdr:row>448</xdr:row>
      <xdr:rowOff>206236</xdr:rowOff>
    </xdr:from>
    <xdr:to>
      <xdr:col>12</xdr:col>
      <xdr:colOff>1656563</xdr:colOff>
      <xdr:row>448</xdr:row>
      <xdr:rowOff>1177580</xdr:rowOff>
    </xdr:to>
    <xdr:pic>
      <xdr:nvPicPr>
        <xdr:cNvPr id="899" name="Picture 898">
          <a:extLst>
            <a:ext uri="{FF2B5EF4-FFF2-40B4-BE49-F238E27FC236}">
              <a16:creationId xmlns:a16="http://schemas.microsoft.com/office/drawing/2014/main" id="{A9A71AFD-1501-4F05-D1AE-F225EAD64B5E}"/>
            </a:ext>
          </a:extLst>
        </xdr:cNvPr>
        <xdr:cNvPicPr>
          <a:picLocks noChangeAspect="1"/>
        </xdr:cNvPicPr>
      </xdr:nvPicPr>
      <xdr:blipFill>
        <a:blip xmlns:r="http://schemas.openxmlformats.org/officeDocument/2006/relationships" r:link="rId441"/>
        <a:stretch>
          <a:fillRect/>
        </a:stretch>
      </xdr:blipFill>
      <xdr:spPr>
        <a:xfrm>
          <a:off x="28457211" y="625097897"/>
          <a:ext cx="967149" cy="971344"/>
        </a:xfrm>
        <a:prstGeom prst="rect">
          <a:avLst/>
        </a:prstGeom>
      </xdr:spPr>
    </xdr:pic>
    <xdr:clientData/>
  </xdr:twoCellAnchor>
  <xdr:twoCellAnchor editAs="oneCell">
    <xdr:from>
      <xdr:col>12</xdr:col>
      <xdr:colOff>689414</xdr:colOff>
      <xdr:row>449</xdr:row>
      <xdr:rowOff>206246</xdr:rowOff>
    </xdr:from>
    <xdr:to>
      <xdr:col>12</xdr:col>
      <xdr:colOff>1656563</xdr:colOff>
      <xdr:row>449</xdr:row>
      <xdr:rowOff>1177590</xdr:rowOff>
    </xdr:to>
    <xdr:pic>
      <xdr:nvPicPr>
        <xdr:cNvPr id="901" name="Picture 900">
          <a:extLst>
            <a:ext uri="{FF2B5EF4-FFF2-40B4-BE49-F238E27FC236}">
              <a16:creationId xmlns:a16="http://schemas.microsoft.com/office/drawing/2014/main" id="{AF7CCD65-0800-326B-2A50-A54B4CFDC05C}"/>
            </a:ext>
          </a:extLst>
        </xdr:cNvPr>
        <xdr:cNvPicPr>
          <a:picLocks noChangeAspect="1"/>
        </xdr:cNvPicPr>
      </xdr:nvPicPr>
      <xdr:blipFill>
        <a:blip xmlns:r="http://schemas.openxmlformats.org/officeDocument/2006/relationships" r:link="rId442"/>
        <a:stretch>
          <a:fillRect/>
        </a:stretch>
      </xdr:blipFill>
      <xdr:spPr>
        <a:xfrm>
          <a:off x="28457211" y="626492754"/>
          <a:ext cx="967149" cy="971344"/>
        </a:xfrm>
        <a:prstGeom prst="rect">
          <a:avLst/>
        </a:prstGeom>
      </xdr:spPr>
    </xdr:pic>
    <xdr:clientData/>
  </xdr:twoCellAnchor>
  <xdr:twoCellAnchor editAs="oneCell">
    <xdr:from>
      <xdr:col>12</xdr:col>
      <xdr:colOff>689414</xdr:colOff>
      <xdr:row>450</xdr:row>
      <xdr:rowOff>206643</xdr:rowOff>
    </xdr:from>
    <xdr:to>
      <xdr:col>12</xdr:col>
      <xdr:colOff>1656563</xdr:colOff>
      <xdr:row>450</xdr:row>
      <xdr:rowOff>1177395</xdr:rowOff>
    </xdr:to>
    <xdr:pic>
      <xdr:nvPicPr>
        <xdr:cNvPr id="903" name="Picture 902">
          <a:extLst>
            <a:ext uri="{FF2B5EF4-FFF2-40B4-BE49-F238E27FC236}">
              <a16:creationId xmlns:a16="http://schemas.microsoft.com/office/drawing/2014/main" id="{C70AF25D-3374-D808-1C02-10A69506F351}"/>
            </a:ext>
          </a:extLst>
        </xdr:cNvPr>
        <xdr:cNvPicPr>
          <a:picLocks noChangeAspect="1"/>
        </xdr:cNvPicPr>
      </xdr:nvPicPr>
      <xdr:blipFill>
        <a:blip xmlns:r="http://schemas.openxmlformats.org/officeDocument/2006/relationships" r:link="rId443"/>
        <a:stretch>
          <a:fillRect/>
        </a:stretch>
      </xdr:blipFill>
      <xdr:spPr>
        <a:xfrm>
          <a:off x="28457211" y="627887999"/>
          <a:ext cx="967149" cy="970752"/>
        </a:xfrm>
        <a:prstGeom prst="rect">
          <a:avLst/>
        </a:prstGeom>
      </xdr:spPr>
    </xdr:pic>
    <xdr:clientData/>
  </xdr:twoCellAnchor>
  <xdr:twoCellAnchor editAs="oneCell">
    <xdr:from>
      <xdr:col>12</xdr:col>
      <xdr:colOff>689414</xdr:colOff>
      <xdr:row>451</xdr:row>
      <xdr:rowOff>206653</xdr:rowOff>
    </xdr:from>
    <xdr:to>
      <xdr:col>12</xdr:col>
      <xdr:colOff>1656563</xdr:colOff>
      <xdr:row>451</xdr:row>
      <xdr:rowOff>1177405</xdr:rowOff>
    </xdr:to>
    <xdr:pic>
      <xdr:nvPicPr>
        <xdr:cNvPr id="905" name="Picture 904">
          <a:extLst>
            <a:ext uri="{FF2B5EF4-FFF2-40B4-BE49-F238E27FC236}">
              <a16:creationId xmlns:a16="http://schemas.microsoft.com/office/drawing/2014/main" id="{EFE10D79-3422-8C8E-0F10-5F7AE5E6B786}"/>
            </a:ext>
          </a:extLst>
        </xdr:cNvPr>
        <xdr:cNvPicPr>
          <a:picLocks noChangeAspect="1"/>
        </xdr:cNvPicPr>
      </xdr:nvPicPr>
      <xdr:blipFill>
        <a:blip xmlns:r="http://schemas.openxmlformats.org/officeDocument/2006/relationships" r:link="rId444"/>
        <a:stretch>
          <a:fillRect/>
        </a:stretch>
      </xdr:blipFill>
      <xdr:spPr>
        <a:xfrm>
          <a:off x="28457211" y="629282856"/>
          <a:ext cx="967149" cy="970752"/>
        </a:xfrm>
        <a:prstGeom prst="rect">
          <a:avLst/>
        </a:prstGeom>
      </xdr:spPr>
    </xdr:pic>
    <xdr:clientData/>
  </xdr:twoCellAnchor>
  <xdr:twoCellAnchor editAs="oneCell">
    <xdr:from>
      <xdr:col>12</xdr:col>
      <xdr:colOff>689414</xdr:colOff>
      <xdr:row>452</xdr:row>
      <xdr:rowOff>206663</xdr:rowOff>
    </xdr:from>
    <xdr:to>
      <xdr:col>12</xdr:col>
      <xdr:colOff>1656563</xdr:colOff>
      <xdr:row>452</xdr:row>
      <xdr:rowOff>1177415</xdr:rowOff>
    </xdr:to>
    <xdr:pic>
      <xdr:nvPicPr>
        <xdr:cNvPr id="907" name="Picture 906">
          <a:extLst>
            <a:ext uri="{FF2B5EF4-FFF2-40B4-BE49-F238E27FC236}">
              <a16:creationId xmlns:a16="http://schemas.microsoft.com/office/drawing/2014/main" id="{6279338F-22E8-A669-8D5A-F8B36577A8A1}"/>
            </a:ext>
          </a:extLst>
        </xdr:cNvPr>
        <xdr:cNvPicPr>
          <a:picLocks noChangeAspect="1"/>
        </xdr:cNvPicPr>
      </xdr:nvPicPr>
      <xdr:blipFill>
        <a:blip xmlns:r="http://schemas.openxmlformats.org/officeDocument/2006/relationships" r:link="rId445"/>
        <a:stretch>
          <a:fillRect/>
        </a:stretch>
      </xdr:blipFill>
      <xdr:spPr>
        <a:xfrm>
          <a:off x="28457211" y="630677714"/>
          <a:ext cx="967149" cy="970752"/>
        </a:xfrm>
        <a:prstGeom prst="rect">
          <a:avLst/>
        </a:prstGeom>
      </xdr:spPr>
    </xdr:pic>
    <xdr:clientData/>
  </xdr:twoCellAnchor>
  <xdr:twoCellAnchor editAs="oneCell">
    <xdr:from>
      <xdr:col>12</xdr:col>
      <xdr:colOff>689414</xdr:colOff>
      <xdr:row>453</xdr:row>
      <xdr:rowOff>206236</xdr:rowOff>
    </xdr:from>
    <xdr:to>
      <xdr:col>12</xdr:col>
      <xdr:colOff>1656563</xdr:colOff>
      <xdr:row>453</xdr:row>
      <xdr:rowOff>1177580</xdr:rowOff>
    </xdr:to>
    <xdr:pic>
      <xdr:nvPicPr>
        <xdr:cNvPr id="909" name="Picture 908">
          <a:extLst>
            <a:ext uri="{FF2B5EF4-FFF2-40B4-BE49-F238E27FC236}">
              <a16:creationId xmlns:a16="http://schemas.microsoft.com/office/drawing/2014/main" id="{3D8ACDDC-F832-077F-57D5-154C22CB36A2}"/>
            </a:ext>
          </a:extLst>
        </xdr:cNvPr>
        <xdr:cNvPicPr>
          <a:picLocks noChangeAspect="1"/>
        </xdr:cNvPicPr>
      </xdr:nvPicPr>
      <xdr:blipFill>
        <a:blip xmlns:r="http://schemas.openxmlformats.org/officeDocument/2006/relationships" r:link="rId446"/>
        <a:stretch>
          <a:fillRect/>
        </a:stretch>
      </xdr:blipFill>
      <xdr:spPr>
        <a:xfrm>
          <a:off x="28457211" y="632072134"/>
          <a:ext cx="967149" cy="971344"/>
        </a:xfrm>
        <a:prstGeom prst="rect">
          <a:avLst/>
        </a:prstGeom>
      </xdr:spPr>
    </xdr:pic>
    <xdr:clientData/>
  </xdr:twoCellAnchor>
  <xdr:twoCellAnchor editAs="oneCell">
    <xdr:from>
      <xdr:col>12</xdr:col>
      <xdr:colOff>689414</xdr:colOff>
      <xdr:row>454</xdr:row>
      <xdr:rowOff>206244</xdr:rowOff>
    </xdr:from>
    <xdr:to>
      <xdr:col>12</xdr:col>
      <xdr:colOff>1656563</xdr:colOff>
      <xdr:row>454</xdr:row>
      <xdr:rowOff>1177589</xdr:rowOff>
    </xdr:to>
    <xdr:pic>
      <xdr:nvPicPr>
        <xdr:cNvPr id="911" name="Picture 910">
          <a:extLst>
            <a:ext uri="{FF2B5EF4-FFF2-40B4-BE49-F238E27FC236}">
              <a16:creationId xmlns:a16="http://schemas.microsoft.com/office/drawing/2014/main" id="{77AC3F1E-EB56-2F82-FA90-18770CB2BB2B}"/>
            </a:ext>
          </a:extLst>
        </xdr:cNvPr>
        <xdr:cNvPicPr>
          <a:picLocks noChangeAspect="1"/>
        </xdr:cNvPicPr>
      </xdr:nvPicPr>
      <xdr:blipFill>
        <a:blip xmlns:r="http://schemas.openxmlformats.org/officeDocument/2006/relationships" r:link="rId447"/>
        <a:stretch>
          <a:fillRect/>
        </a:stretch>
      </xdr:blipFill>
      <xdr:spPr>
        <a:xfrm>
          <a:off x="28457211" y="633466990"/>
          <a:ext cx="967149" cy="971345"/>
        </a:xfrm>
        <a:prstGeom prst="rect">
          <a:avLst/>
        </a:prstGeom>
      </xdr:spPr>
    </xdr:pic>
    <xdr:clientData/>
  </xdr:twoCellAnchor>
  <xdr:twoCellAnchor editAs="oneCell">
    <xdr:from>
      <xdr:col>12</xdr:col>
      <xdr:colOff>689414</xdr:colOff>
      <xdr:row>455</xdr:row>
      <xdr:rowOff>206643</xdr:rowOff>
    </xdr:from>
    <xdr:to>
      <xdr:col>12</xdr:col>
      <xdr:colOff>1656563</xdr:colOff>
      <xdr:row>455</xdr:row>
      <xdr:rowOff>1177395</xdr:rowOff>
    </xdr:to>
    <xdr:pic>
      <xdr:nvPicPr>
        <xdr:cNvPr id="913" name="Picture 912">
          <a:extLst>
            <a:ext uri="{FF2B5EF4-FFF2-40B4-BE49-F238E27FC236}">
              <a16:creationId xmlns:a16="http://schemas.microsoft.com/office/drawing/2014/main" id="{9237763A-E9B6-A23A-0603-CEDA5AB53057}"/>
            </a:ext>
          </a:extLst>
        </xdr:cNvPr>
        <xdr:cNvPicPr>
          <a:picLocks noChangeAspect="1"/>
        </xdr:cNvPicPr>
      </xdr:nvPicPr>
      <xdr:blipFill>
        <a:blip xmlns:r="http://schemas.openxmlformats.org/officeDocument/2006/relationships" r:link="rId448"/>
        <a:stretch>
          <a:fillRect/>
        </a:stretch>
      </xdr:blipFill>
      <xdr:spPr>
        <a:xfrm>
          <a:off x="28457211" y="634862236"/>
          <a:ext cx="967149" cy="970752"/>
        </a:xfrm>
        <a:prstGeom prst="rect">
          <a:avLst/>
        </a:prstGeom>
      </xdr:spPr>
    </xdr:pic>
    <xdr:clientData/>
  </xdr:twoCellAnchor>
  <xdr:twoCellAnchor editAs="oneCell">
    <xdr:from>
      <xdr:col>12</xdr:col>
      <xdr:colOff>689414</xdr:colOff>
      <xdr:row>456</xdr:row>
      <xdr:rowOff>206653</xdr:rowOff>
    </xdr:from>
    <xdr:to>
      <xdr:col>12</xdr:col>
      <xdr:colOff>1656563</xdr:colOff>
      <xdr:row>456</xdr:row>
      <xdr:rowOff>1177405</xdr:rowOff>
    </xdr:to>
    <xdr:pic>
      <xdr:nvPicPr>
        <xdr:cNvPr id="915" name="Picture 914">
          <a:extLst>
            <a:ext uri="{FF2B5EF4-FFF2-40B4-BE49-F238E27FC236}">
              <a16:creationId xmlns:a16="http://schemas.microsoft.com/office/drawing/2014/main" id="{A4ABFB64-3FB7-E6B7-8E5C-0D7E2629550A}"/>
            </a:ext>
          </a:extLst>
        </xdr:cNvPr>
        <xdr:cNvPicPr>
          <a:picLocks noChangeAspect="1"/>
        </xdr:cNvPicPr>
      </xdr:nvPicPr>
      <xdr:blipFill>
        <a:blip xmlns:r="http://schemas.openxmlformats.org/officeDocument/2006/relationships" r:link="rId449"/>
        <a:stretch>
          <a:fillRect/>
        </a:stretch>
      </xdr:blipFill>
      <xdr:spPr>
        <a:xfrm>
          <a:off x="28457211" y="636257094"/>
          <a:ext cx="967149" cy="970752"/>
        </a:xfrm>
        <a:prstGeom prst="rect">
          <a:avLst/>
        </a:prstGeom>
      </xdr:spPr>
    </xdr:pic>
    <xdr:clientData/>
  </xdr:twoCellAnchor>
  <xdr:twoCellAnchor editAs="oneCell">
    <xdr:from>
      <xdr:col>12</xdr:col>
      <xdr:colOff>689414</xdr:colOff>
      <xdr:row>457</xdr:row>
      <xdr:rowOff>206663</xdr:rowOff>
    </xdr:from>
    <xdr:to>
      <xdr:col>12</xdr:col>
      <xdr:colOff>1656563</xdr:colOff>
      <xdr:row>457</xdr:row>
      <xdr:rowOff>1177415</xdr:rowOff>
    </xdr:to>
    <xdr:pic>
      <xdr:nvPicPr>
        <xdr:cNvPr id="917" name="Picture 916">
          <a:extLst>
            <a:ext uri="{FF2B5EF4-FFF2-40B4-BE49-F238E27FC236}">
              <a16:creationId xmlns:a16="http://schemas.microsoft.com/office/drawing/2014/main" id="{71B21AE6-299E-2936-2AA9-35752532DACC}"/>
            </a:ext>
          </a:extLst>
        </xdr:cNvPr>
        <xdr:cNvPicPr>
          <a:picLocks noChangeAspect="1"/>
        </xdr:cNvPicPr>
      </xdr:nvPicPr>
      <xdr:blipFill>
        <a:blip xmlns:r="http://schemas.openxmlformats.org/officeDocument/2006/relationships" r:link="rId450"/>
        <a:stretch>
          <a:fillRect/>
        </a:stretch>
      </xdr:blipFill>
      <xdr:spPr>
        <a:xfrm>
          <a:off x="28457211" y="637651951"/>
          <a:ext cx="967149" cy="970752"/>
        </a:xfrm>
        <a:prstGeom prst="rect">
          <a:avLst/>
        </a:prstGeom>
      </xdr:spPr>
    </xdr:pic>
    <xdr:clientData/>
  </xdr:twoCellAnchor>
  <xdr:twoCellAnchor editAs="oneCell">
    <xdr:from>
      <xdr:col>12</xdr:col>
      <xdr:colOff>689414</xdr:colOff>
      <xdr:row>458</xdr:row>
      <xdr:rowOff>206234</xdr:rowOff>
    </xdr:from>
    <xdr:to>
      <xdr:col>12</xdr:col>
      <xdr:colOff>1656563</xdr:colOff>
      <xdr:row>458</xdr:row>
      <xdr:rowOff>1177579</xdr:rowOff>
    </xdr:to>
    <xdr:pic>
      <xdr:nvPicPr>
        <xdr:cNvPr id="919" name="Picture 918">
          <a:extLst>
            <a:ext uri="{FF2B5EF4-FFF2-40B4-BE49-F238E27FC236}">
              <a16:creationId xmlns:a16="http://schemas.microsoft.com/office/drawing/2014/main" id="{D8035D77-C0CD-CA09-AB3D-BAC7E7F950BF}"/>
            </a:ext>
          </a:extLst>
        </xdr:cNvPr>
        <xdr:cNvPicPr>
          <a:picLocks noChangeAspect="1"/>
        </xdr:cNvPicPr>
      </xdr:nvPicPr>
      <xdr:blipFill>
        <a:blip xmlns:r="http://schemas.openxmlformats.org/officeDocument/2006/relationships" r:link="rId451"/>
        <a:stretch>
          <a:fillRect/>
        </a:stretch>
      </xdr:blipFill>
      <xdr:spPr>
        <a:xfrm>
          <a:off x="28457211" y="639046370"/>
          <a:ext cx="967149" cy="971345"/>
        </a:xfrm>
        <a:prstGeom prst="rect">
          <a:avLst/>
        </a:prstGeom>
      </xdr:spPr>
    </xdr:pic>
    <xdr:clientData/>
  </xdr:twoCellAnchor>
  <xdr:twoCellAnchor editAs="oneCell">
    <xdr:from>
      <xdr:col>12</xdr:col>
      <xdr:colOff>689414</xdr:colOff>
      <xdr:row>459</xdr:row>
      <xdr:rowOff>206246</xdr:rowOff>
    </xdr:from>
    <xdr:to>
      <xdr:col>12</xdr:col>
      <xdr:colOff>1656563</xdr:colOff>
      <xdr:row>459</xdr:row>
      <xdr:rowOff>1177590</xdr:rowOff>
    </xdr:to>
    <xdr:pic>
      <xdr:nvPicPr>
        <xdr:cNvPr id="921" name="Picture 920">
          <a:extLst>
            <a:ext uri="{FF2B5EF4-FFF2-40B4-BE49-F238E27FC236}">
              <a16:creationId xmlns:a16="http://schemas.microsoft.com/office/drawing/2014/main" id="{73C39707-8052-451D-EAAA-F22251EA5EAD}"/>
            </a:ext>
          </a:extLst>
        </xdr:cNvPr>
        <xdr:cNvPicPr>
          <a:picLocks noChangeAspect="1"/>
        </xdr:cNvPicPr>
      </xdr:nvPicPr>
      <xdr:blipFill>
        <a:blip xmlns:r="http://schemas.openxmlformats.org/officeDocument/2006/relationships" r:link="rId452"/>
        <a:stretch>
          <a:fillRect/>
        </a:stretch>
      </xdr:blipFill>
      <xdr:spPr>
        <a:xfrm>
          <a:off x="28457211" y="640441229"/>
          <a:ext cx="967149" cy="971344"/>
        </a:xfrm>
        <a:prstGeom prst="rect">
          <a:avLst/>
        </a:prstGeom>
      </xdr:spPr>
    </xdr:pic>
    <xdr:clientData/>
  </xdr:twoCellAnchor>
  <xdr:twoCellAnchor editAs="oneCell">
    <xdr:from>
      <xdr:col>12</xdr:col>
      <xdr:colOff>689414</xdr:colOff>
      <xdr:row>460</xdr:row>
      <xdr:rowOff>206643</xdr:rowOff>
    </xdr:from>
    <xdr:to>
      <xdr:col>12</xdr:col>
      <xdr:colOff>1656563</xdr:colOff>
      <xdr:row>460</xdr:row>
      <xdr:rowOff>1177395</xdr:rowOff>
    </xdr:to>
    <xdr:pic>
      <xdr:nvPicPr>
        <xdr:cNvPr id="923" name="Picture 922">
          <a:extLst>
            <a:ext uri="{FF2B5EF4-FFF2-40B4-BE49-F238E27FC236}">
              <a16:creationId xmlns:a16="http://schemas.microsoft.com/office/drawing/2014/main" id="{AF3CC445-9C3C-79ED-CCA5-0862809EEC07}"/>
            </a:ext>
          </a:extLst>
        </xdr:cNvPr>
        <xdr:cNvPicPr>
          <a:picLocks noChangeAspect="1"/>
        </xdr:cNvPicPr>
      </xdr:nvPicPr>
      <xdr:blipFill>
        <a:blip xmlns:r="http://schemas.openxmlformats.org/officeDocument/2006/relationships" r:link="rId453"/>
        <a:stretch>
          <a:fillRect/>
        </a:stretch>
      </xdr:blipFill>
      <xdr:spPr>
        <a:xfrm>
          <a:off x="28457211" y="641836474"/>
          <a:ext cx="967149" cy="970752"/>
        </a:xfrm>
        <a:prstGeom prst="rect">
          <a:avLst/>
        </a:prstGeom>
      </xdr:spPr>
    </xdr:pic>
    <xdr:clientData/>
  </xdr:twoCellAnchor>
  <xdr:twoCellAnchor editAs="oneCell">
    <xdr:from>
      <xdr:col>12</xdr:col>
      <xdr:colOff>689414</xdr:colOff>
      <xdr:row>461</xdr:row>
      <xdr:rowOff>206653</xdr:rowOff>
    </xdr:from>
    <xdr:to>
      <xdr:col>12</xdr:col>
      <xdr:colOff>1656563</xdr:colOff>
      <xdr:row>461</xdr:row>
      <xdr:rowOff>1177405</xdr:rowOff>
    </xdr:to>
    <xdr:pic>
      <xdr:nvPicPr>
        <xdr:cNvPr id="925" name="Picture 924">
          <a:extLst>
            <a:ext uri="{FF2B5EF4-FFF2-40B4-BE49-F238E27FC236}">
              <a16:creationId xmlns:a16="http://schemas.microsoft.com/office/drawing/2014/main" id="{9BBF3352-4C96-66DC-C3D8-2060F7E7EA6A}"/>
            </a:ext>
          </a:extLst>
        </xdr:cNvPr>
        <xdr:cNvPicPr>
          <a:picLocks noChangeAspect="1"/>
        </xdr:cNvPicPr>
      </xdr:nvPicPr>
      <xdr:blipFill>
        <a:blip xmlns:r="http://schemas.openxmlformats.org/officeDocument/2006/relationships" r:link="rId454"/>
        <a:stretch>
          <a:fillRect/>
        </a:stretch>
      </xdr:blipFill>
      <xdr:spPr>
        <a:xfrm>
          <a:off x="28457211" y="643231331"/>
          <a:ext cx="967149" cy="970752"/>
        </a:xfrm>
        <a:prstGeom prst="rect">
          <a:avLst/>
        </a:prstGeom>
      </xdr:spPr>
    </xdr:pic>
    <xdr:clientData/>
  </xdr:twoCellAnchor>
  <xdr:twoCellAnchor editAs="oneCell">
    <xdr:from>
      <xdr:col>12</xdr:col>
      <xdr:colOff>689414</xdr:colOff>
      <xdr:row>462</xdr:row>
      <xdr:rowOff>206663</xdr:rowOff>
    </xdr:from>
    <xdr:to>
      <xdr:col>12</xdr:col>
      <xdr:colOff>1656563</xdr:colOff>
      <xdr:row>462</xdr:row>
      <xdr:rowOff>1177415</xdr:rowOff>
    </xdr:to>
    <xdr:pic>
      <xdr:nvPicPr>
        <xdr:cNvPr id="927" name="Picture 926">
          <a:extLst>
            <a:ext uri="{FF2B5EF4-FFF2-40B4-BE49-F238E27FC236}">
              <a16:creationId xmlns:a16="http://schemas.microsoft.com/office/drawing/2014/main" id="{BB38C17A-697D-67F0-5433-DA06578E3BB5}"/>
            </a:ext>
          </a:extLst>
        </xdr:cNvPr>
        <xdr:cNvPicPr>
          <a:picLocks noChangeAspect="1"/>
        </xdr:cNvPicPr>
      </xdr:nvPicPr>
      <xdr:blipFill>
        <a:blip xmlns:r="http://schemas.openxmlformats.org/officeDocument/2006/relationships" r:link="rId455"/>
        <a:stretch>
          <a:fillRect/>
        </a:stretch>
      </xdr:blipFill>
      <xdr:spPr>
        <a:xfrm>
          <a:off x="28457211" y="644626188"/>
          <a:ext cx="967149" cy="970752"/>
        </a:xfrm>
        <a:prstGeom prst="rect">
          <a:avLst/>
        </a:prstGeom>
      </xdr:spPr>
    </xdr:pic>
    <xdr:clientData/>
  </xdr:twoCellAnchor>
  <xdr:twoCellAnchor editAs="oneCell">
    <xdr:from>
      <xdr:col>12</xdr:col>
      <xdr:colOff>689414</xdr:colOff>
      <xdr:row>463</xdr:row>
      <xdr:rowOff>206234</xdr:rowOff>
    </xdr:from>
    <xdr:to>
      <xdr:col>12</xdr:col>
      <xdr:colOff>1656563</xdr:colOff>
      <xdr:row>463</xdr:row>
      <xdr:rowOff>1177579</xdr:rowOff>
    </xdr:to>
    <xdr:pic>
      <xdr:nvPicPr>
        <xdr:cNvPr id="929" name="Picture 928">
          <a:extLst>
            <a:ext uri="{FF2B5EF4-FFF2-40B4-BE49-F238E27FC236}">
              <a16:creationId xmlns:a16="http://schemas.microsoft.com/office/drawing/2014/main" id="{3948D4EB-35F1-A056-E1D4-016336664C25}"/>
            </a:ext>
          </a:extLst>
        </xdr:cNvPr>
        <xdr:cNvPicPr>
          <a:picLocks noChangeAspect="1"/>
        </xdr:cNvPicPr>
      </xdr:nvPicPr>
      <xdr:blipFill>
        <a:blip xmlns:r="http://schemas.openxmlformats.org/officeDocument/2006/relationships" r:link="rId456"/>
        <a:stretch>
          <a:fillRect/>
        </a:stretch>
      </xdr:blipFill>
      <xdr:spPr>
        <a:xfrm>
          <a:off x="28457211" y="646020607"/>
          <a:ext cx="967149" cy="971345"/>
        </a:xfrm>
        <a:prstGeom prst="rect">
          <a:avLst/>
        </a:prstGeom>
      </xdr:spPr>
    </xdr:pic>
    <xdr:clientData/>
  </xdr:twoCellAnchor>
  <xdr:twoCellAnchor editAs="oneCell">
    <xdr:from>
      <xdr:col>12</xdr:col>
      <xdr:colOff>689414</xdr:colOff>
      <xdr:row>464</xdr:row>
      <xdr:rowOff>206246</xdr:rowOff>
    </xdr:from>
    <xdr:to>
      <xdr:col>12</xdr:col>
      <xdr:colOff>1656563</xdr:colOff>
      <xdr:row>464</xdr:row>
      <xdr:rowOff>1177590</xdr:rowOff>
    </xdr:to>
    <xdr:pic>
      <xdr:nvPicPr>
        <xdr:cNvPr id="931" name="Picture 930">
          <a:extLst>
            <a:ext uri="{FF2B5EF4-FFF2-40B4-BE49-F238E27FC236}">
              <a16:creationId xmlns:a16="http://schemas.microsoft.com/office/drawing/2014/main" id="{27F0755C-4EDF-346F-2653-098E488ECFB9}"/>
            </a:ext>
          </a:extLst>
        </xdr:cNvPr>
        <xdr:cNvPicPr>
          <a:picLocks noChangeAspect="1"/>
        </xdr:cNvPicPr>
      </xdr:nvPicPr>
      <xdr:blipFill>
        <a:blip xmlns:r="http://schemas.openxmlformats.org/officeDocument/2006/relationships" r:link="rId457"/>
        <a:stretch>
          <a:fillRect/>
        </a:stretch>
      </xdr:blipFill>
      <xdr:spPr>
        <a:xfrm>
          <a:off x="28457211" y="647415466"/>
          <a:ext cx="967149" cy="971344"/>
        </a:xfrm>
        <a:prstGeom prst="rect">
          <a:avLst/>
        </a:prstGeom>
      </xdr:spPr>
    </xdr:pic>
    <xdr:clientData/>
  </xdr:twoCellAnchor>
  <xdr:twoCellAnchor editAs="oneCell">
    <xdr:from>
      <xdr:col>12</xdr:col>
      <xdr:colOff>689414</xdr:colOff>
      <xdr:row>465</xdr:row>
      <xdr:rowOff>206643</xdr:rowOff>
    </xdr:from>
    <xdr:to>
      <xdr:col>12</xdr:col>
      <xdr:colOff>1656563</xdr:colOff>
      <xdr:row>465</xdr:row>
      <xdr:rowOff>1177395</xdr:rowOff>
    </xdr:to>
    <xdr:pic>
      <xdr:nvPicPr>
        <xdr:cNvPr id="933" name="Picture 932">
          <a:extLst>
            <a:ext uri="{FF2B5EF4-FFF2-40B4-BE49-F238E27FC236}">
              <a16:creationId xmlns:a16="http://schemas.microsoft.com/office/drawing/2014/main" id="{8B8A58B7-29AC-045E-0776-45F2839CC4E8}"/>
            </a:ext>
          </a:extLst>
        </xdr:cNvPr>
        <xdr:cNvPicPr>
          <a:picLocks noChangeAspect="1"/>
        </xdr:cNvPicPr>
      </xdr:nvPicPr>
      <xdr:blipFill>
        <a:blip xmlns:r="http://schemas.openxmlformats.org/officeDocument/2006/relationships" r:link="rId458"/>
        <a:stretch>
          <a:fillRect/>
        </a:stretch>
      </xdr:blipFill>
      <xdr:spPr>
        <a:xfrm>
          <a:off x="28457211" y="648810711"/>
          <a:ext cx="967149" cy="970752"/>
        </a:xfrm>
        <a:prstGeom prst="rect">
          <a:avLst/>
        </a:prstGeom>
      </xdr:spPr>
    </xdr:pic>
    <xdr:clientData/>
  </xdr:twoCellAnchor>
  <xdr:twoCellAnchor editAs="oneCell">
    <xdr:from>
      <xdr:col>12</xdr:col>
      <xdr:colOff>689414</xdr:colOff>
      <xdr:row>466</xdr:row>
      <xdr:rowOff>206653</xdr:rowOff>
    </xdr:from>
    <xdr:to>
      <xdr:col>12</xdr:col>
      <xdr:colOff>1656563</xdr:colOff>
      <xdr:row>466</xdr:row>
      <xdr:rowOff>1177405</xdr:rowOff>
    </xdr:to>
    <xdr:pic>
      <xdr:nvPicPr>
        <xdr:cNvPr id="935" name="Picture 934">
          <a:extLst>
            <a:ext uri="{FF2B5EF4-FFF2-40B4-BE49-F238E27FC236}">
              <a16:creationId xmlns:a16="http://schemas.microsoft.com/office/drawing/2014/main" id="{66AF821C-183F-D220-3D1E-A14082BD58A1}"/>
            </a:ext>
          </a:extLst>
        </xdr:cNvPr>
        <xdr:cNvPicPr>
          <a:picLocks noChangeAspect="1"/>
        </xdr:cNvPicPr>
      </xdr:nvPicPr>
      <xdr:blipFill>
        <a:blip xmlns:r="http://schemas.openxmlformats.org/officeDocument/2006/relationships" r:link="rId459"/>
        <a:stretch>
          <a:fillRect/>
        </a:stretch>
      </xdr:blipFill>
      <xdr:spPr>
        <a:xfrm>
          <a:off x="28457211" y="650205568"/>
          <a:ext cx="967149" cy="970752"/>
        </a:xfrm>
        <a:prstGeom prst="rect">
          <a:avLst/>
        </a:prstGeom>
      </xdr:spPr>
    </xdr:pic>
    <xdr:clientData/>
  </xdr:twoCellAnchor>
  <xdr:twoCellAnchor editAs="oneCell">
    <xdr:from>
      <xdr:col>12</xdr:col>
      <xdr:colOff>689414</xdr:colOff>
      <xdr:row>467</xdr:row>
      <xdr:rowOff>206663</xdr:rowOff>
    </xdr:from>
    <xdr:to>
      <xdr:col>12</xdr:col>
      <xdr:colOff>1656563</xdr:colOff>
      <xdr:row>467</xdr:row>
      <xdr:rowOff>1177415</xdr:rowOff>
    </xdr:to>
    <xdr:pic>
      <xdr:nvPicPr>
        <xdr:cNvPr id="937" name="Picture 936">
          <a:extLst>
            <a:ext uri="{FF2B5EF4-FFF2-40B4-BE49-F238E27FC236}">
              <a16:creationId xmlns:a16="http://schemas.microsoft.com/office/drawing/2014/main" id="{BD18E8F7-BB36-07C7-C032-D44A0A830E09}"/>
            </a:ext>
          </a:extLst>
        </xdr:cNvPr>
        <xdr:cNvPicPr>
          <a:picLocks noChangeAspect="1"/>
        </xdr:cNvPicPr>
      </xdr:nvPicPr>
      <xdr:blipFill>
        <a:blip xmlns:r="http://schemas.openxmlformats.org/officeDocument/2006/relationships" r:link="rId460"/>
        <a:stretch>
          <a:fillRect/>
        </a:stretch>
      </xdr:blipFill>
      <xdr:spPr>
        <a:xfrm>
          <a:off x="28457211" y="651600426"/>
          <a:ext cx="967149" cy="970752"/>
        </a:xfrm>
        <a:prstGeom prst="rect">
          <a:avLst/>
        </a:prstGeom>
      </xdr:spPr>
    </xdr:pic>
    <xdr:clientData/>
  </xdr:twoCellAnchor>
  <xdr:twoCellAnchor editAs="oneCell">
    <xdr:from>
      <xdr:col>12</xdr:col>
      <xdr:colOff>689414</xdr:colOff>
      <xdr:row>468</xdr:row>
      <xdr:rowOff>206236</xdr:rowOff>
    </xdr:from>
    <xdr:to>
      <xdr:col>12</xdr:col>
      <xdr:colOff>1656563</xdr:colOff>
      <xdr:row>468</xdr:row>
      <xdr:rowOff>1177580</xdr:rowOff>
    </xdr:to>
    <xdr:pic>
      <xdr:nvPicPr>
        <xdr:cNvPr id="939" name="Picture 938">
          <a:extLst>
            <a:ext uri="{FF2B5EF4-FFF2-40B4-BE49-F238E27FC236}">
              <a16:creationId xmlns:a16="http://schemas.microsoft.com/office/drawing/2014/main" id="{7020FF6B-1957-ACB1-E25F-97DEFB713DB8}"/>
            </a:ext>
          </a:extLst>
        </xdr:cNvPr>
        <xdr:cNvPicPr>
          <a:picLocks noChangeAspect="1"/>
        </xdr:cNvPicPr>
      </xdr:nvPicPr>
      <xdr:blipFill>
        <a:blip xmlns:r="http://schemas.openxmlformats.org/officeDocument/2006/relationships" r:link="rId461"/>
        <a:stretch>
          <a:fillRect/>
        </a:stretch>
      </xdr:blipFill>
      <xdr:spPr>
        <a:xfrm>
          <a:off x="28457211" y="652994846"/>
          <a:ext cx="967149" cy="971344"/>
        </a:xfrm>
        <a:prstGeom prst="rect">
          <a:avLst/>
        </a:prstGeom>
      </xdr:spPr>
    </xdr:pic>
    <xdr:clientData/>
  </xdr:twoCellAnchor>
  <xdr:twoCellAnchor editAs="oneCell">
    <xdr:from>
      <xdr:col>12</xdr:col>
      <xdr:colOff>689414</xdr:colOff>
      <xdr:row>469</xdr:row>
      <xdr:rowOff>206244</xdr:rowOff>
    </xdr:from>
    <xdr:to>
      <xdr:col>12</xdr:col>
      <xdr:colOff>1656563</xdr:colOff>
      <xdr:row>469</xdr:row>
      <xdr:rowOff>1177589</xdr:rowOff>
    </xdr:to>
    <xdr:pic>
      <xdr:nvPicPr>
        <xdr:cNvPr id="941" name="Picture 940">
          <a:extLst>
            <a:ext uri="{FF2B5EF4-FFF2-40B4-BE49-F238E27FC236}">
              <a16:creationId xmlns:a16="http://schemas.microsoft.com/office/drawing/2014/main" id="{FCE0E940-2ED8-CD50-EFC3-F24F35377ADF}"/>
            </a:ext>
          </a:extLst>
        </xdr:cNvPr>
        <xdr:cNvPicPr>
          <a:picLocks noChangeAspect="1"/>
        </xdr:cNvPicPr>
      </xdr:nvPicPr>
      <xdr:blipFill>
        <a:blip xmlns:r="http://schemas.openxmlformats.org/officeDocument/2006/relationships" r:link="rId462"/>
        <a:stretch>
          <a:fillRect/>
        </a:stretch>
      </xdr:blipFill>
      <xdr:spPr>
        <a:xfrm>
          <a:off x="28457211" y="654389702"/>
          <a:ext cx="967149" cy="971345"/>
        </a:xfrm>
        <a:prstGeom prst="rect">
          <a:avLst/>
        </a:prstGeom>
      </xdr:spPr>
    </xdr:pic>
    <xdr:clientData/>
  </xdr:twoCellAnchor>
  <xdr:twoCellAnchor editAs="oneCell">
    <xdr:from>
      <xdr:col>12</xdr:col>
      <xdr:colOff>689414</xdr:colOff>
      <xdr:row>470</xdr:row>
      <xdr:rowOff>206643</xdr:rowOff>
    </xdr:from>
    <xdr:to>
      <xdr:col>12</xdr:col>
      <xdr:colOff>1656563</xdr:colOff>
      <xdr:row>470</xdr:row>
      <xdr:rowOff>1177395</xdr:rowOff>
    </xdr:to>
    <xdr:pic>
      <xdr:nvPicPr>
        <xdr:cNvPr id="943" name="Picture 942">
          <a:extLst>
            <a:ext uri="{FF2B5EF4-FFF2-40B4-BE49-F238E27FC236}">
              <a16:creationId xmlns:a16="http://schemas.microsoft.com/office/drawing/2014/main" id="{9E69E186-A3CD-248F-D78E-6E3370880898}"/>
            </a:ext>
          </a:extLst>
        </xdr:cNvPr>
        <xdr:cNvPicPr>
          <a:picLocks noChangeAspect="1"/>
        </xdr:cNvPicPr>
      </xdr:nvPicPr>
      <xdr:blipFill>
        <a:blip xmlns:r="http://schemas.openxmlformats.org/officeDocument/2006/relationships" r:link="rId463"/>
        <a:stretch>
          <a:fillRect/>
        </a:stretch>
      </xdr:blipFill>
      <xdr:spPr>
        <a:xfrm>
          <a:off x="28457211" y="655784948"/>
          <a:ext cx="967149" cy="970752"/>
        </a:xfrm>
        <a:prstGeom prst="rect">
          <a:avLst/>
        </a:prstGeom>
      </xdr:spPr>
    </xdr:pic>
    <xdr:clientData/>
  </xdr:twoCellAnchor>
  <xdr:twoCellAnchor editAs="oneCell">
    <xdr:from>
      <xdr:col>12</xdr:col>
      <xdr:colOff>689414</xdr:colOff>
      <xdr:row>471</xdr:row>
      <xdr:rowOff>206653</xdr:rowOff>
    </xdr:from>
    <xdr:to>
      <xdr:col>12</xdr:col>
      <xdr:colOff>1656563</xdr:colOff>
      <xdr:row>471</xdr:row>
      <xdr:rowOff>1177405</xdr:rowOff>
    </xdr:to>
    <xdr:pic>
      <xdr:nvPicPr>
        <xdr:cNvPr id="945" name="Picture 944">
          <a:extLst>
            <a:ext uri="{FF2B5EF4-FFF2-40B4-BE49-F238E27FC236}">
              <a16:creationId xmlns:a16="http://schemas.microsoft.com/office/drawing/2014/main" id="{81DDCA2A-2746-E295-23A1-2431C15313F8}"/>
            </a:ext>
          </a:extLst>
        </xdr:cNvPr>
        <xdr:cNvPicPr>
          <a:picLocks noChangeAspect="1"/>
        </xdr:cNvPicPr>
      </xdr:nvPicPr>
      <xdr:blipFill>
        <a:blip xmlns:r="http://schemas.openxmlformats.org/officeDocument/2006/relationships" r:link="rId464"/>
        <a:stretch>
          <a:fillRect/>
        </a:stretch>
      </xdr:blipFill>
      <xdr:spPr>
        <a:xfrm>
          <a:off x="28457211" y="657179806"/>
          <a:ext cx="967149" cy="970752"/>
        </a:xfrm>
        <a:prstGeom prst="rect">
          <a:avLst/>
        </a:prstGeom>
      </xdr:spPr>
    </xdr:pic>
    <xdr:clientData/>
  </xdr:twoCellAnchor>
  <xdr:twoCellAnchor editAs="oneCell">
    <xdr:from>
      <xdr:col>12</xdr:col>
      <xdr:colOff>689414</xdr:colOff>
      <xdr:row>472</xdr:row>
      <xdr:rowOff>206663</xdr:rowOff>
    </xdr:from>
    <xdr:to>
      <xdr:col>12</xdr:col>
      <xdr:colOff>1656563</xdr:colOff>
      <xdr:row>472</xdr:row>
      <xdr:rowOff>1177415</xdr:rowOff>
    </xdr:to>
    <xdr:pic>
      <xdr:nvPicPr>
        <xdr:cNvPr id="947" name="Picture 946">
          <a:extLst>
            <a:ext uri="{FF2B5EF4-FFF2-40B4-BE49-F238E27FC236}">
              <a16:creationId xmlns:a16="http://schemas.microsoft.com/office/drawing/2014/main" id="{3B757FA7-960A-9784-D5DB-BDFAA52C06FA}"/>
            </a:ext>
          </a:extLst>
        </xdr:cNvPr>
        <xdr:cNvPicPr>
          <a:picLocks noChangeAspect="1"/>
        </xdr:cNvPicPr>
      </xdr:nvPicPr>
      <xdr:blipFill>
        <a:blip xmlns:r="http://schemas.openxmlformats.org/officeDocument/2006/relationships" r:link="rId465"/>
        <a:stretch>
          <a:fillRect/>
        </a:stretch>
      </xdr:blipFill>
      <xdr:spPr>
        <a:xfrm>
          <a:off x="28457211" y="658574663"/>
          <a:ext cx="967149" cy="970752"/>
        </a:xfrm>
        <a:prstGeom prst="rect">
          <a:avLst/>
        </a:prstGeom>
      </xdr:spPr>
    </xdr:pic>
    <xdr:clientData/>
  </xdr:twoCellAnchor>
  <xdr:twoCellAnchor editAs="oneCell">
    <xdr:from>
      <xdr:col>12</xdr:col>
      <xdr:colOff>689414</xdr:colOff>
      <xdr:row>473</xdr:row>
      <xdr:rowOff>206236</xdr:rowOff>
    </xdr:from>
    <xdr:to>
      <xdr:col>12</xdr:col>
      <xdr:colOff>1656563</xdr:colOff>
      <xdr:row>473</xdr:row>
      <xdr:rowOff>1177580</xdr:rowOff>
    </xdr:to>
    <xdr:pic>
      <xdr:nvPicPr>
        <xdr:cNvPr id="949" name="Picture 948">
          <a:extLst>
            <a:ext uri="{FF2B5EF4-FFF2-40B4-BE49-F238E27FC236}">
              <a16:creationId xmlns:a16="http://schemas.microsoft.com/office/drawing/2014/main" id="{C2B789E4-01BF-E92D-8199-80F730313092}"/>
            </a:ext>
          </a:extLst>
        </xdr:cNvPr>
        <xdr:cNvPicPr>
          <a:picLocks noChangeAspect="1"/>
        </xdr:cNvPicPr>
      </xdr:nvPicPr>
      <xdr:blipFill>
        <a:blip xmlns:r="http://schemas.openxmlformats.org/officeDocument/2006/relationships" r:link="rId466"/>
        <a:stretch>
          <a:fillRect/>
        </a:stretch>
      </xdr:blipFill>
      <xdr:spPr>
        <a:xfrm>
          <a:off x="28457211" y="659969083"/>
          <a:ext cx="967149" cy="971344"/>
        </a:xfrm>
        <a:prstGeom prst="rect">
          <a:avLst/>
        </a:prstGeom>
      </xdr:spPr>
    </xdr:pic>
    <xdr:clientData/>
  </xdr:twoCellAnchor>
  <xdr:twoCellAnchor editAs="oneCell">
    <xdr:from>
      <xdr:col>12</xdr:col>
      <xdr:colOff>689414</xdr:colOff>
      <xdr:row>474</xdr:row>
      <xdr:rowOff>206244</xdr:rowOff>
    </xdr:from>
    <xdr:to>
      <xdr:col>12</xdr:col>
      <xdr:colOff>1656563</xdr:colOff>
      <xdr:row>474</xdr:row>
      <xdr:rowOff>1177589</xdr:rowOff>
    </xdr:to>
    <xdr:pic>
      <xdr:nvPicPr>
        <xdr:cNvPr id="951" name="Picture 950">
          <a:extLst>
            <a:ext uri="{FF2B5EF4-FFF2-40B4-BE49-F238E27FC236}">
              <a16:creationId xmlns:a16="http://schemas.microsoft.com/office/drawing/2014/main" id="{71DCCF34-D2D3-47FB-BF72-48CC2DEBB6B8}"/>
            </a:ext>
          </a:extLst>
        </xdr:cNvPr>
        <xdr:cNvPicPr>
          <a:picLocks noChangeAspect="1"/>
        </xdr:cNvPicPr>
      </xdr:nvPicPr>
      <xdr:blipFill>
        <a:blip xmlns:r="http://schemas.openxmlformats.org/officeDocument/2006/relationships" r:link="rId467"/>
        <a:stretch>
          <a:fillRect/>
        </a:stretch>
      </xdr:blipFill>
      <xdr:spPr>
        <a:xfrm>
          <a:off x="28457211" y="661363939"/>
          <a:ext cx="967149" cy="971345"/>
        </a:xfrm>
        <a:prstGeom prst="rect">
          <a:avLst/>
        </a:prstGeom>
      </xdr:spPr>
    </xdr:pic>
    <xdr:clientData/>
  </xdr:twoCellAnchor>
  <xdr:twoCellAnchor editAs="oneCell">
    <xdr:from>
      <xdr:col>12</xdr:col>
      <xdr:colOff>689414</xdr:colOff>
      <xdr:row>475</xdr:row>
      <xdr:rowOff>206643</xdr:rowOff>
    </xdr:from>
    <xdr:to>
      <xdr:col>12</xdr:col>
      <xdr:colOff>1656563</xdr:colOff>
      <xdr:row>475</xdr:row>
      <xdr:rowOff>1177395</xdr:rowOff>
    </xdr:to>
    <xdr:pic>
      <xdr:nvPicPr>
        <xdr:cNvPr id="953" name="Picture 952">
          <a:extLst>
            <a:ext uri="{FF2B5EF4-FFF2-40B4-BE49-F238E27FC236}">
              <a16:creationId xmlns:a16="http://schemas.microsoft.com/office/drawing/2014/main" id="{2B854EFC-CEA7-0F23-E996-A88B4A95C792}"/>
            </a:ext>
          </a:extLst>
        </xdr:cNvPr>
        <xdr:cNvPicPr>
          <a:picLocks noChangeAspect="1"/>
        </xdr:cNvPicPr>
      </xdr:nvPicPr>
      <xdr:blipFill>
        <a:blip xmlns:r="http://schemas.openxmlformats.org/officeDocument/2006/relationships" r:link="rId468"/>
        <a:stretch>
          <a:fillRect/>
        </a:stretch>
      </xdr:blipFill>
      <xdr:spPr>
        <a:xfrm>
          <a:off x="28457211" y="662759185"/>
          <a:ext cx="967149" cy="970752"/>
        </a:xfrm>
        <a:prstGeom prst="rect">
          <a:avLst/>
        </a:prstGeom>
      </xdr:spPr>
    </xdr:pic>
    <xdr:clientData/>
  </xdr:twoCellAnchor>
  <xdr:twoCellAnchor editAs="oneCell">
    <xdr:from>
      <xdr:col>12</xdr:col>
      <xdr:colOff>689414</xdr:colOff>
      <xdr:row>476</xdr:row>
      <xdr:rowOff>206653</xdr:rowOff>
    </xdr:from>
    <xdr:to>
      <xdr:col>12</xdr:col>
      <xdr:colOff>1656563</xdr:colOff>
      <xdr:row>476</xdr:row>
      <xdr:rowOff>1177405</xdr:rowOff>
    </xdr:to>
    <xdr:pic>
      <xdr:nvPicPr>
        <xdr:cNvPr id="955" name="Picture 954">
          <a:extLst>
            <a:ext uri="{FF2B5EF4-FFF2-40B4-BE49-F238E27FC236}">
              <a16:creationId xmlns:a16="http://schemas.microsoft.com/office/drawing/2014/main" id="{0FCD5833-A16A-7C51-CC80-4ABB25546A90}"/>
            </a:ext>
          </a:extLst>
        </xdr:cNvPr>
        <xdr:cNvPicPr>
          <a:picLocks noChangeAspect="1"/>
        </xdr:cNvPicPr>
      </xdr:nvPicPr>
      <xdr:blipFill>
        <a:blip xmlns:r="http://schemas.openxmlformats.org/officeDocument/2006/relationships" r:link="rId469"/>
        <a:stretch>
          <a:fillRect/>
        </a:stretch>
      </xdr:blipFill>
      <xdr:spPr>
        <a:xfrm>
          <a:off x="28457211" y="664154043"/>
          <a:ext cx="967149" cy="970752"/>
        </a:xfrm>
        <a:prstGeom prst="rect">
          <a:avLst/>
        </a:prstGeom>
      </xdr:spPr>
    </xdr:pic>
    <xdr:clientData/>
  </xdr:twoCellAnchor>
  <xdr:twoCellAnchor editAs="oneCell">
    <xdr:from>
      <xdr:col>12</xdr:col>
      <xdr:colOff>689414</xdr:colOff>
      <xdr:row>477</xdr:row>
      <xdr:rowOff>206663</xdr:rowOff>
    </xdr:from>
    <xdr:to>
      <xdr:col>12</xdr:col>
      <xdr:colOff>1656563</xdr:colOff>
      <xdr:row>477</xdr:row>
      <xdr:rowOff>1177415</xdr:rowOff>
    </xdr:to>
    <xdr:pic>
      <xdr:nvPicPr>
        <xdr:cNvPr id="957" name="Picture 956">
          <a:extLst>
            <a:ext uri="{FF2B5EF4-FFF2-40B4-BE49-F238E27FC236}">
              <a16:creationId xmlns:a16="http://schemas.microsoft.com/office/drawing/2014/main" id="{EB1CA7E4-82B9-5462-AE5C-336E237DFA13}"/>
            </a:ext>
          </a:extLst>
        </xdr:cNvPr>
        <xdr:cNvPicPr>
          <a:picLocks noChangeAspect="1"/>
        </xdr:cNvPicPr>
      </xdr:nvPicPr>
      <xdr:blipFill>
        <a:blip xmlns:r="http://schemas.openxmlformats.org/officeDocument/2006/relationships" r:link="rId470"/>
        <a:stretch>
          <a:fillRect/>
        </a:stretch>
      </xdr:blipFill>
      <xdr:spPr>
        <a:xfrm>
          <a:off x="28457211" y="665548900"/>
          <a:ext cx="967149" cy="970752"/>
        </a:xfrm>
        <a:prstGeom prst="rect">
          <a:avLst/>
        </a:prstGeom>
      </xdr:spPr>
    </xdr:pic>
    <xdr:clientData/>
  </xdr:twoCellAnchor>
  <xdr:twoCellAnchor editAs="oneCell">
    <xdr:from>
      <xdr:col>12</xdr:col>
      <xdr:colOff>689414</xdr:colOff>
      <xdr:row>478</xdr:row>
      <xdr:rowOff>206234</xdr:rowOff>
    </xdr:from>
    <xdr:to>
      <xdr:col>12</xdr:col>
      <xdr:colOff>1656563</xdr:colOff>
      <xdr:row>478</xdr:row>
      <xdr:rowOff>1177579</xdr:rowOff>
    </xdr:to>
    <xdr:pic>
      <xdr:nvPicPr>
        <xdr:cNvPr id="959" name="Picture 958">
          <a:extLst>
            <a:ext uri="{FF2B5EF4-FFF2-40B4-BE49-F238E27FC236}">
              <a16:creationId xmlns:a16="http://schemas.microsoft.com/office/drawing/2014/main" id="{BF5EBDFB-B5AC-E483-0D77-4B270AFC818A}"/>
            </a:ext>
          </a:extLst>
        </xdr:cNvPr>
        <xdr:cNvPicPr>
          <a:picLocks noChangeAspect="1"/>
        </xdr:cNvPicPr>
      </xdr:nvPicPr>
      <xdr:blipFill>
        <a:blip xmlns:r="http://schemas.openxmlformats.org/officeDocument/2006/relationships" r:link="rId471"/>
        <a:stretch>
          <a:fillRect/>
        </a:stretch>
      </xdr:blipFill>
      <xdr:spPr>
        <a:xfrm>
          <a:off x="28457211" y="666943319"/>
          <a:ext cx="967149" cy="971345"/>
        </a:xfrm>
        <a:prstGeom prst="rect">
          <a:avLst/>
        </a:prstGeom>
      </xdr:spPr>
    </xdr:pic>
    <xdr:clientData/>
  </xdr:twoCellAnchor>
  <xdr:twoCellAnchor editAs="oneCell">
    <xdr:from>
      <xdr:col>12</xdr:col>
      <xdr:colOff>689414</xdr:colOff>
      <xdr:row>479</xdr:row>
      <xdr:rowOff>206246</xdr:rowOff>
    </xdr:from>
    <xdr:to>
      <xdr:col>12</xdr:col>
      <xdr:colOff>1656563</xdr:colOff>
      <xdr:row>479</xdr:row>
      <xdr:rowOff>1177590</xdr:rowOff>
    </xdr:to>
    <xdr:pic>
      <xdr:nvPicPr>
        <xdr:cNvPr id="961" name="Picture 960">
          <a:extLst>
            <a:ext uri="{FF2B5EF4-FFF2-40B4-BE49-F238E27FC236}">
              <a16:creationId xmlns:a16="http://schemas.microsoft.com/office/drawing/2014/main" id="{C3DFBE90-6BCF-D562-AE2F-3D15E48DDFF5}"/>
            </a:ext>
          </a:extLst>
        </xdr:cNvPr>
        <xdr:cNvPicPr>
          <a:picLocks noChangeAspect="1"/>
        </xdr:cNvPicPr>
      </xdr:nvPicPr>
      <xdr:blipFill>
        <a:blip xmlns:r="http://schemas.openxmlformats.org/officeDocument/2006/relationships" r:link="rId472"/>
        <a:stretch>
          <a:fillRect/>
        </a:stretch>
      </xdr:blipFill>
      <xdr:spPr>
        <a:xfrm>
          <a:off x="28457211" y="668338178"/>
          <a:ext cx="967149" cy="971344"/>
        </a:xfrm>
        <a:prstGeom prst="rect">
          <a:avLst/>
        </a:prstGeom>
      </xdr:spPr>
    </xdr:pic>
    <xdr:clientData/>
  </xdr:twoCellAnchor>
  <xdr:twoCellAnchor editAs="oneCell">
    <xdr:from>
      <xdr:col>12</xdr:col>
      <xdr:colOff>689414</xdr:colOff>
      <xdr:row>480</xdr:row>
      <xdr:rowOff>206643</xdr:rowOff>
    </xdr:from>
    <xdr:to>
      <xdr:col>12</xdr:col>
      <xdr:colOff>1656563</xdr:colOff>
      <xdr:row>480</xdr:row>
      <xdr:rowOff>1177395</xdr:rowOff>
    </xdr:to>
    <xdr:pic>
      <xdr:nvPicPr>
        <xdr:cNvPr id="963" name="Picture 962">
          <a:extLst>
            <a:ext uri="{FF2B5EF4-FFF2-40B4-BE49-F238E27FC236}">
              <a16:creationId xmlns:a16="http://schemas.microsoft.com/office/drawing/2014/main" id="{AA626B97-74FC-1A75-DFF1-A3DE75413ADD}"/>
            </a:ext>
          </a:extLst>
        </xdr:cNvPr>
        <xdr:cNvPicPr>
          <a:picLocks noChangeAspect="1"/>
        </xdr:cNvPicPr>
      </xdr:nvPicPr>
      <xdr:blipFill>
        <a:blip xmlns:r="http://schemas.openxmlformats.org/officeDocument/2006/relationships" r:link="rId473"/>
        <a:stretch>
          <a:fillRect/>
        </a:stretch>
      </xdr:blipFill>
      <xdr:spPr>
        <a:xfrm>
          <a:off x="28457211" y="669733423"/>
          <a:ext cx="967149" cy="970752"/>
        </a:xfrm>
        <a:prstGeom prst="rect">
          <a:avLst/>
        </a:prstGeom>
      </xdr:spPr>
    </xdr:pic>
    <xdr:clientData/>
  </xdr:twoCellAnchor>
  <xdr:twoCellAnchor editAs="oneCell">
    <xdr:from>
      <xdr:col>12</xdr:col>
      <xdr:colOff>689414</xdr:colOff>
      <xdr:row>481</xdr:row>
      <xdr:rowOff>206653</xdr:rowOff>
    </xdr:from>
    <xdr:to>
      <xdr:col>12</xdr:col>
      <xdr:colOff>1656563</xdr:colOff>
      <xdr:row>481</xdr:row>
      <xdr:rowOff>1177405</xdr:rowOff>
    </xdr:to>
    <xdr:pic>
      <xdr:nvPicPr>
        <xdr:cNvPr id="965" name="Picture 964">
          <a:extLst>
            <a:ext uri="{FF2B5EF4-FFF2-40B4-BE49-F238E27FC236}">
              <a16:creationId xmlns:a16="http://schemas.microsoft.com/office/drawing/2014/main" id="{81FBCC6B-E356-11F0-3027-430DBE80B6E5}"/>
            </a:ext>
          </a:extLst>
        </xdr:cNvPr>
        <xdr:cNvPicPr>
          <a:picLocks noChangeAspect="1"/>
        </xdr:cNvPicPr>
      </xdr:nvPicPr>
      <xdr:blipFill>
        <a:blip xmlns:r="http://schemas.openxmlformats.org/officeDocument/2006/relationships" r:link="rId474"/>
        <a:stretch>
          <a:fillRect/>
        </a:stretch>
      </xdr:blipFill>
      <xdr:spPr>
        <a:xfrm>
          <a:off x="28457211" y="671128280"/>
          <a:ext cx="967149" cy="970752"/>
        </a:xfrm>
        <a:prstGeom prst="rect">
          <a:avLst/>
        </a:prstGeom>
      </xdr:spPr>
    </xdr:pic>
    <xdr:clientData/>
  </xdr:twoCellAnchor>
  <xdr:twoCellAnchor editAs="oneCell">
    <xdr:from>
      <xdr:col>12</xdr:col>
      <xdr:colOff>689414</xdr:colOff>
      <xdr:row>482</xdr:row>
      <xdr:rowOff>206663</xdr:rowOff>
    </xdr:from>
    <xdr:to>
      <xdr:col>12</xdr:col>
      <xdr:colOff>1656563</xdr:colOff>
      <xdr:row>482</xdr:row>
      <xdr:rowOff>1177415</xdr:rowOff>
    </xdr:to>
    <xdr:pic>
      <xdr:nvPicPr>
        <xdr:cNvPr id="967" name="Picture 966">
          <a:extLst>
            <a:ext uri="{FF2B5EF4-FFF2-40B4-BE49-F238E27FC236}">
              <a16:creationId xmlns:a16="http://schemas.microsoft.com/office/drawing/2014/main" id="{2ED057E7-51A7-2D2A-1122-14C2FA210622}"/>
            </a:ext>
          </a:extLst>
        </xdr:cNvPr>
        <xdr:cNvPicPr>
          <a:picLocks noChangeAspect="1"/>
        </xdr:cNvPicPr>
      </xdr:nvPicPr>
      <xdr:blipFill>
        <a:blip xmlns:r="http://schemas.openxmlformats.org/officeDocument/2006/relationships" r:link="rId475"/>
        <a:stretch>
          <a:fillRect/>
        </a:stretch>
      </xdr:blipFill>
      <xdr:spPr>
        <a:xfrm>
          <a:off x="28457211" y="672523138"/>
          <a:ext cx="967149" cy="970752"/>
        </a:xfrm>
        <a:prstGeom prst="rect">
          <a:avLst/>
        </a:prstGeom>
      </xdr:spPr>
    </xdr:pic>
    <xdr:clientData/>
  </xdr:twoCellAnchor>
  <xdr:twoCellAnchor editAs="oneCell">
    <xdr:from>
      <xdr:col>12</xdr:col>
      <xdr:colOff>689414</xdr:colOff>
      <xdr:row>483</xdr:row>
      <xdr:rowOff>206236</xdr:rowOff>
    </xdr:from>
    <xdr:to>
      <xdr:col>12</xdr:col>
      <xdr:colOff>1656563</xdr:colOff>
      <xdr:row>483</xdr:row>
      <xdr:rowOff>1177580</xdr:rowOff>
    </xdr:to>
    <xdr:pic>
      <xdr:nvPicPr>
        <xdr:cNvPr id="969" name="Picture 968">
          <a:extLst>
            <a:ext uri="{FF2B5EF4-FFF2-40B4-BE49-F238E27FC236}">
              <a16:creationId xmlns:a16="http://schemas.microsoft.com/office/drawing/2014/main" id="{EBBA464E-4AF2-D4FD-7F88-CF529321DDB8}"/>
            </a:ext>
          </a:extLst>
        </xdr:cNvPr>
        <xdr:cNvPicPr>
          <a:picLocks noChangeAspect="1"/>
        </xdr:cNvPicPr>
      </xdr:nvPicPr>
      <xdr:blipFill>
        <a:blip xmlns:r="http://schemas.openxmlformats.org/officeDocument/2006/relationships" r:link="rId476"/>
        <a:stretch>
          <a:fillRect/>
        </a:stretch>
      </xdr:blipFill>
      <xdr:spPr>
        <a:xfrm>
          <a:off x="28457211" y="673917558"/>
          <a:ext cx="967149" cy="971344"/>
        </a:xfrm>
        <a:prstGeom prst="rect">
          <a:avLst/>
        </a:prstGeom>
      </xdr:spPr>
    </xdr:pic>
    <xdr:clientData/>
  </xdr:twoCellAnchor>
  <xdr:twoCellAnchor editAs="oneCell">
    <xdr:from>
      <xdr:col>12</xdr:col>
      <xdr:colOff>689414</xdr:colOff>
      <xdr:row>484</xdr:row>
      <xdr:rowOff>206246</xdr:rowOff>
    </xdr:from>
    <xdr:to>
      <xdr:col>12</xdr:col>
      <xdr:colOff>1656563</xdr:colOff>
      <xdr:row>484</xdr:row>
      <xdr:rowOff>1177590</xdr:rowOff>
    </xdr:to>
    <xdr:pic>
      <xdr:nvPicPr>
        <xdr:cNvPr id="971" name="Picture 970">
          <a:extLst>
            <a:ext uri="{FF2B5EF4-FFF2-40B4-BE49-F238E27FC236}">
              <a16:creationId xmlns:a16="http://schemas.microsoft.com/office/drawing/2014/main" id="{2E5A1341-1DB3-F5FC-C493-C978F6367A98}"/>
            </a:ext>
          </a:extLst>
        </xdr:cNvPr>
        <xdr:cNvPicPr>
          <a:picLocks noChangeAspect="1"/>
        </xdr:cNvPicPr>
      </xdr:nvPicPr>
      <xdr:blipFill>
        <a:blip xmlns:r="http://schemas.openxmlformats.org/officeDocument/2006/relationships" r:link="rId477"/>
        <a:stretch>
          <a:fillRect/>
        </a:stretch>
      </xdr:blipFill>
      <xdr:spPr>
        <a:xfrm>
          <a:off x="28457211" y="675312415"/>
          <a:ext cx="967149" cy="971344"/>
        </a:xfrm>
        <a:prstGeom prst="rect">
          <a:avLst/>
        </a:prstGeom>
      </xdr:spPr>
    </xdr:pic>
    <xdr:clientData/>
  </xdr:twoCellAnchor>
  <xdr:twoCellAnchor editAs="oneCell">
    <xdr:from>
      <xdr:col>12</xdr:col>
      <xdr:colOff>689414</xdr:colOff>
      <xdr:row>485</xdr:row>
      <xdr:rowOff>206643</xdr:rowOff>
    </xdr:from>
    <xdr:to>
      <xdr:col>12</xdr:col>
      <xdr:colOff>1656563</xdr:colOff>
      <xdr:row>485</xdr:row>
      <xdr:rowOff>1177395</xdr:rowOff>
    </xdr:to>
    <xdr:pic>
      <xdr:nvPicPr>
        <xdr:cNvPr id="973" name="Picture 972">
          <a:extLst>
            <a:ext uri="{FF2B5EF4-FFF2-40B4-BE49-F238E27FC236}">
              <a16:creationId xmlns:a16="http://schemas.microsoft.com/office/drawing/2014/main" id="{7E3B1719-A000-C6BF-43FB-59FDED3E173F}"/>
            </a:ext>
          </a:extLst>
        </xdr:cNvPr>
        <xdr:cNvPicPr>
          <a:picLocks noChangeAspect="1"/>
        </xdr:cNvPicPr>
      </xdr:nvPicPr>
      <xdr:blipFill>
        <a:blip xmlns:r="http://schemas.openxmlformats.org/officeDocument/2006/relationships" r:link="rId478"/>
        <a:stretch>
          <a:fillRect/>
        </a:stretch>
      </xdr:blipFill>
      <xdr:spPr>
        <a:xfrm>
          <a:off x="28457211" y="676707660"/>
          <a:ext cx="967149" cy="970752"/>
        </a:xfrm>
        <a:prstGeom prst="rect">
          <a:avLst/>
        </a:prstGeom>
      </xdr:spPr>
    </xdr:pic>
    <xdr:clientData/>
  </xdr:twoCellAnchor>
  <xdr:twoCellAnchor editAs="oneCell">
    <xdr:from>
      <xdr:col>12</xdr:col>
      <xdr:colOff>689414</xdr:colOff>
      <xdr:row>486</xdr:row>
      <xdr:rowOff>206653</xdr:rowOff>
    </xdr:from>
    <xdr:to>
      <xdr:col>12</xdr:col>
      <xdr:colOff>1656563</xdr:colOff>
      <xdr:row>486</xdr:row>
      <xdr:rowOff>1177405</xdr:rowOff>
    </xdr:to>
    <xdr:pic>
      <xdr:nvPicPr>
        <xdr:cNvPr id="975" name="Picture 974">
          <a:extLst>
            <a:ext uri="{FF2B5EF4-FFF2-40B4-BE49-F238E27FC236}">
              <a16:creationId xmlns:a16="http://schemas.microsoft.com/office/drawing/2014/main" id="{02350685-72EC-B84B-7D47-05ECA3CCC94F}"/>
            </a:ext>
          </a:extLst>
        </xdr:cNvPr>
        <xdr:cNvPicPr>
          <a:picLocks noChangeAspect="1"/>
        </xdr:cNvPicPr>
      </xdr:nvPicPr>
      <xdr:blipFill>
        <a:blip xmlns:r="http://schemas.openxmlformats.org/officeDocument/2006/relationships" r:link="rId479"/>
        <a:stretch>
          <a:fillRect/>
        </a:stretch>
      </xdr:blipFill>
      <xdr:spPr>
        <a:xfrm>
          <a:off x="28457211" y="678102517"/>
          <a:ext cx="967149" cy="970752"/>
        </a:xfrm>
        <a:prstGeom prst="rect">
          <a:avLst/>
        </a:prstGeom>
      </xdr:spPr>
    </xdr:pic>
    <xdr:clientData/>
  </xdr:twoCellAnchor>
  <xdr:twoCellAnchor editAs="oneCell">
    <xdr:from>
      <xdr:col>12</xdr:col>
      <xdr:colOff>689414</xdr:colOff>
      <xdr:row>487</xdr:row>
      <xdr:rowOff>206663</xdr:rowOff>
    </xdr:from>
    <xdr:to>
      <xdr:col>12</xdr:col>
      <xdr:colOff>1656563</xdr:colOff>
      <xdr:row>487</xdr:row>
      <xdr:rowOff>1177415</xdr:rowOff>
    </xdr:to>
    <xdr:pic>
      <xdr:nvPicPr>
        <xdr:cNvPr id="977" name="Picture 976">
          <a:extLst>
            <a:ext uri="{FF2B5EF4-FFF2-40B4-BE49-F238E27FC236}">
              <a16:creationId xmlns:a16="http://schemas.microsoft.com/office/drawing/2014/main" id="{5DC3DC5D-F3D0-AC05-31C0-33DFA648EE55}"/>
            </a:ext>
          </a:extLst>
        </xdr:cNvPr>
        <xdr:cNvPicPr>
          <a:picLocks noChangeAspect="1"/>
        </xdr:cNvPicPr>
      </xdr:nvPicPr>
      <xdr:blipFill>
        <a:blip xmlns:r="http://schemas.openxmlformats.org/officeDocument/2006/relationships" r:link="rId480"/>
        <a:stretch>
          <a:fillRect/>
        </a:stretch>
      </xdr:blipFill>
      <xdr:spPr>
        <a:xfrm>
          <a:off x="28457211" y="679497375"/>
          <a:ext cx="967149" cy="970752"/>
        </a:xfrm>
        <a:prstGeom prst="rect">
          <a:avLst/>
        </a:prstGeom>
      </xdr:spPr>
    </xdr:pic>
    <xdr:clientData/>
  </xdr:twoCellAnchor>
  <xdr:twoCellAnchor editAs="oneCell">
    <xdr:from>
      <xdr:col>12</xdr:col>
      <xdr:colOff>689414</xdr:colOff>
      <xdr:row>488</xdr:row>
      <xdr:rowOff>206236</xdr:rowOff>
    </xdr:from>
    <xdr:to>
      <xdr:col>12</xdr:col>
      <xdr:colOff>1656563</xdr:colOff>
      <xdr:row>488</xdr:row>
      <xdr:rowOff>1177580</xdr:rowOff>
    </xdr:to>
    <xdr:pic>
      <xdr:nvPicPr>
        <xdr:cNvPr id="979" name="Picture 978">
          <a:extLst>
            <a:ext uri="{FF2B5EF4-FFF2-40B4-BE49-F238E27FC236}">
              <a16:creationId xmlns:a16="http://schemas.microsoft.com/office/drawing/2014/main" id="{67642815-29C3-05ED-3A2A-A83536D4E54E}"/>
            </a:ext>
          </a:extLst>
        </xdr:cNvPr>
        <xdr:cNvPicPr>
          <a:picLocks noChangeAspect="1"/>
        </xdr:cNvPicPr>
      </xdr:nvPicPr>
      <xdr:blipFill>
        <a:blip xmlns:r="http://schemas.openxmlformats.org/officeDocument/2006/relationships" r:link="rId481"/>
        <a:stretch>
          <a:fillRect/>
        </a:stretch>
      </xdr:blipFill>
      <xdr:spPr>
        <a:xfrm>
          <a:off x="28457211" y="680891795"/>
          <a:ext cx="967149" cy="971344"/>
        </a:xfrm>
        <a:prstGeom prst="rect">
          <a:avLst/>
        </a:prstGeom>
      </xdr:spPr>
    </xdr:pic>
    <xdr:clientData/>
  </xdr:twoCellAnchor>
  <xdr:twoCellAnchor editAs="oneCell">
    <xdr:from>
      <xdr:col>12</xdr:col>
      <xdr:colOff>689414</xdr:colOff>
      <xdr:row>489</xdr:row>
      <xdr:rowOff>206244</xdr:rowOff>
    </xdr:from>
    <xdr:to>
      <xdr:col>12</xdr:col>
      <xdr:colOff>1656563</xdr:colOff>
      <xdr:row>489</xdr:row>
      <xdr:rowOff>1177589</xdr:rowOff>
    </xdr:to>
    <xdr:pic>
      <xdr:nvPicPr>
        <xdr:cNvPr id="981" name="Picture 980">
          <a:extLst>
            <a:ext uri="{FF2B5EF4-FFF2-40B4-BE49-F238E27FC236}">
              <a16:creationId xmlns:a16="http://schemas.microsoft.com/office/drawing/2014/main" id="{1BBB91EB-A2C6-301A-78FB-93A22EE50129}"/>
            </a:ext>
          </a:extLst>
        </xdr:cNvPr>
        <xdr:cNvPicPr>
          <a:picLocks noChangeAspect="1"/>
        </xdr:cNvPicPr>
      </xdr:nvPicPr>
      <xdr:blipFill>
        <a:blip xmlns:r="http://schemas.openxmlformats.org/officeDocument/2006/relationships" r:link="rId482"/>
        <a:stretch>
          <a:fillRect/>
        </a:stretch>
      </xdr:blipFill>
      <xdr:spPr>
        <a:xfrm>
          <a:off x="28457211" y="682286651"/>
          <a:ext cx="967149" cy="971345"/>
        </a:xfrm>
        <a:prstGeom prst="rect">
          <a:avLst/>
        </a:prstGeom>
      </xdr:spPr>
    </xdr:pic>
    <xdr:clientData/>
  </xdr:twoCellAnchor>
  <xdr:twoCellAnchor editAs="oneCell">
    <xdr:from>
      <xdr:col>12</xdr:col>
      <xdr:colOff>689414</xdr:colOff>
      <xdr:row>490</xdr:row>
      <xdr:rowOff>206643</xdr:rowOff>
    </xdr:from>
    <xdr:to>
      <xdr:col>12</xdr:col>
      <xdr:colOff>1656563</xdr:colOff>
      <xdr:row>490</xdr:row>
      <xdr:rowOff>1177395</xdr:rowOff>
    </xdr:to>
    <xdr:pic>
      <xdr:nvPicPr>
        <xdr:cNvPr id="983" name="Picture 982">
          <a:extLst>
            <a:ext uri="{FF2B5EF4-FFF2-40B4-BE49-F238E27FC236}">
              <a16:creationId xmlns:a16="http://schemas.microsoft.com/office/drawing/2014/main" id="{65C9686B-FC31-CFAB-B6B5-D932C95F9406}"/>
            </a:ext>
          </a:extLst>
        </xdr:cNvPr>
        <xdr:cNvPicPr>
          <a:picLocks noChangeAspect="1"/>
        </xdr:cNvPicPr>
      </xdr:nvPicPr>
      <xdr:blipFill>
        <a:blip xmlns:r="http://schemas.openxmlformats.org/officeDocument/2006/relationships" r:link="rId483"/>
        <a:stretch>
          <a:fillRect/>
        </a:stretch>
      </xdr:blipFill>
      <xdr:spPr>
        <a:xfrm>
          <a:off x="28457211" y="683681897"/>
          <a:ext cx="967149" cy="970752"/>
        </a:xfrm>
        <a:prstGeom prst="rect">
          <a:avLst/>
        </a:prstGeom>
      </xdr:spPr>
    </xdr:pic>
    <xdr:clientData/>
  </xdr:twoCellAnchor>
  <xdr:twoCellAnchor editAs="oneCell">
    <xdr:from>
      <xdr:col>12</xdr:col>
      <xdr:colOff>689414</xdr:colOff>
      <xdr:row>491</xdr:row>
      <xdr:rowOff>206653</xdr:rowOff>
    </xdr:from>
    <xdr:to>
      <xdr:col>12</xdr:col>
      <xdr:colOff>1656563</xdr:colOff>
      <xdr:row>491</xdr:row>
      <xdr:rowOff>1177405</xdr:rowOff>
    </xdr:to>
    <xdr:pic>
      <xdr:nvPicPr>
        <xdr:cNvPr id="985" name="Picture 984">
          <a:extLst>
            <a:ext uri="{FF2B5EF4-FFF2-40B4-BE49-F238E27FC236}">
              <a16:creationId xmlns:a16="http://schemas.microsoft.com/office/drawing/2014/main" id="{98E55BBD-98EA-ACFE-3E05-40D24B2E3AB7}"/>
            </a:ext>
          </a:extLst>
        </xdr:cNvPr>
        <xdr:cNvPicPr>
          <a:picLocks noChangeAspect="1"/>
        </xdr:cNvPicPr>
      </xdr:nvPicPr>
      <xdr:blipFill>
        <a:blip xmlns:r="http://schemas.openxmlformats.org/officeDocument/2006/relationships" r:link="rId484"/>
        <a:stretch>
          <a:fillRect/>
        </a:stretch>
      </xdr:blipFill>
      <xdr:spPr>
        <a:xfrm>
          <a:off x="28457211" y="685076755"/>
          <a:ext cx="967149" cy="970752"/>
        </a:xfrm>
        <a:prstGeom prst="rect">
          <a:avLst/>
        </a:prstGeom>
      </xdr:spPr>
    </xdr:pic>
    <xdr:clientData/>
  </xdr:twoCellAnchor>
  <xdr:twoCellAnchor editAs="oneCell">
    <xdr:from>
      <xdr:col>12</xdr:col>
      <xdr:colOff>689414</xdr:colOff>
      <xdr:row>492</xdr:row>
      <xdr:rowOff>206663</xdr:rowOff>
    </xdr:from>
    <xdr:to>
      <xdr:col>12</xdr:col>
      <xdr:colOff>1656563</xdr:colOff>
      <xdr:row>492</xdr:row>
      <xdr:rowOff>1177415</xdr:rowOff>
    </xdr:to>
    <xdr:pic>
      <xdr:nvPicPr>
        <xdr:cNvPr id="987" name="Picture 986">
          <a:extLst>
            <a:ext uri="{FF2B5EF4-FFF2-40B4-BE49-F238E27FC236}">
              <a16:creationId xmlns:a16="http://schemas.microsoft.com/office/drawing/2014/main" id="{0A578639-6E1D-3E79-3BDF-6094AD849336}"/>
            </a:ext>
          </a:extLst>
        </xdr:cNvPr>
        <xdr:cNvPicPr>
          <a:picLocks noChangeAspect="1"/>
        </xdr:cNvPicPr>
      </xdr:nvPicPr>
      <xdr:blipFill>
        <a:blip xmlns:r="http://schemas.openxmlformats.org/officeDocument/2006/relationships" r:link="rId485"/>
        <a:stretch>
          <a:fillRect/>
        </a:stretch>
      </xdr:blipFill>
      <xdr:spPr>
        <a:xfrm>
          <a:off x="28457211" y="686471612"/>
          <a:ext cx="967149" cy="970752"/>
        </a:xfrm>
        <a:prstGeom prst="rect">
          <a:avLst/>
        </a:prstGeom>
      </xdr:spPr>
    </xdr:pic>
    <xdr:clientData/>
  </xdr:twoCellAnchor>
  <xdr:twoCellAnchor editAs="oneCell">
    <xdr:from>
      <xdr:col>12</xdr:col>
      <xdr:colOff>689414</xdr:colOff>
      <xdr:row>493</xdr:row>
      <xdr:rowOff>206234</xdr:rowOff>
    </xdr:from>
    <xdr:to>
      <xdr:col>12</xdr:col>
      <xdr:colOff>1656563</xdr:colOff>
      <xdr:row>493</xdr:row>
      <xdr:rowOff>1177579</xdr:rowOff>
    </xdr:to>
    <xdr:pic>
      <xdr:nvPicPr>
        <xdr:cNvPr id="989" name="Picture 988">
          <a:extLst>
            <a:ext uri="{FF2B5EF4-FFF2-40B4-BE49-F238E27FC236}">
              <a16:creationId xmlns:a16="http://schemas.microsoft.com/office/drawing/2014/main" id="{F86980D6-3250-A544-B51A-836BD4078ACA}"/>
            </a:ext>
          </a:extLst>
        </xdr:cNvPr>
        <xdr:cNvPicPr>
          <a:picLocks noChangeAspect="1"/>
        </xdr:cNvPicPr>
      </xdr:nvPicPr>
      <xdr:blipFill>
        <a:blip xmlns:r="http://schemas.openxmlformats.org/officeDocument/2006/relationships" r:link="rId486"/>
        <a:stretch>
          <a:fillRect/>
        </a:stretch>
      </xdr:blipFill>
      <xdr:spPr>
        <a:xfrm>
          <a:off x="28457211" y="687866031"/>
          <a:ext cx="967149" cy="971345"/>
        </a:xfrm>
        <a:prstGeom prst="rect">
          <a:avLst/>
        </a:prstGeom>
      </xdr:spPr>
    </xdr:pic>
    <xdr:clientData/>
  </xdr:twoCellAnchor>
  <xdr:twoCellAnchor editAs="oneCell">
    <xdr:from>
      <xdr:col>12</xdr:col>
      <xdr:colOff>689414</xdr:colOff>
      <xdr:row>494</xdr:row>
      <xdr:rowOff>206246</xdr:rowOff>
    </xdr:from>
    <xdr:to>
      <xdr:col>12</xdr:col>
      <xdr:colOff>1656563</xdr:colOff>
      <xdr:row>494</xdr:row>
      <xdr:rowOff>1177590</xdr:rowOff>
    </xdr:to>
    <xdr:pic>
      <xdr:nvPicPr>
        <xdr:cNvPr id="991" name="Picture 990">
          <a:extLst>
            <a:ext uri="{FF2B5EF4-FFF2-40B4-BE49-F238E27FC236}">
              <a16:creationId xmlns:a16="http://schemas.microsoft.com/office/drawing/2014/main" id="{73C911A8-DE82-98F8-9010-913A094CDA88}"/>
            </a:ext>
          </a:extLst>
        </xdr:cNvPr>
        <xdr:cNvPicPr>
          <a:picLocks noChangeAspect="1"/>
        </xdr:cNvPicPr>
      </xdr:nvPicPr>
      <xdr:blipFill>
        <a:blip xmlns:r="http://schemas.openxmlformats.org/officeDocument/2006/relationships" r:link="rId487"/>
        <a:stretch>
          <a:fillRect/>
        </a:stretch>
      </xdr:blipFill>
      <xdr:spPr>
        <a:xfrm>
          <a:off x="28457211" y="689260890"/>
          <a:ext cx="967149" cy="971344"/>
        </a:xfrm>
        <a:prstGeom prst="rect">
          <a:avLst/>
        </a:prstGeom>
      </xdr:spPr>
    </xdr:pic>
    <xdr:clientData/>
  </xdr:twoCellAnchor>
  <xdr:twoCellAnchor editAs="oneCell">
    <xdr:from>
      <xdr:col>12</xdr:col>
      <xdr:colOff>689414</xdr:colOff>
      <xdr:row>495</xdr:row>
      <xdr:rowOff>206643</xdr:rowOff>
    </xdr:from>
    <xdr:to>
      <xdr:col>12</xdr:col>
      <xdr:colOff>1656563</xdr:colOff>
      <xdr:row>495</xdr:row>
      <xdr:rowOff>1177395</xdr:rowOff>
    </xdr:to>
    <xdr:pic>
      <xdr:nvPicPr>
        <xdr:cNvPr id="993" name="Picture 992">
          <a:extLst>
            <a:ext uri="{FF2B5EF4-FFF2-40B4-BE49-F238E27FC236}">
              <a16:creationId xmlns:a16="http://schemas.microsoft.com/office/drawing/2014/main" id="{EFA5C69D-8380-C540-B773-B1A3F21F483D}"/>
            </a:ext>
          </a:extLst>
        </xdr:cNvPr>
        <xdr:cNvPicPr>
          <a:picLocks noChangeAspect="1"/>
        </xdr:cNvPicPr>
      </xdr:nvPicPr>
      <xdr:blipFill>
        <a:blip xmlns:r="http://schemas.openxmlformats.org/officeDocument/2006/relationships" r:link="rId488"/>
        <a:stretch>
          <a:fillRect/>
        </a:stretch>
      </xdr:blipFill>
      <xdr:spPr>
        <a:xfrm>
          <a:off x="28457211" y="690656135"/>
          <a:ext cx="967149" cy="970752"/>
        </a:xfrm>
        <a:prstGeom prst="rect">
          <a:avLst/>
        </a:prstGeom>
      </xdr:spPr>
    </xdr:pic>
    <xdr:clientData/>
  </xdr:twoCellAnchor>
  <xdr:twoCellAnchor editAs="oneCell">
    <xdr:from>
      <xdr:col>12</xdr:col>
      <xdr:colOff>689414</xdr:colOff>
      <xdr:row>496</xdr:row>
      <xdr:rowOff>206653</xdr:rowOff>
    </xdr:from>
    <xdr:to>
      <xdr:col>12</xdr:col>
      <xdr:colOff>1656563</xdr:colOff>
      <xdr:row>496</xdr:row>
      <xdr:rowOff>1177405</xdr:rowOff>
    </xdr:to>
    <xdr:pic>
      <xdr:nvPicPr>
        <xdr:cNvPr id="995" name="Picture 994">
          <a:extLst>
            <a:ext uri="{FF2B5EF4-FFF2-40B4-BE49-F238E27FC236}">
              <a16:creationId xmlns:a16="http://schemas.microsoft.com/office/drawing/2014/main" id="{658B4E89-0AC3-0C7E-0474-D5A5D2AB678D}"/>
            </a:ext>
          </a:extLst>
        </xdr:cNvPr>
        <xdr:cNvPicPr>
          <a:picLocks noChangeAspect="1"/>
        </xdr:cNvPicPr>
      </xdr:nvPicPr>
      <xdr:blipFill>
        <a:blip xmlns:r="http://schemas.openxmlformats.org/officeDocument/2006/relationships" r:link="rId489"/>
        <a:stretch>
          <a:fillRect/>
        </a:stretch>
      </xdr:blipFill>
      <xdr:spPr>
        <a:xfrm>
          <a:off x="28457211" y="692050992"/>
          <a:ext cx="967149" cy="970752"/>
        </a:xfrm>
        <a:prstGeom prst="rect">
          <a:avLst/>
        </a:prstGeom>
      </xdr:spPr>
    </xdr:pic>
    <xdr:clientData/>
  </xdr:twoCellAnchor>
  <xdr:twoCellAnchor editAs="oneCell">
    <xdr:from>
      <xdr:col>12</xdr:col>
      <xdr:colOff>689414</xdr:colOff>
      <xdr:row>497</xdr:row>
      <xdr:rowOff>206663</xdr:rowOff>
    </xdr:from>
    <xdr:to>
      <xdr:col>12</xdr:col>
      <xdr:colOff>1656563</xdr:colOff>
      <xdr:row>497</xdr:row>
      <xdr:rowOff>1177415</xdr:rowOff>
    </xdr:to>
    <xdr:pic>
      <xdr:nvPicPr>
        <xdr:cNvPr id="997" name="Picture 996">
          <a:extLst>
            <a:ext uri="{FF2B5EF4-FFF2-40B4-BE49-F238E27FC236}">
              <a16:creationId xmlns:a16="http://schemas.microsoft.com/office/drawing/2014/main" id="{94569971-0CA8-9926-FF37-5202A5F6803C}"/>
            </a:ext>
          </a:extLst>
        </xdr:cNvPr>
        <xdr:cNvPicPr>
          <a:picLocks noChangeAspect="1"/>
        </xdr:cNvPicPr>
      </xdr:nvPicPr>
      <xdr:blipFill>
        <a:blip xmlns:r="http://schemas.openxmlformats.org/officeDocument/2006/relationships" r:link="rId490"/>
        <a:stretch>
          <a:fillRect/>
        </a:stretch>
      </xdr:blipFill>
      <xdr:spPr>
        <a:xfrm>
          <a:off x="28457211" y="693445849"/>
          <a:ext cx="967149" cy="970752"/>
        </a:xfrm>
        <a:prstGeom prst="rect">
          <a:avLst/>
        </a:prstGeom>
      </xdr:spPr>
    </xdr:pic>
    <xdr:clientData/>
  </xdr:twoCellAnchor>
  <xdr:twoCellAnchor editAs="oneCell">
    <xdr:from>
      <xdr:col>12</xdr:col>
      <xdr:colOff>689414</xdr:colOff>
      <xdr:row>498</xdr:row>
      <xdr:rowOff>206234</xdr:rowOff>
    </xdr:from>
    <xdr:to>
      <xdr:col>12</xdr:col>
      <xdr:colOff>1656563</xdr:colOff>
      <xdr:row>498</xdr:row>
      <xdr:rowOff>1177579</xdr:rowOff>
    </xdr:to>
    <xdr:pic>
      <xdr:nvPicPr>
        <xdr:cNvPr id="999" name="Picture 998">
          <a:extLst>
            <a:ext uri="{FF2B5EF4-FFF2-40B4-BE49-F238E27FC236}">
              <a16:creationId xmlns:a16="http://schemas.microsoft.com/office/drawing/2014/main" id="{A13741C2-CB8F-0B79-6130-58B89019AA04}"/>
            </a:ext>
          </a:extLst>
        </xdr:cNvPr>
        <xdr:cNvPicPr>
          <a:picLocks noChangeAspect="1"/>
        </xdr:cNvPicPr>
      </xdr:nvPicPr>
      <xdr:blipFill>
        <a:blip xmlns:r="http://schemas.openxmlformats.org/officeDocument/2006/relationships" r:link="rId491"/>
        <a:stretch>
          <a:fillRect/>
        </a:stretch>
      </xdr:blipFill>
      <xdr:spPr>
        <a:xfrm>
          <a:off x="28457211" y="694840268"/>
          <a:ext cx="967149" cy="971345"/>
        </a:xfrm>
        <a:prstGeom prst="rect">
          <a:avLst/>
        </a:prstGeom>
      </xdr:spPr>
    </xdr:pic>
    <xdr:clientData/>
  </xdr:twoCellAnchor>
  <xdr:twoCellAnchor editAs="oneCell">
    <xdr:from>
      <xdr:col>12</xdr:col>
      <xdr:colOff>689414</xdr:colOff>
      <xdr:row>499</xdr:row>
      <xdr:rowOff>206246</xdr:rowOff>
    </xdr:from>
    <xdr:to>
      <xdr:col>12</xdr:col>
      <xdr:colOff>1656563</xdr:colOff>
      <xdr:row>499</xdr:row>
      <xdr:rowOff>1177590</xdr:rowOff>
    </xdr:to>
    <xdr:pic>
      <xdr:nvPicPr>
        <xdr:cNvPr id="1001" name="Picture 1000">
          <a:extLst>
            <a:ext uri="{FF2B5EF4-FFF2-40B4-BE49-F238E27FC236}">
              <a16:creationId xmlns:a16="http://schemas.microsoft.com/office/drawing/2014/main" id="{16A4E8D5-66D9-5C0C-9E7B-F854DD67220E}"/>
            </a:ext>
          </a:extLst>
        </xdr:cNvPr>
        <xdr:cNvPicPr>
          <a:picLocks noChangeAspect="1"/>
        </xdr:cNvPicPr>
      </xdr:nvPicPr>
      <xdr:blipFill>
        <a:blip xmlns:r="http://schemas.openxmlformats.org/officeDocument/2006/relationships" r:link="rId492"/>
        <a:stretch>
          <a:fillRect/>
        </a:stretch>
      </xdr:blipFill>
      <xdr:spPr>
        <a:xfrm>
          <a:off x="28457211" y="696235127"/>
          <a:ext cx="967149" cy="971344"/>
        </a:xfrm>
        <a:prstGeom prst="rect">
          <a:avLst/>
        </a:prstGeom>
      </xdr:spPr>
    </xdr:pic>
    <xdr:clientData/>
  </xdr:twoCellAnchor>
  <xdr:twoCellAnchor editAs="oneCell">
    <xdr:from>
      <xdr:col>12</xdr:col>
      <xdr:colOff>689414</xdr:colOff>
      <xdr:row>500</xdr:row>
      <xdr:rowOff>206643</xdr:rowOff>
    </xdr:from>
    <xdr:to>
      <xdr:col>12</xdr:col>
      <xdr:colOff>1656563</xdr:colOff>
      <xdr:row>500</xdr:row>
      <xdr:rowOff>1177395</xdr:rowOff>
    </xdr:to>
    <xdr:pic>
      <xdr:nvPicPr>
        <xdr:cNvPr id="1003" name="Picture 1002">
          <a:extLst>
            <a:ext uri="{FF2B5EF4-FFF2-40B4-BE49-F238E27FC236}">
              <a16:creationId xmlns:a16="http://schemas.microsoft.com/office/drawing/2014/main" id="{D5015E9B-E798-EFAE-0BF7-CD39A07980BB}"/>
            </a:ext>
          </a:extLst>
        </xdr:cNvPr>
        <xdr:cNvPicPr>
          <a:picLocks noChangeAspect="1"/>
        </xdr:cNvPicPr>
      </xdr:nvPicPr>
      <xdr:blipFill>
        <a:blip xmlns:r="http://schemas.openxmlformats.org/officeDocument/2006/relationships" r:link="rId493"/>
        <a:stretch>
          <a:fillRect/>
        </a:stretch>
      </xdr:blipFill>
      <xdr:spPr>
        <a:xfrm>
          <a:off x="28457211" y="697630372"/>
          <a:ext cx="967149" cy="970752"/>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26" name="Picture 25">
          <a:extLst>
            <a:ext uri="{FF2B5EF4-FFF2-40B4-BE49-F238E27FC236}">
              <a16:creationId xmlns:a16="http://schemas.microsoft.com/office/drawing/2014/main" id="{DABA9D61-33DA-E920-C26E-1A6966661356}"/>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30" name="Picture 29">
          <a:extLst>
            <a:ext uri="{FF2B5EF4-FFF2-40B4-BE49-F238E27FC236}">
              <a16:creationId xmlns:a16="http://schemas.microsoft.com/office/drawing/2014/main" id="{CA7F6E31-B63C-BAA3-A625-3E7D35A3C254}"/>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34" name="Picture 33">
          <a:extLst>
            <a:ext uri="{FF2B5EF4-FFF2-40B4-BE49-F238E27FC236}">
              <a16:creationId xmlns:a16="http://schemas.microsoft.com/office/drawing/2014/main" id="{078E01FD-CBA8-0E51-3451-99D07FA47C60}"/>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2</xdr:row>
      <xdr:rowOff>0</xdr:rowOff>
    </xdr:from>
    <xdr:to>
      <xdr:col>12</xdr:col>
      <xdr:colOff>635000</xdr:colOff>
      <xdr:row>2</xdr:row>
      <xdr:rowOff>635000</xdr:rowOff>
    </xdr:to>
    <xdr:pic>
      <xdr:nvPicPr>
        <xdr:cNvPr id="12" name="Picture 11">
          <a:extLst>
            <a:ext uri="{FF2B5EF4-FFF2-40B4-BE49-F238E27FC236}">
              <a16:creationId xmlns:a16="http://schemas.microsoft.com/office/drawing/2014/main" id="{7799355C-A2F7-5120-FEF6-8C3A6F468F4A}"/>
            </a:ext>
          </a:extLst>
        </xdr:cNvPr>
        <xdr:cNvPicPr>
          <a:picLocks noChangeAspect="1"/>
        </xdr:cNvPicPr>
      </xdr:nvPicPr>
      <xdr:blipFill>
        <a:blip xmlns:r="http://schemas.openxmlformats.org/officeDocument/2006/relationships" r:link="rId495"/>
        <a:stretch>
          <a:fillRect/>
        </a:stretch>
      </xdr:blipFill>
      <xdr:spPr>
        <a:xfrm>
          <a:off x="28917900" y="4030980"/>
          <a:ext cx="635000" cy="635000"/>
        </a:xfrm>
        <a:prstGeom prst="rect">
          <a:avLst/>
        </a:prstGeom>
      </xdr:spPr>
    </xdr:pic>
    <xdr:clientData/>
  </xdr:twoCellAnchor>
  <xdr:twoCellAnchor editAs="oneCell">
    <xdr:from>
      <xdr:col>12</xdr:col>
      <xdr:colOff>0</xdr:colOff>
      <xdr:row>5</xdr:row>
      <xdr:rowOff>0</xdr:rowOff>
    </xdr:from>
    <xdr:to>
      <xdr:col>12</xdr:col>
      <xdr:colOff>635000</xdr:colOff>
      <xdr:row>5</xdr:row>
      <xdr:rowOff>635000</xdr:rowOff>
    </xdr:to>
    <xdr:pic>
      <xdr:nvPicPr>
        <xdr:cNvPr id="40" name="Picture 39">
          <a:extLst>
            <a:ext uri="{FF2B5EF4-FFF2-40B4-BE49-F238E27FC236}">
              <a16:creationId xmlns:a16="http://schemas.microsoft.com/office/drawing/2014/main" id="{09E8076D-7283-0BA6-0947-8ECBF7D9C690}"/>
            </a:ext>
          </a:extLst>
        </xdr:cNvPr>
        <xdr:cNvPicPr>
          <a:picLocks noChangeAspect="1"/>
        </xdr:cNvPicPr>
      </xdr:nvPicPr>
      <xdr:blipFill>
        <a:blip xmlns:r="http://schemas.openxmlformats.org/officeDocument/2006/relationships" r:link="rId496"/>
        <a:stretch>
          <a:fillRect/>
        </a:stretch>
      </xdr:blipFill>
      <xdr:spPr>
        <a:xfrm>
          <a:off x="28917900" y="11940540"/>
          <a:ext cx="635000" cy="635000"/>
        </a:xfrm>
        <a:prstGeom prst="rect">
          <a:avLst/>
        </a:prstGeom>
      </xdr:spPr>
    </xdr:pic>
    <xdr:clientData/>
  </xdr:twoCellAnchor>
  <xdr:twoCellAnchor editAs="oneCell">
    <xdr:from>
      <xdr:col>12</xdr:col>
      <xdr:colOff>0</xdr:colOff>
      <xdr:row>3</xdr:row>
      <xdr:rowOff>0</xdr:rowOff>
    </xdr:from>
    <xdr:to>
      <xdr:col>12</xdr:col>
      <xdr:colOff>635000</xdr:colOff>
      <xdr:row>3</xdr:row>
      <xdr:rowOff>635000</xdr:rowOff>
    </xdr:to>
    <xdr:pic>
      <xdr:nvPicPr>
        <xdr:cNvPr id="3" name="Picture 2">
          <a:extLst>
            <a:ext uri="{FF2B5EF4-FFF2-40B4-BE49-F238E27FC236}">
              <a16:creationId xmlns:a16="http://schemas.microsoft.com/office/drawing/2014/main" id="{14F486AE-1FF8-2D9D-9E71-8719787E875B}"/>
            </a:ext>
          </a:extLst>
        </xdr:cNvPr>
        <xdr:cNvPicPr>
          <a:picLocks noChangeAspect="1"/>
        </xdr:cNvPicPr>
      </xdr:nvPicPr>
      <xdr:blipFill>
        <a:blip xmlns:r="http://schemas.openxmlformats.org/officeDocument/2006/relationships" r:link="rId497"/>
        <a:stretch>
          <a:fillRect/>
        </a:stretch>
      </xdr:blipFill>
      <xdr:spPr>
        <a:xfrm>
          <a:off x="28917900" y="6667500"/>
          <a:ext cx="635000" cy="635000"/>
        </a:xfrm>
        <a:prstGeom prst="rect">
          <a:avLst/>
        </a:prstGeom>
      </xdr:spPr>
    </xdr:pic>
    <xdr:clientData/>
  </xdr:twoCellAnchor>
  <xdr:twoCellAnchor editAs="oneCell">
    <xdr:from>
      <xdr:col>12</xdr:col>
      <xdr:colOff>0</xdr:colOff>
      <xdr:row>4</xdr:row>
      <xdr:rowOff>0</xdr:rowOff>
    </xdr:from>
    <xdr:to>
      <xdr:col>12</xdr:col>
      <xdr:colOff>635000</xdr:colOff>
      <xdr:row>4</xdr:row>
      <xdr:rowOff>635000</xdr:rowOff>
    </xdr:to>
    <xdr:pic>
      <xdr:nvPicPr>
        <xdr:cNvPr id="5" name="Picture 4">
          <a:extLst>
            <a:ext uri="{FF2B5EF4-FFF2-40B4-BE49-F238E27FC236}">
              <a16:creationId xmlns:a16="http://schemas.microsoft.com/office/drawing/2014/main" id="{2D67D461-80C9-C6B8-7A1C-C7A26AB6DD80}"/>
            </a:ext>
          </a:extLst>
        </xdr:cNvPr>
        <xdr:cNvPicPr>
          <a:picLocks noChangeAspect="1"/>
        </xdr:cNvPicPr>
      </xdr:nvPicPr>
      <xdr:blipFill>
        <a:blip xmlns:r="http://schemas.openxmlformats.org/officeDocument/2006/relationships" r:link="rId498"/>
        <a:stretch>
          <a:fillRect/>
        </a:stretch>
      </xdr:blipFill>
      <xdr:spPr>
        <a:xfrm>
          <a:off x="28917900" y="9304020"/>
          <a:ext cx="635000" cy="635000"/>
        </a:xfrm>
        <a:prstGeom prst="rect">
          <a:avLst/>
        </a:prstGeom>
      </xdr:spPr>
    </xdr:pic>
    <xdr:clientData/>
  </xdr:twoCellAnchor>
  <xdr:twoCellAnchor editAs="oneCell">
    <xdr:from>
      <xdr:col>12</xdr:col>
      <xdr:colOff>0</xdr:colOff>
      <xdr:row>9</xdr:row>
      <xdr:rowOff>0</xdr:rowOff>
    </xdr:from>
    <xdr:to>
      <xdr:col>12</xdr:col>
      <xdr:colOff>635000</xdr:colOff>
      <xdr:row>9</xdr:row>
      <xdr:rowOff>635000</xdr:rowOff>
    </xdr:to>
    <xdr:pic>
      <xdr:nvPicPr>
        <xdr:cNvPr id="7" name="Picture 6">
          <a:extLst>
            <a:ext uri="{FF2B5EF4-FFF2-40B4-BE49-F238E27FC236}">
              <a16:creationId xmlns:a16="http://schemas.microsoft.com/office/drawing/2014/main" id="{CA6B46F8-2BD3-ECC6-352C-A0EC6B8BC973}"/>
            </a:ext>
          </a:extLst>
        </xdr:cNvPr>
        <xdr:cNvPicPr>
          <a:picLocks noChangeAspect="1"/>
        </xdr:cNvPicPr>
      </xdr:nvPicPr>
      <xdr:blipFill>
        <a:blip xmlns:r="http://schemas.openxmlformats.org/officeDocument/2006/relationships" r:link="rId499"/>
        <a:stretch>
          <a:fillRect/>
        </a:stretch>
      </xdr:blipFill>
      <xdr:spPr>
        <a:xfrm>
          <a:off x="28917900" y="22486620"/>
          <a:ext cx="635000" cy="635000"/>
        </a:xfrm>
        <a:prstGeom prst="rect">
          <a:avLst/>
        </a:prstGeom>
      </xdr:spPr>
    </xdr:pic>
    <xdr:clientData/>
  </xdr:twoCellAnchor>
  <xdr:twoCellAnchor editAs="oneCell">
    <xdr:from>
      <xdr:col>12</xdr:col>
      <xdr:colOff>0</xdr:colOff>
      <xdr:row>1</xdr:row>
      <xdr:rowOff>0</xdr:rowOff>
    </xdr:from>
    <xdr:to>
      <xdr:col>12</xdr:col>
      <xdr:colOff>635000</xdr:colOff>
      <xdr:row>1</xdr:row>
      <xdr:rowOff>635000</xdr:rowOff>
    </xdr:to>
    <xdr:pic>
      <xdr:nvPicPr>
        <xdr:cNvPr id="9" name="Picture 8">
          <a:extLst>
            <a:ext uri="{FF2B5EF4-FFF2-40B4-BE49-F238E27FC236}">
              <a16:creationId xmlns:a16="http://schemas.microsoft.com/office/drawing/2014/main" id="{7AAB04D2-1935-882D-3208-454AB13C07DA}"/>
            </a:ext>
          </a:extLst>
        </xdr:cNvPr>
        <xdr:cNvPicPr>
          <a:picLocks noChangeAspect="1"/>
        </xdr:cNvPicPr>
      </xdr:nvPicPr>
      <xdr:blipFill>
        <a:blip xmlns:r="http://schemas.openxmlformats.org/officeDocument/2006/relationships" r:link="rId500"/>
        <a:stretch>
          <a:fillRect/>
        </a:stretch>
      </xdr:blipFill>
      <xdr:spPr>
        <a:xfrm>
          <a:off x="28917900" y="1394460"/>
          <a:ext cx="635000" cy="635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960120</xdr:colOff>
      <xdr:row>0</xdr:row>
      <xdr:rowOff>320040</xdr:rowOff>
    </xdr:from>
    <xdr:to>
      <xdr:col>3</xdr:col>
      <xdr:colOff>670560</xdr:colOff>
      <xdr:row>0</xdr:row>
      <xdr:rowOff>327660</xdr:rowOff>
    </xdr:to>
    <xdr:cxnSp macro="">
      <xdr:nvCxnSpPr>
        <xdr:cNvPr id="3" name="Straight Arrow Connector 2">
          <a:extLst>
            <a:ext uri="{FF2B5EF4-FFF2-40B4-BE49-F238E27FC236}">
              <a16:creationId xmlns:a16="http://schemas.microsoft.com/office/drawing/2014/main" id="{91F8B618-C152-E8AF-C2F5-F3038E60CC36}"/>
            </a:ext>
          </a:extLst>
        </xdr:cNvPr>
        <xdr:cNvCxnSpPr/>
      </xdr:nvCxnSpPr>
      <xdr:spPr>
        <a:xfrm flipH="1">
          <a:off x="3398520" y="320040"/>
          <a:ext cx="716280" cy="7620"/>
        </a:xfrm>
        <a:prstGeom prst="straightConnector1">
          <a:avLst/>
        </a:prstGeom>
        <a:ln w="19050" cap="flat" cmpd="sng" algn="ctr">
          <a:solidFill>
            <a:schemeClr val="dk1"/>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436339</xdr:colOff>
      <xdr:row>0</xdr:row>
      <xdr:rowOff>166760</xdr:rowOff>
    </xdr:from>
    <xdr:to>
      <xdr:col>1</xdr:col>
      <xdr:colOff>852590</xdr:colOff>
      <xdr:row>5</xdr:row>
      <xdr:rowOff>139386</xdr:rowOff>
    </xdr:to>
    <xdr:pic>
      <xdr:nvPicPr>
        <xdr:cNvPr id="5" name="Picture 4">
          <a:extLst>
            <a:ext uri="{FF2B5EF4-FFF2-40B4-BE49-F238E27FC236}">
              <a16:creationId xmlns:a16="http://schemas.microsoft.com/office/drawing/2014/main" id="{C79DE178-8760-4BA1-B336-EF9B97827957}"/>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33085" t="23988" r="34398" b="26792"/>
        <a:stretch>
          <a:fillRect/>
        </a:stretch>
      </xdr:blipFill>
      <xdr:spPr>
        <a:xfrm>
          <a:off x="436339" y="166760"/>
          <a:ext cx="1845001" cy="1660416"/>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d.docs.live.net/eb72d8bcab306272/Flower%20Plus/Flower%20Plus%20Inventory%20Concrete/2026-FPC2(AutoRecovered).xlsm" TargetMode="External"/><Relationship Id="rId1" Type="http://schemas.openxmlformats.org/officeDocument/2006/relationships/externalLinkPath" Target="https://d.docs.live.net/eb72d8bcab306272/Flower%20Plus/Flower%20Plus%20Inventory%20Concrete/2026-FPC2(AutoRecovere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ashoboard"/>
      <sheetName val="PhotosData2"/>
      <sheetName val="Total(Fp)"/>
      <sheetName val="In"/>
      <sheetName val="Out(Fp)"/>
      <sheetName val="Codes"/>
      <sheetName val="Cost"/>
      <sheetName val="Client"/>
      <sheetName val="Add(Cli)"/>
      <sheetName val="Remain(Cli)"/>
      <sheetName val="Recipt"/>
      <sheetName val="Invoice (2)"/>
      <sheetName val="PhotosData"/>
      <sheetName val="History1"/>
      <sheetName val="Clients"/>
      <sheetName val="OUT"/>
      <sheetName val="Stock Summary"/>
      <sheetName val="In_G_HELP"/>
      <sheetName val="In_W_HELP"/>
      <sheetName val="In_C_HELP"/>
      <sheetName val="Out_G_HELP"/>
      <sheetName val="Out_W_HELP"/>
      <sheetName val="Out_C_HELP"/>
      <sheetName val="Dash_TMP_INV"/>
      <sheetName val="Dash_TMP_CLIENT"/>
    </sheetNames>
    <sheetDataSet>
      <sheetData sheetId="0"/>
      <sheetData sheetId="1"/>
      <sheetData sheetId="2">
        <row r="3">
          <cell r="G3">
            <v>14</v>
          </cell>
          <cell r="O3">
            <v>12</v>
          </cell>
          <cell r="P3">
            <v>2</v>
          </cell>
          <cell r="Q3">
            <v>0</v>
          </cell>
        </row>
        <row r="4">
          <cell r="G4">
            <v>126</v>
          </cell>
          <cell r="O4">
            <v>93</v>
          </cell>
          <cell r="P4">
            <v>33</v>
          </cell>
          <cell r="Q4">
            <v>0</v>
          </cell>
        </row>
        <row r="5">
          <cell r="G5">
            <v>156</v>
          </cell>
          <cell r="O5">
            <v>118</v>
          </cell>
          <cell r="P5">
            <v>38</v>
          </cell>
          <cell r="Q5">
            <v>0</v>
          </cell>
        </row>
        <row r="6">
          <cell r="G6">
            <v>56</v>
          </cell>
          <cell r="O6">
            <v>46</v>
          </cell>
          <cell r="P6">
            <v>10</v>
          </cell>
          <cell r="Q6">
            <v>0</v>
          </cell>
        </row>
        <row r="7">
          <cell r="G7">
            <v>40</v>
          </cell>
          <cell r="O7">
            <v>28</v>
          </cell>
          <cell r="P7">
            <v>12</v>
          </cell>
          <cell r="Q7">
            <v>0</v>
          </cell>
        </row>
        <row r="8">
          <cell r="G8">
            <v>54</v>
          </cell>
          <cell r="O8">
            <v>43</v>
          </cell>
          <cell r="P8">
            <v>11</v>
          </cell>
          <cell r="Q8">
            <v>0</v>
          </cell>
        </row>
        <row r="9">
          <cell r="G9">
            <v>56</v>
          </cell>
          <cell r="O9">
            <v>43</v>
          </cell>
          <cell r="P9">
            <v>13</v>
          </cell>
          <cell r="Q9">
            <v>0</v>
          </cell>
        </row>
        <row r="10">
          <cell r="G10">
            <v>47</v>
          </cell>
          <cell r="O10">
            <v>30</v>
          </cell>
          <cell r="P10">
            <v>14</v>
          </cell>
          <cell r="Q10">
            <v>3</v>
          </cell>
        </row>
        <row r="11">
          <cell r="G11">
            <v>20</v>
          </cell>
          <cell r="O11">
            <v>16</v>
          </cell>
          <cell r="P11">
            <v>4</v>
          </cell>
          <cell r="Q11">
            <v>0</v>
          </cell>
        </row>
        <row r="12">
          <cell r="G12">
            <v>76</v>
          </cell>
          <cell r="O12">
            <v>41</v>
          </cell>
          <cell r="P12">
            <v>16</v>
          </cell>
          <cell r="Q12">
            <v>19</v>
          </cell>
        </row>
        <row r="13">
          <cell r="G13">
            <v>6</v>
          </cell>
          <cell r="O13">
            <v>6</v>
          </cell>
          <cell r="P13">
            <v>0</v>
          </cell>
          <cell r="Q13">
            <v>0</v>
          </cell>
        </row>
        <row r="14">
          <cell r="G14">
            <v>39</v>
          </cell>
          <cell r="O14">
            <v>32</v>
          </cell>
          <cell r="P14">
            <v>7</v>
          </cell>
          <cell r="Q14">
            <v>0</v>
          </cell>
        </row>
        <row r="15">
          <cell r="G15">
            <v>43</v>
          </cell>
          <cell r="O15">
            <v>39</v>
          </cell>
          <cell r="P15">
            <v>4</v>
          </cell>
          <cell r="Q15">
            <v>0</v>
          </cell>
        </row>
        <row r="16">
          <cell r="G16">
            <v>14</v>
          </cell>
          <cell r="O16">
            <v>10</v>
          </cell>
          <cell r="P16">
            <v>4</v>
          </cell>
          <cell r="Q16">
            <v>0</v>
          </cell>
        </row>
        <row r="17">
          <cell r="G17">
            <v>68</v>
          </cell>
          <cell r="O17">
            <v>60</v>
          </cell>
          <cell r="P17">
            <v>8</v>
          </cell>
          <cell r="Q17">
            <v>0</v>
          </cell>
        </row>
        <row r="18">
          <cell r="G18">
            <v>103</v>
          </cell>
          <cell r="O18">
            <v>76</v>
          </cell>
          <cell r="P18">
            <v>27</v>
          </cell>
          <cell r="Q18">
            <v>0</v>
          </cell>
        </row>
        <row r="19">
          <cell r="G19">
            <v>0</v>
          </cell>
          <cell r="O19">
            <v>0</v>
          </cell>
          <cell r="P19">
            <v>0</v>
          </cell>
          <cell r="Q19">
            <v>0</v>
          </cell>
        </row>
        <row r="20">
          <cell r="G20">
            <v>0</v>
          </cell>
          <cell r="O20">
            <v>0</v>
          </cell>
          <cell r="P20">
            <v>0</v>
          </cell>
          <cell r="Q20">
            <v>0</v>
          </cell>
        </row>
        <row r="21">
          <cell r="G21">
            <v>40</v>
          </cell>
          <cell r="O21">
            <v>32</v>
          </cell>
          <cell r="P21">
            <v>8</v>
          </cell>
          <cell r="Q21">
            <v>0</v>
          </cell>
        </row>
        <row r="22">
          <cell r="G22">
            <v>22</v>
          </cell>
          <cell r="O22">
            <v>20</v>
          </cell>
          <cell r="P22">
            <v>2</v>
          </cell>
          <cell r="Q22">
            <v>0</v>
          </cell>
        </row>
        <row r="23">
          <cell r="G23">
            <v>0</v>
          </cell>
          <cell r="O23">
            <v>0</v>
          </cell>
          <cell r="P23">
            <v>0</v>
          </cell>
          <cell r="Q23">
            <v>0</v>
          </cell>
        </row>
        <row r="24">
          <cell r="G24">
            <v>39</v>
          </cell>
          <cell r="O24">
            <v>31</v>
          </cell>
          <cell r="P24">
            <v>8</v>
          </cell>
          <cell r="Q24">
            <v>0</v>
          </cell>
        </row>
        <row r="25">
          <cell r="G25">
            <v>7</v>
          </cell>
          <cell r="O25">
            <v>1</v>
          </cell>
          <cell r="P25">
            <v>6</v>
          </cell>
          <cell r="Q25">
            <v>0</v>
          </cell>
        </row>
        <row r="26">
          <cell r="G26">
            <v>36</v>
          </cell>
          <cell r="O26">
            <v>24</v>
          </cell>
          <cell r="P26">
            <v>12</v>
          </cell>
          <cell r="Q26">
            <v>0</v>
          </cell>
        </row>
        <row r="27">
          <cell r="G27">
            <v>1</v>
          </cell>
          <cell r="O27">
            <v>1</v>
          </cell>
          <cell r="P27">
            <v>0</v>
          </cell>
          <cell r="Q27">
            <v>0</v>
          </cell>
        </row>
        <row r="28">
          <cell r="G28">
            <v>15</v>
          </cell>
          <cell r="O28">
            <v>15</v>
          </cell>
          <cell r="P28">
            <v>0</v>
          </cell>
          <cell r="Q28">
            <v>0</v>
          </cell>
        </row>
        <row r="29">
          <cell r="G29">
            <v>0</v>
          </cell>
          <cell r="O29">
            <v>0</v>
          </cell>
          <cell r="P29">
            <v>0</v>
          </cell>
          <cell r="Q29">
            <v>0</v>
          </cell>
        </row>
        <row r="30">
          <cell r="G30">
            <v>0</v>
          </cell>
          <cell r="O30">
            <v>0</v>
          </cell>
          <cell r="P30">
            <v>0</v>
          </cell>
          <cell r="Q30">
            <v>0</v>
          </cell>
        </row>
        <row r="31">
          <cell r="G31">
            <v>-15</v>
          </cell>
          <cell r="O31">
            <v>-6</v>
          </cell>
          <cell r="P31">
            <v>-9</v>
          </cell>
          <cell r="Q31">
            <v>0</v>
          </cell>
        </row>
        <row r="32">
          <cell r="G32">
            <v>38</v>
          </cell>
          <cell r="O32">
            <v>23</v>
          </cell>
          <cell r="P32">
            <v>15</v>
          </cell>
          <cell r="Q32">
            <v>0</v>
          </cell>
        </row>
        <row r="33">
          <cell r="G33">
            <v>35</v>
          </cell>
          <cell r="O33">
            <v>31</v>
          </cell>
          <cell r="P33">
            <v>4</v>
          </cell>
          <cell r="Q33">
            <v>0</v>
          </cell>
        </row>
        <row r="34">
          <cell r="G34">
            <v>1</v>
          </cell>
          <cell r="O34">
            <v>1</v>
          </cell>
          <cell r="P34">
            <v>0</v>
          </cell>
          <cell r="Q34">
            <v>0</v>
          </cell>
        </row>
        <row r="35">
          <cell r="G35">
            <v>82</v>
          </cell>
          <cell r="O35">
            <v>62</v>
          </cell>
          <cell r="P35">
            <v>15</v>
          </cell>
          <cell r="Q35">
            <v>5</v>
          </cell>
        </row>
        <row r="36">
          <cell r="G36">
            <v>30</v>
          </cell>
          <cell r="O36">
            <v>22</v>
          </cell>
          <cell r="P36">
            <v>8</v>
          </cell>
          <cell r="Q36">
            <v>0</v>
          </cell>
        </row>
        <row r="37">
          <cell r="G37">
            <v>104</v>
          </cell>
          <cell r="O37">
            <v>66</v>
          </cell>
          <cell r="P37">
            <v>38</v>
          </cell>
          <cell r="Q37">
            <v>0</v>
          </cell>
        </row>
        <row r="38">
          <cell r="G38">
            <v>49</v>
          </cell>
          <cell r="O38">
            <v>26</v>
          </cell>
          <cell r="P38">
            <v>23</v>
          </cell>
          <cell r="Q38">
            <v>0</v>
          </cell>
        </row>
        <row r="39">
          <cell r="G39">
            <v>53</v>
          </cell>
          <cell r="O39">
            <v>25</v>
          </cell>
          <cell r="P39">
            <v>28</v>
          </cell>
          <cell r="Q39">
            <v>0</v>
          </cell>
        </row>
        <row r="40">
          <cell r="G40">
            <v>73</v>
          </cell>
          <cell r="O40">
            <v>73</v>
          </cell>
          <cell r="P40">
            <v>0</v>
          </cell>
          <cell r="Q40">
            <v>0</v>
          </cell>
        </row>
        <row r="41">
          <cell r="G41">
            <v>98</v>
          </cell>
          <cell r="O41">
            <v>35</v>
          </cell>
          <cell r="P41">
            <v>46</v>
          </cell>
          <cell r="Q41">
            <v>17</v>
          </cell>
        </row>
        <row r="42">
          <cell r="G42">
            <v>89</v>
          </cell>
          <cell r="O42">
            <v>31</v>
          </cell>
          <cell r="P42">
            <v>45</v>
          </cell>
          <cell r="Q42">
            <v>13</v>
          </cell>
        </row>
        <row r="43">
          <cell r="G43">
            <v>74</v>
          </cell>
          <cell r="O43">
            <v>74</v>
          </cell>
          <cell r="P43">
            <v>0</v>
          </cell>
          <cell r="Q43">
            <v>0</v>
          </cell>
        </row>
        <row r="44">
          <cell r="G44">
            <v>16</v>
          </cell>
          <cell r="O44">
            <v>4</v>
          </cell>
          <cell r="P44">
            <v>12</v>
          </cell>
          <cell r="Q44">
            <v>0</v>
          </cell>
        </row>
        <row r="45">
          <cell r="G45">
            <v>13</v>
          </cell>
          <cell r="O45">
            <v>5</v>
          </cell>
          <cell r="P45">
            <v>8</v>
          </cell>
          <cell r="Q45">
            <v>0</v>
          </cell>
        </row>
        <row r="46">
          <cell r="G46">
            <v>26</v>
          </cell>
          <cell r="O46">
            <v>5</v>
          </cell>
          <cell r="P46">
            <v>21</v>
          </cell>
          <cell r="Q46">
            <v>0</v>
          </cell>
        </row>
        <row r="47">
          <cell r="G47">
            <v>70</v>
          </cell>
          <cell r="O47">
            <v>5</v>
          </cell>
          <cell r="P47">
            <v>65</v>
          </cell>
          <cell r="Q47">
            <v>0</v>
          </cell>
        </row>
        <row r="48">
          <cell r="G48">
            <v>20</v>
          </cell>
          <cell r="O48">
            <v>20</v>
          </cell>
          <cell r="P48">
            <v>0</v>
          </cell>
          <cell r="Q48">
            <v>0</v>
          </cell>
        </row>
        <row r="49">
          <cell r="G49">
            <v>186</v>
          </cell>
          <cell r="O49">
            <v>0</v>
          </cell>
          <cell r="P49">
            <v>186</v>
          </cell>
          <cell r="Q49">
            <v>0</v>
          </cell>
        </row>
        <row r="50">
          <cell r="G50">
            <v>71</v>
          </cell>
          <cell r="O50">
            <v>46</v>
          </cell>
          <cell r="P50">
            <v>25</v>
          </cell>
          <cell r="Q50">
            <v>0</v>
          </cell>
        </row>
        <row r="51">
          <cell r="G51">
            <v>64</v>
          </cell>
          <cell r="O51">
            <v>42</v>
          </cell>
          <cell r="P51">
            <v>22</v>
          </cell>
          <cell r="Q51">
            <v>0</v>
          </cell>
        </row>
        <row r="52">
          <cell r="G52">
            <v>24</v>
          </cell>
          <cell r="O52">
            <v>20</v>
          </cell>
          <cell r="P52">
            <v>4</v>
          </cell>
          <cell r="Q52">
            <v>0</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049EC7B-9294-494A-B425-4DEB23DA4D12}" name="SimpleInvoice" displayName="SimpleInvoice" ref="B13:H27" totalsRowShown="0" headerRowDxfId="8" dataDxfId="7">
  <autoFilter ref="B13:H27" xr:uid="{A049EC7B-9294-494A-B425-4DEB23DA4D12}"/>
  <tableColumns count="7">
    <tableColumn id="1" xr3:uid="{50201E52-3C95-4439-A765-CC3DEC6C9A1F}" name="Code" dataDxfId="6"/>
    <tableColumn id="2" xr3:uid="{D9533FBC-366A-4391-9AF0-FEDB2A58B0A0}" name="Description" dataDxfId="5">
      <calculatedColumnFormula>IFERROR(VLOOKUP(B14,Inventory!A:K,10,FALSE),"")</calculatedColumnFormula>
    </tableColumn>
    <tableColumn id="7" xr3:uid="{B5847BFF-0B6B-4565-8620-FF3472871E3C}" name="Qty" dataDxfId="4"/>
    <tableColumn id="8" xr3:uid="{F8327B75-65D2-46BE-9D4C-0CCEA9C6D50D}" name="Category" dataDxfId="3">
      <calculatedColumnFormula>IFERROR(VLOOKUP(B14,Inventory!A:K,3,FALSE),"")</calculatedColumnFormula>
    </tableColumn>
    <tableColumn id="10" xr3:uid="{9031B3F9-C914-4ECB-A279-CDA78D2DB3B7}" name="Size" dataDxfId="2">
      <calculatedColumnFormula>IFERROR(VLOOKUP(B14,Inventory!A:K,4,FALSE),"")</calculatedColumnFormula>
    </tableColumn>
    <tableColumn id="11" xr3:uid="{1BA18627-CD33-4354-AFDF-061428B2FDA0}" name="Image" dataDxfId="1">
      <calculatedColumnFormula>IFERROR(IF(SimpleInvoice[[#This Row],[Category]]="","",(SimpleInvoice[[#This Row],[Qty]]*SimpleInvoice[[#This Row],[Category]])-SimpleInvoice[[#This Row],[Size]]),"")</calculatedColumnFormula>
    </tableColumn>
    <tableColumn id="3" xr3:uid="{C57A4404-ECD2-49B5-9BFE-A5314617F4C4}" name="Name" dataDxfId="0">
      <calculatedColumnFormula>IFERROR(VLOOKUP(B14,Inventory!A:K,2,FALSE),"")</calculatedColumnFormula>
    </tableColumn>
  </tableColumns>
  <tableStyleInfo name="Invoice" showFirstColumn="1" showLastColumn="0" showRowStripes="0" showColumnStripes="0"/>
  <extLst>
    <ext xmlns:x14="http://schemas.microsoft.com/office/spreadsheetml/2009/9/main" uri="{504A1905-F514-4f6f-8877-14C23A59335A}">
      <x14:table altTextSummary="Invoice list with item #, description, quantity, unit price, discount and price"/>
    </ext>
  </extLst>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8">
    <wetp:webextensionref xmlns:r="http://schemas.openxmlformats.org/officeDocument/2006/relationships" r:id="rId1"/>
  </wetp:taskpane>
</wetp:taskpanes>
</file>

<file path=xl/webextensions/webextension1.xml><?xml version="1.0" encoding="utf-8"?>
<we:webextension xmlns:we="http://schemas.microsoft.com/office/webextensions/webextension/2010/11" id="{2DE594F1-2B3F-419F-9CEA-6184822DB60C}">
  <we:reference id="wa104051163" version="1.2.0.3" store="en-US" storeType="OMEX"/>
  <we:alternateReferences>
    <we:reference id="WA104051163" version="1.2.0.3" store=""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8" Type="http://schemas.openxmlformats.org/officeDocument/2006/relationships/hyperlink" Target="https://flowersystem-lb.github.io/inventorysystem/html/FP0003.html" TargetMode="External"/><Relationship Id="rId13" Type="http://schemas.openxmlformats.org/officeDocument/2006/relationships/drawing" Target="../drawings/drawing1.xml"/><Relationship Id="rId3" Type="http://schemas.openxmlformats.org/officeDocument/2006/relationships/hyperlink" Target="https://flowersystem-lb.github.io/inventorysystem/html/FP0009.html" TargetMode="External"/><Relationship Id="rId7" Type="http://schemas.openxmlformats.org/officeDocument/2006/relationships/hyperlink" Target="https://flowersystem-lb.github.io/inventorysystem/html/FP0002.html" TargetMode="External"/><Relationship Id="rId12" Type="http://schemas.openxmlformats.org/officeDocument/2006/relationships/printerSettings" Target="../printerSettings/printerSettings1.bin"/><Relationship Id="rId2" Type="http://schemas.openxmlformats.org/officeDocument/2006/relationships/hyperlink" Target="https://flowersystem-lb.github.io/inventorysystem/html/FP0010.html" TargetMode="External"/><Relationship Id="rId1" Type="http://schemas.openxmlformats.org/officeDocument/2006/relationships/hyperlink" Target="https://flowersystem-lb.github.io/inventorysystem/html/FP0031.html" TargetMode="External"/><Relationship Id="rId6" Type="http://schemas.openxmlformats.org/officeDocument/2006/relationships/hyperlink" Target="https://flowersystem-lb.github.io/inventorysystem/html/FP0004.html" TargetMode="External"/><Relationship Id="rId11" Type="http://schemas.openxmlformats.org/officeDocument/2006/relationships/hyperlink" Target="https://flowersystem-lb.github.io/inventorysystem/html/FP0055.html" TargetMode="External"/><Relationship Id="rId5" Type="http://schemas.openxmlformats.org/officeDocument/2006/relationships/hyperlink" Target="https://flowersystem-lb.github.io/inventorysystem/html/FP0001.html" TargetMode="External"/><Relationship Id="rId10" Type="http://schemas.openxmlformats.org/officeDocument/2006/relationships/hyperlink" Target="https://flowersystem-lb.github.io/inventorysystem/html/FP0052.html" TargetMode="External"/><Relationship Id="rId4" Type="http://schemas.openxmlformats.org/officeDocument/2006/relationships/hyperlink" Target="https://flowersystem-lb.github.io/inventorysystem/html/FP0032.html" TargetMode="External"/><Relationship Id="rId9" Type="http://schemas.openxmlformats.org/officeDocument/2006/relationships/hyperlink" Target="https://flowersystem-lb.github.io/inventorysystem/html/FP0051.html" TargetMode="Externa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0000"/>
  </sheetPr>
  <dimension ref="A1:AB1001"/>
  <sheetViews>
    <sheetView zoomScale="25" zoomScaleNormal="25" workbookViewId="0">
      <pane ySplit="1" topLeftCell="A47" activePane="bottomLeft" state="frozen"/>
      <selection pane="bottomLeft" activeCell="H52" sqref="H52"/>
    </sheetView>
  </sheetViews>
  <sheetFormatPr defaultColWidth="33" defaultRowHeight="109.8" customHeight="1"/>
  <cols>
    <col min="1" max="1" width="33" style="56"/>
    <col min="2" max="2" width="33" style="73"/>
    <col min="3" max="3" width="33" style="72"/>
    <col min="4" max="4" width="41" style="72" customWidth="1"/>
    <col min="5" max="9" width="33" style="72"/>
    <col min="10" max="11" width="41.109375" style="72" customWidth="1"/>
    <col min="12" max="12" width="42.44140625" style="57" customWidth="1"/>
    <col min="13" max="16384" width="33" style="57"/>
  </cols>
  <sheetData>
    <row r="1" spans="1:28" s="55" customFormat="1" ht="109.8" customHeight="1">
      <c r="A1" s="54" t="s">
        <v>0</v>
      </c>
      <c r="B1" s="55" t="s">
        <v>1</v>
      </c>
      <c r="C1" s="55" t="s">
        <v>2</v>
      </c>
      <c r="D1" s="79" t="s">
        <v>3</v>
      </c>
      <c r="E1" s="79" t="s">
        <v>4</v>
      </c>
      <c r="F1" s="55" t="s">
        <v>5</v>
      </c>
      <c r="G1" s="55" t="s">
        <v>6</v>
      </c>
      <c r="H1" s="55" t="s">
        <v>7</v>
      </c>
      <c r="I1" s="55" t="s">
        <v>8</v>
      </c>
      <c r="J1" s="55" t="s">
        <v>9</v>
      </c>
      <c r="K1" s="55" t="s">
        <v>2014</v>
      </c>
      <c r="L1" s="55" t="s">
        <v>11</v>
      </c>
      <c r="M1" s="55" t="s">
        <v>1012</v>
      </c>
      <c r="N1" s="55" t="s">
        <v>3134</v>
      </c>
      <c r="O1" s="55" t="s">
        <v>3135</v>
      </c>
      <c r="P1" s="55" t="s">
        <v>3136</v>
      </c>
      <c r="Q1" s="55" t="s">
        <v>3143</v>
      </c>
    </row>
    <row r="2" spans="1:28" ht="207.6" customHeight="1">
      <c r="A2" s="56" t="s">
        <v>12</v>
      </c>
      <c r="B2" s="71" t="s">
        <v>2035</v>
      </c>
      <c r="C2" s="72" t="s">
        <v>2031</v>
      </c>
      <c r="D2" s="71" t="s">
        <v>2032</v>
      </c>
      <c r="E2" s="71">
        <f>SUM('[1]Total(Fp)'!G3)</f>
        <v>14</v>
      </c>
      <c r="F2" s="72" t="s">
        <v>2126</v>
      </c>
      <c r="G2" s="74">
        <v>2</v>
      </c>
      <c r="H2" s="72" t="s">
        <v>2127</v>
      </c>
      <c r="I2" s="72" t="s">
        <v>3127</v>
      </c>
      <c r="K2" s="72" t="s">
        <v>2128</v>
      </c>
      <c r="L2" s="70" t="s">
        <v>1013</v>
      </c>
      <c r="N2" s="57">
        <f>SUM('[1]Total(Fp)'!P3)</f>
        <v>2</v>
      </c>
      <c r="O2" s="57">
        <f>SUM('[1]Total(Fp)'!Q3)</f>
        <v>0</v>
      </c>
      <c r="P2" s="57">
        <f>SUM('[1]Total(Fp)'!O3)</f>
        <v>12</v>
      </c>
      <c r="Q2" s="57" t="str">
        <f>IF(E2&lt;=10,"🔴 LOW",IF(E2&lt;=50,"🟡 MEDIUM","🟢 GOOD"))</f>
        <v>🟡 MEDIUM</v>
      </c>
    </row>
    <row r="3" spans="1:28" ht="207.6" customHeight="1">
      <c r="A3" s="56" t="s">
        <v>13</v>
      </c>
      <c r="B3" s="71" t="s">
        <v>2036</v>
      </c>
      <c r="C3" s="72" t="s">
        <v>2031</v>
      </c>
      <c r="D3" s="71" t="s">
        <v>2033</v>
      </c>
      <c r="E3" s="71">
        <f>SUM('[1]Total(Fp)'!G4)</f>
        <v>126</v>
      </c>
      <c r="F3" s="72" t="s">
        <v>2126</v>
      </c>
      <c r="G3" s="74">
        <v>2</v>
      </c>
      <c r="H3" s="72" t="s">
        <v>2127</v>
      </c>
      <c r="I3" s="72" t="s">
        <v>3128</v>
      </c>
      <c r="K3" s="72" t="s">
        <v>2129</v>
      </c>
      <c r="L3" s="58" t="s">
        <v>1014</v>
      </c>
      <c r="N3" s="57">
        <f>SUM('[1]Total(Fp)'!P4)</f>
        <v>33</v>
      </c>
      <c r="O3" s="57">
        <f>SUM('[1]Total(Fp)'!Q4)</f>
        <v>0</v>
      </c>
      <c r="P3" s="57">
        <f>SUM('[1]Total(Fp)'!O4)</f>
        <v>93</v>
      </c>
      <c r="Q3" s="57" t="str">
        <f t="shared" ref="Q3:Q66" si="0">IF(E3&lt;=10,"🔴 LOW",IF(E3&lt;=50,"🟡 MEDIUM","🟢 GOOD"))</f>
        <v>🟢 GOOD</v>
      </c>
    </row>
    <row r="4" spans="1:28" ht="207.6" customHeight="1">
      <c r="A4" s="56" t="s">
        <v>14</v>
      </c>
      <c r="B4" s="71" t="s">
        <v>2037</v>
      </c>
      <c r="C4" s="72" t="s">
        <v>2031</v>
      </c>
      <c r="D4" s="71" t="s">
        <v>2034</v>
      </c>
      <c r="E4" s="71">
        <f>SUM('[1]Total(Fp)'!G5)</f>
        <v>156</v>
      </c>
      <c r="F4" s="72" t="s">
        <v>2126</v>
      </c>
      <c r="G4" s="74">
        <v>2</v>
      </c>
      <c r="H4" s="72" t="s">
        <v>2127</v>
      </c>
      <c r="I4" s="72" t="s">
        <v>3129</v>
      </c>
      <c r="K4" s="72" t="s">
        <v>2130</v>
      </c>
      <c r="L4" s="58" t="s">
        <v>1015</v>
      </c>
      <c r="N4" s="57">
        <f>SUM('[1]Total(Fp)'!P5)</f>
        <v>38</v>
      </c>
      <c r="O4" s="57">
        <f>SUM('[1]Total(Fp)'!Q5)</f>
        <v>0</v>
      </c>
      <c r="P4" s="57">
        <f>SUM('[1]Total(Fp)'!O5)</f>
        <v>118</v>
      </c>
      <c r="Q4" s="57" t="str">
        <f t="shared" si="0"/>
        <v>🟢 GOOD</v>
      </c>
      <c r="AA4" s="80"/>
      <c r="AB4" s="80"/>
    </row>
    <row r="5" spans="1:28" ht="207.6" customHeight="1">
      <c r="A5" s="56" t="s">
        <v>15</v>
      </c>
      <c r="B5" s="71" t="s">
        <v>2038</v>
      </c>
      <c r="C5" s="72" t="s">
        <v>2031</v>
      </c>
      <c r="D5" s="71" t="s">
        <v>2084</v>
      </c>
      <c r="E5" s="71">
        <f>SUM('[1]Total(Fp)'!G6)</f>
        <v>56</v>
      </c>
      <c r="F5" s="72" t="s">
        <v>2126</v>
      </c>
      <c r="G5" s="74">
        <v>2</v>
      </c>
      <c r="H5" s="72" t="s">
        <v>2127</v>
      </c>
      <c r="I5" s="72" t="s">
        <v>3130</v>
      </c>
      <c r="K5" s="72" t="s">
        <v>2131</v>
      </c>
      <c r="L5" s="58" t="s">
        <v>1016</v>
      </c>
      <c r="N5" s="57">
        <f>SUM('[1]Total(Fp)'!P6)</f>
        <v>10</v>
      </c>
      <c r="O5" s="57">
        <f>SUM('[1]Total(Fp)'!Q6)</f>
        <v>0</v>
      </c>
      <c r="P5" s="57">
        <f>SUM('[1]Total(Fp)'!O6)</f>
        <v>46</v>
      </c>
      <c r="Q5" s="57" t="str">
        <f t="shared" si="0"/>
        <v>🟢 GOOD</v>
      </c>
    </row>
    <row r="6" spans="1:28" ht="207.6" customHeight="1">
      <c r="A6" s="56" t="s">
        <v>16</v>
      </c>
      <c r="B6" s="71" t="s">
        <v>2039</v>
      </c>
      <c r="C6" s="72" t="s">
        <v>2031</v>
      </c>
      <c r="D6" s="71" t="s">
        <v>2085</v>
      </c>
      <c r="E6" s="71">
        <f>SUM('[1]Total(Fp)'!G7)</f>
        <v>40</v>
      </c>
      <c r="F6" s="72" t="s">
        <v>2126</v>
      </c>
      <c r="G6" s="74">
        <v>2</v>
      </c>
      <c r="H6" s="72" t="s">
        <v>2127</v>
      </c>
      <c r="I6" s="72" t="s">
        <v>3131</v>
      </c>
      <c r="K6" s="72" t="s">
        <v>2132</v>
      </c>
      <c r="L6" s="57" t="s">
        <v>1017</v>
      </c>
      <c r="N6" s="57">
        <f>SUM('[1]Total(Fp)'!P7)</f>
        <v>12</v>
      </c>
      <c r="O6" s="57">
        <f>SUM('[1]Total(Fp)'!Q7)</f>
        <v>0</v>
      </c>
      <c r="P6" s="57">
        <f>SUM('[1]Total(Fp)'!O7)</f>
        <v>28</v>
      </c>
      <c r="Q6" s="57" t="str">
        <f t="shared" si="0"/>
        <v>🟡 MEDIUM</v>
      </c>
    </row>
    <row r="7" spans="1:28" ht="207.6" customHeight="1">
      <c r="A7" s="56" t="s">
        <v>17</v>
      </c>
      <c r="B7" s="71" t="s">
        <v>2040</v>
      </c>
      <c r="C7" s="72" t="s">
        <v>2031</v>
      </c>
      <c r="D7" s="71" t="s">
        <v>2033</v>
      </c>
      <c r="E7" s="71">
        <f>SUM('[1]Total(Fp)'!G8)</f>
        <v>54</v>
      </c>
      <c r="F7" s="72" t="s">
        <v>2126</v>
      </c>
      <c r="G7" s="74">
        <v>2</v>
      </c>
      <c r="H7" s="72" t="s">
        <v>2127</v>
      </c>
      <c r="I7" s="72" t="s">
        <v>3132</v>
      </c>
      <c r="K7" s="72" t="s">
        <v>2133</v>
      </c>
      <c r="L7" s="57" t="s">
        <v>1018</v>
      </c>
      <c r="N7" s="57">
        <f>SUM('[1]Total(Fp)'!P8)</f>
        <v>11</v>
      </c>
      <c r="O7" s="57">
        <f>SUM('[1]Total(Fp)'!Q8)</f>
        <v>0</v>
      </c>
      <c r="P7" s="57">
        <f>SUM('[1]Total(Fp)'!O8)</f>
        <v>43</v>
      </c>
      <c r="Q7" s="57" t="str">
        <f t="shared" si="0"/>
        <v>🟢 GOOD</v>
      </c>
    </row>
    <row r="8" spans="1:28" ht="207.6" customHeight="1">
      <c r="A8" s="56" t="s">
        <v>18</v>
      </c>
      <c r="B8" s="71" t="s">
        <v>2041</v>
      </c>
      <c r="C8" s="72" t="s">
        <v>2031</v>
      </c>
      <c r="D8" s="71" t="s">
        <v>2086</v>
      </c>
      <c r="E8" s="71">
        <f>SUM('[1]Total(Fp)'!G9)</f>
        <v>56</v>
      </c>
      <c r="F8" s="72" t="s">
        <v>2126</v>
      </c>
      <c r="G8" s="74">
        <v>2</v>
      </c>
      <c r="H8" s="72" t="s">
        <v>2127</v>
      </c>
      <c r="I8" s="72" t="s">
        <v>3133</v>
      </c>
      <c r="K8" s="72" t="s">
        <v>2134</v>
      </c>
      <c r="L8" s="57" t="s">
        <v>1019</v>
      </c>
      <c r="N8" s="57">
        <f>SUM('[1]Total(Fp)'!P9)</f>
        <v>13</v>
      </c>
      <c r="O8" s="57">
        <f>SUM('[1]Total(Fp)'!Q9)</f>
        <v>0</v>
      </c>
      <c r="P8" s="57">
        <f>SUM('[1]Total(Fp)'!O9)</f>
        <v>43</v>
      </c>
      <c r="Q8" s="57" t="str">
        <f t="shared" si="0"/>
        <v>🟢 GOOD</v>
      </c>
    </row>
    <row r="9" spans="1:28" ht="207.6" customHeight="1">
      <c r="A9" s="56" t="s">
        <v>19</v>
      </c>
      <c r="B9" s="71" t="s">
        <v>2042</v>
      </c>
      <c r="C9" s="72" t="s">
        <v>2031</v>
      </c>
      <c r="D9" s="71" t="s">
        <v>2087</v>
      </c>
      <c r="E9" s="71">
        <f>SUM('[1]Total(Fp)'!G10)</f>
        <v>47</v>
      </c>
      <c r="F9" s="72" t="s">
        <v>2126</v>
      </c>
      <c r="G9" s="74">
        <v>4</v>
      </c>
      <c r="H9" s="72" t="s">
        <v>2127</v>
      </c>
      <c r="K9" s="72" t="s">
        <v>2135</v>
      </c>
      <c r="L9" s="57" t="s">
        <v>1020</v>
      </c>
      <c r="N9" s="57">
        <f>SUM('[1]Total(Fp)'!P10)</f>
        <v>14</v>
      </c>
      <c r="O9" s="57">
        <f>SUM('[1]Total(Fp)'!Q10)</f>
        <v>3</v>
      </c>
      <c r="P9" s="57">
        <f>SUM('[1]Total(Fp)'!O10)</f>
        <v>30</v>
      </c>
      <c r="Q9" s="57" t="str">
        <f t="shared" si="0"/>
        <v>🟡 MEDIUM</v>
      </c>
      <c r="W9" s="75" t="s">
        <v>3137</v>
      </c>
    </row>
    <row r="10" spans="1:28" ht="207.6" customHeight="1">
      <c r="A10" s="56" t="s">
        <v>20</v>
      </c>
      <c r="B10" s="71" t="s">
        <v>2043</v>
      </c>
      <c r="C10" s="72" t="s">
        <v>2031</v>
      </c>
      <c r="D10" s="71" t="s">
        <v>2088</v>
      </c>
      <c r="E10" s="71">
        <f>SUM('[1]Total(Fp)'!G11)</f>
        <v>20</v>
      </c>
      <c r="F10" s="72" t="s">
        <v>2126</v>
      </c>
      <c r="G10" s="74">
        <v>3</v>
      </c>
      <c r="H10" s="72" t="s">
        <v>2127</v>
      </c>
      <c r="K10" s="72" t="s">
        <v>2136</v>
      </c>
      <c r="L10" s="70" t="s">
        <v>1021</v>
      </c>
      <c r="N10" s="57">
        <f>SUM('[1]Total(Fp)'!P11)</f>
        <v>4</v>
      </c>
      <c r="O10" s="57">
        <f>SUM('[1]Total(Fp)'!Q11)</f>
        <v>0</v>
      </c>
      <c r="P10" s="57">
        <f>SUM('[1]Total(Fp)'!O11)</f>
        <v>16</v>
      </c>
      <c r="Q10" s="57" t="str">
        <f t="shared" si="0"/>
        <v>🟡 MEDIUM</v>
      </c>
    </row>
    <row r="11" spans="1:28" ht="207.6" customHeight="1">
      <c r="A11" s="56" t="s">
        <v>21</v>
      </c>
      <c r="B11" s="71" t="s">
        <v>2044</v>
      </c>
      <c r="C11" s="72" t="s">
        <v>2031</v>
      </c>
      <c r="D11" s="71" t="s">
        <v>2088</v>
      </c>
      <c r="E11" s="71">
        <f>SUM('[1]Total(Fp)'!G12)</f>
        <v>76</v>
      </c>
      <c r="F11" s="72" t="s">
        <v>2126</v>
      </c>
      <c r="G11" s="74">
        <v>2</v>
      </c>
      <c r="H11" s="72" t="s">
        <v>2127</v>
      </c>
      <c r="K11" s="72" t="s">
        <v>2137</v>
      </c>
      <c r="L11" s="70" t="s">
        <v>1022</v>
      </c>
      <c r="N11" s="57">
        <f>SUM('[1]Total(Fp)'!P12)</f>
        <v>16</v>
      </c>
      <c r="O11" s="57">
        <f>SUM('[1]Total(Fp)'!Q12)</f>
        <v>19</v>
      </c>
      <c r="P11" s="57">
        <f>SUM('[1]Total(Fp)'!O12)</f>
        <v>41</v>
      </c>
      <c r="Q11" s="57" t="str">
        <f t="shared" si="0"/>
        <v>🟢 GOOD</v>
      </c>
    </row>
    <row r="12" spans="1:28" ht="207.6" customHeight="1">
      <c r="A12" s="56" t="s">
        <v>22</v>
      </c>
      <c r="B12" s="71" t="s">
        <v>2045</v>
      </c>
      <c r="C12" s="72" t="s">
        <v>2031</v>
      </c>
      <c r="D12" s="71" t="s">
        <v>2089</v>
      </c>
      <c r="E12" s="71">
        <f>SUM('[1]Total(Fp)'!G13)</f>
        <v>6</v>
      </c>
      <c r="F12" s="72" t="s">
        <v>2126</v>
      </c>
      <c r="G12" s="74">
        <v>3</v>
      </c>
      <c r="H12" s="72" t="s">
        <v>2127</v>
      </c>
      <c r="K12" s="72" t="s">
        <v>2138</v>
      </c>
      <c r="L12" s="57" t="s">
        <v>1023</v>
      </c>
      <c r="N12" s="57">
        <f>SUM('[1]Total(Fp)'!P13)</f>
        <v>0</v>
      </c>
      <c r="O12" s="57">
        <f>SUM('[1]Total(Fp)'!Q13)</f>
        <v>0</v>
      </c>
      <c r="P12" s="57">
        <f>SUM('[1]Total(Fp)'!O13)</f>
        <v>6</v>
      </c>
      <c r="Q12" s="57" t="str">
        <f t="shared" si="0"/>
        <v>🔴 LOW</v>
      </c>
    </row>
    <row r="13" spans="1:28" ht="207.6" customHeight="1">
      <c r="A13" s="56" t="s">
        <v>23</v>
      </c>
      <c r="B13" s="71" t="s">
        <v>2046</v>
      </c>
      <c r="C13" s="72" t="s">
        <v>2031</v>
      </c>
      <c r="D13" s="71" t="s">
        <v>2090</v>
      </c>
      <c r="E13" s="71">
        <f>SUM('[1]Total(Fp)'!G14)</f>
        <v>39</v>
      </c>
      <c r="F13" s="72" t="s">
        <v>2126</v>
      </c>
      <c r="G13" s="74">
        <v>4</v>
      </c>
      <c r="H13" s="72" t="s">
        <v>2127</v>
      </c>
      <c r="K13" s="72" t="s">
        <v>2139</v>
      </c>
      <c r="L13" s="57" t="s">
        <v>1024</v>
      </c>
      <c r="N13" s="57">
        <f>SUM('[1]Total(Fp)'!P14)</f>
        <v>7</v>
      </c>
      <c r="O13" s="57">
        <f>SUM('[1]Total(Fp)'!Q14)</f>
        <v>0</v>
      </c>
      <c r="P13" s="57">
        <f>SUM('[1]Total(Fp)'!O14)</f>
        <v>32</v>
      </c>
      <c r="Q13" s="57" t="str">
        <f t="shared" si="0"/>
        <v>🟡 MEDIUM</v>
      </c>
    </row>
    <row r="14" spans="1:28" ht="207.6" customHeight="1">
      <c r="A14" s="56" t="s">
        <v>24</v>
      </c>
      <c r="B14" s="71" t="s">
        <v>2047</v>
      </c>
      <c r="C14" s="72" t="s">
        <v>2031</v>
      </c>
      <c r="D14" s="71" t="s">
        <v>2091</v>
      </c>
      <c r="E14" s="71">
        <f>SUM('[1]Total(Fp)'!G15)</f>
        <v>43</v>
      </c>
      <c r="F14" s="72" t="s">
        <v>2126</v>
      </c>
      <c r="G14" s="74">
        <v>5</v>
      </c>
      <c r="H14" s="72" t="s">
        <v>2127</v>
      </c>
      <c r="K14" s="72" t="s">
        <v>2140</v>
      </c>
      <c r="L14" s="57" t="s">
        <v>1025</v>
      </c>
      <c r="N14" s="57">
        <f>SUM('[1]Total(Fp)'!P15)</f>
        <v>4</v>
      </c>
      <c r="O14" s="57">
        <f>SUM('[1]Total(Fp)'!Q15)</f>
        <v>0</v>
      </c>
      <c r="P14" s="57">
        <f>SUM('[1]Total(Fp)'!O15)</f>
        <v>39</v>
      </c>
      <c r="Q14" s="57" t="str">
        <f t="shared" si="0"/>
        <v>🟡 MEDIUM</v>
      </c>
    </row>
    <row r="15" spans="1:28" ht="207.6" customHeight="1">
      <c r="A15" s="56" t="s">
        <v>25</v>
      </c>
      <c r="B15" s="71" t="s">
        <v>2048</v>
      </c>
      <c r="C15" s="72" t="s">
        <v>2031</v>
      </c>
      <c r="D15" s="71" t="s">
        <v>2092</v>
      </c>
      <c r="E15" s="71">
        <f>SUM('[1]Total(Fp)'!G16)</f>
        <v>14</v>
      </c>
      <c r="F15" s="72" t="s">
        <v>2126</v>
      </c>
      <c r="G15" s="74">
        <v>4</v>
      </c>
      <c r="H15" s="72" t="s">
        <v>2127</v>
      </c>
      <c r="K15" s="72" t="s">
        <v>2141</v>
      </c>
      <c r="L15" s="57" t="s">
        <v>1026</v>
      </c>
      <c r="N15" s="57">
        <f>SUM('[1]Total(Fp)'!P16)</f>
        <v>4</v>
      </c>
      <c r="O15" s="57">
        <f>SUM('[1]Total(Fp)'!Q16)</f>
        <v>0</v>
      </c>
      <c r="P15" s="57">
        <f>SUM('[1]Total(Fp)'!O16)</f>
        <v>10</v>
      </c>
      <c r="Q15" s="57" t="str">
        <f t="shared" si="0"/>
        <v>🟡 MEDIUM</v>
      </c>
    </row>
    <row r="16" spans="1:28" ht="207.6" customHeight="1">
      <c r="A16" s="56" t="s">
        <v>26</v>
      </c>
      <c r="B16" s="71" t="s">
        <v>2049</v>
      </c>
      <c r="C16" s="72" t="s">
        <v>2031</v>
      </c>
      <c r="D16" s="71" t="s">
        <v>2093</v>
      </c>
      <c r="E16" s="71">
        <f>SUM('[1]Total(Fp)'!G17)</f>
        <v>68</v>
      </c>
      <c r="F16" s="72" t="s">
        <v>2126</v>
      </c>
      <c r="G16" s="74">
        <v>5</v>
      </c>
      <c r="H16" s="72" t="s">
        <v>2127</v>
      </c>
      <c r="K16" s="72" t="s">
        <v>2142</v>
      </c>
      <c r="L16" s="57" t="s">
        <v>1027</v>
      </c>
      <c r="N16" s="57">
        <f>SUM('[1]Total(Fp)'!P17)</f>
        <v>8</v>
      </c>
      <c r="O16" s="57">
        <f>SUM('[1]Total(Fp)'!Q17)</f>
        <v>0</v>
      </c>
      <c r="P16" s="57">
        <f>SUM('[1]Total(Fp)'!O17)</f>
        <v>60</v>
      </c>
      <c r="Q16" s="57" t="str">
        <f t="shared" si="0"/>
        <v>🟢 GOOD</v>
      </c>
    </row>
    <row r="17" spans="1:17" ht="207.6" customHeight="1">
      <c r="A17" s="56" t="s">
        <v>27</v>
      </c>
      <c r="B17" s="71" t="s">
        <v>2050</v>
      </c>
      <c r="C17" s="72" t="s">
        <v>2031</v>
      </c>
      <c r="D17" s="71" t="s">
        <v>2094</v>
      </c>
      <c r="E17" s="71">
        <f>SUM('[1]Total(Fp)'!G18)</f>
        <v>103</v>
      </c>
      <c r="F17" s="72" t="s">
        <v>2126</v>
      </c>
      <c r="G17" s="74">
        <v>6</v>
      </c>
      <c r="H17" s="72" t="s">
        <v>2127</v>
      </c>
      <c r="K17" s="72" t="s">
        <v>2143</v>
      </c>
      <c r="L17" s="57" t="s">
        <v>1028</v>
      </c>
      <c r="N17" s="57">
        <f>SUM('[1]Total(Fp)'!P18)</f>
        <v>27</v>
      </c>
      <c r="O17" s="57">
        <f>SUM('[1]Total(Fp)'!Q18)</f>
        <v>0</v>
      </c>
      <c r="P17" s="57">
        <f>SUM('[1]Total(Fp)'!O18)</f>
        <v>76</v>
      </c>
      <c r="Q17" s="57" t="str">
        <f t="shared" si="0"/>
        <v>🟢 GOOD</v>
      </c>
    </row>
    <row r="18" spans="1:17" ht="207.6" customHeight="1">
      <c r="A18" s="56" t="s">
        <v>28</v>
      </c>
      <c r="B18" s="71" t="s">
        <v>2051</v>
      </c>
      <c r="C18" s="72" t="s">
        <v>2031</v>
      </c>
      <c r="D18" s="71" t="s">
        <v>2095</v>
      </c>
      <c r="E18" s="71">
        <f>SUM('[1]Total(Fp)'!G19)</f>
        <v>0</v>
      </c>
      <c r="F18" s="72" t="s">
        <v>2126</v>
      </c>
      <c r="G18" s="74">
        <v>10</v>
      </c>
      <c r="H18" s="72" t="s">
        <v>2127</v>
      </c>
      <c r="K18" s="72" t="s">
        <v>2144</v>
      </c>
      <c r="L18" s="57" t="s">
        <v>1029</v>
      </c>
      <c r="N18" s="57">
        <f>SUM('[1]Total(Fp)'!P19)</f>
        <v>0</v>
      </c>
      <c r="O18" s="57">
        <f>SUM('[1]Total(Fp)'!Q19)</f>
        <v>0</v>
      </c>
      <c r="P18" s="57">
        <f>SUM('[1]Total(Fp)'!O19)</f>
        <v>0</v>
      </c>
      <c r="Q18" s="57" t="str">
        <f t="shared" si="0"/>
        <v>🔴 LOW</v>
      </c>
    </row>
    <row r="19" spans="1:17" ht="207.6" customHeight="1">
      <c r="A19" s="56" t="s">
        <v>29</v>
      </c>
      <c r="B19" s="71" t="s">
        <v>2052</v>
      </c>
      <c r="C19" s="72" t="s">
        <v>2031</v>
      </c>
      <c r="D19" s="71" t="s">
        <v>2096</v>
      </c>
      <c r="E19" s="71">
        <f>SUM('[1]Total(Fp)'!G20)</f>
        <v>0</v>
      </c>
      <c r="F19" s="72" t="s">
        <v>2126</v>
      </c>
      <c r="G19" s="74">
        <v>6</v>
      </c>
      <c r="H19" s="72" t="s">
        <v>2127</v>
      </c>
      <c r="K19" s="72" t="s">
        <v>2145</v>
      </c>
      <c r="L19" s="57" t="s">
        <v>1030</v>
      </c>
      <c r="N19" s="57">
        <f>SUM('[1]Total(Fp)'!P20)</f>
        <v>0</v>
      </c>
      <c r="O19" s="57">
        <f>SUM('[1]Total(Fp)'!Q20)</f>
        <v>0</v>
      </c>
      <c r="P19" s="57">
        <f>SUM('[1]Total(Fp)'!O20)</f>
        <v>0</v>
      </c>
      <c r="Q19" s="57" t="str">
        <f t="shared" si="0"/>
        <v>🔴 LOW</v>
      </c>
    </row>
    <row r="20" spans="1:17" ht="207.6" customHeight="1">
      <c r="A20" s="56" t="s">
        <v>30</v>
      </c>
      <c r="B20" s="71" t="s">
        <v>2053</v>
      </c>
      <c r="C20" s="72" t="s">
        <v>2031</v>
      </c>
      <c r="D20" s="71" t="s">
        <v>2097</v>
      </c>
      <c r="E20" s="71">
        <f>SUM('[1]Total(Fp)'!G21)</f>
        <v>40</v>
      </c>
      <c r="F20" s="72" t="s">
        <v>2126</v>
      </c>
      <c r="G20" s="74">
        <v>7</v>
      </c>
      <c r="H20" s="72" t="s">
        <v>2127</v>
      </c>
      <c r="K20" s="72" t="s">
        <v>2146</v>
      </c>
      <c r="L20" s="57" t="s">
        <v>1031</v>
      </c>
      <c r="N20" s="57">
        <f>SUM('[1]Total(Fp)'!P21)</f>
        <v>8</v>
      </c>
      <c r="O20" s="57">
        <f>SUM('[1]Total(Fp)'!Q21)</f>
        <v>0</v>
      </c>
      <c r="P20" s="57">
        <f>SUM('[1]Total(Fp)'!O21)</f>
        <v>32</v>
      </c>
      <c r="Q20" s="57" t="str">
        <f t="shared" si="0"/>
        <v>🟡 MEDIUM</v>
      </c>
    </row>
    <row r="21" spans="1:17" ht="207.6" customHeight="1">
      <c r="A21" s="56" t="s">
        <v>31</v>
      </c>
      <c r="B21" s="71" t="s">
        <v>2054</v>
      </c>
      <c r="C21" s="72" t="s">
        <v>2031</v>
      </c>
      <c r="D21" s="71" t="s">
        <v>2098</v>
      </c>
      <c r="E21" s="71">
        <f>SUM('[1]Total(Fp)'!G22)</f>
        <v>22</v>
      </c>
      <c r="F21" s="72" t="s">
        <v>2126</v>
      </c>
      <c r="G21" s="74">
        <v>7</v>
      </c>
      <c r="H21" s="72" t="s">
        <v>2127</v>
      </c>
      <c r="K21" s="72" t="s">
        <v>2147</v>
      </c>
      <c r="L21" s="57" t="s">
        <v>1032</v>
      </c>
      <c r="N21" s="57">
        <f>SUM('[1]Total(Fp)'!P22)</f>
        <v>2</v>
      </c>
      <c r="O21" s="57">
        <f>SUM('[1]Total(Fp)'!Q22)</f>
        <v>0</v>
      </c>
      <c r="P21" s="57">
        <f>SUM('[1]Total(Fp)'!O22)</f>
        <v>20</v>
      </c>
      <c r="Q21" s="57" t="str">
        <f t="shared" si="0"/>
        <v>🟡 MEDIUM</v>
      </c>
    </row>
    <row r="22" spans="1:17" ht="207.6" customHeight="1">
      <c r="A22" s="56" t="s">
        <v>32</v>
      </c>
      <c r="B22" s="71" t="s">
        <v>2055</v>
      </c>
      <c r="C22" s="72" t="s">
        <v>2031</v>
      </c>
      <c r="D22" s="71" t="s">
        <v>2099</v>
      </c>
      <c r="E22" s="71">
        <f>SUM('[1]Total(Fp)'!G23)</f>
        <v>0</v>
      </c>
      <c r="F22" s="72" t="s">
        <v>2126</v>
      </c>
      <c r="G22" s="74">
        <v>5</v>
      </c>
      <c r="H22" s="72" t="s">
        <v>2127</v>
      </c>
      <c r="K22" s="72" t="s">
        <v>2148</v>
      </c>
      <c r="L22" s="57" t="s">
        <v>1033</v>
      </c>
      <c r="N22" s="57">
        <f>SUM('[1]Total(Fp)'!P23)</f>
        <v>0</v>
      </c>
      <c r="O22" s="57">
        <f>SUM('[1]Total(Fp)'!Q23)</f>
        <v>0</v>
      </c>
      <c r="P22" s="57">
        <f>SUM('[1]Total(Fp)'!O23)</f>
        <v>0</v>
      </c>
      <c r="Q22" s="57" t="str">
        <f t="shared" si="0"/>
        <v>🔴 LOW</v>
      </c>
    </row>
    <row r="23" spans="1:17" ht="207.6" customHeight="1">
      <c r="A23" s="56" t="s">
        <v>33</v>
      </c>
      <c r="B23" s="71" t="s">
        <v>2056</v>
      </c>
      <c r="C23" s="72" t="s">
        <v>2031</v>
      </c>
      <c r="D23" s="71" t="s">
        <v>2100</v>
      </c>
      <c r="E23" s="71">
        <f>SUM('[1]Total(Fp)'!G24)</f>
        <v>39</v>
      </c>
      <c r="F23" s="72" t="s">
        <v>2126</v>
      </c>
      <c r="G23" s="74">
        <v>7</v>
      </c>
      <c r="H23" s="72" t="s">
        <v>2127</v>
      </c>
      <c r="K23" s="72" t="s">
        <v>2149</v>
      </c>
      <c r="L23" s="57" t="s">
        <v>1034</v>
      </c>
      <c r="N23" s="57">
        <f>SUM('[1]Total(Fp)'!P24)</f>
        <v>8</v>
      </c>
      <c r="O23" s="57">
        <f>SUM('[1]Total(Fp)'!Q24)</f>
        <v>0</v>
      </c>
      <c r="P23" s="57">
        <f>SUM('[1]Total(Fp)'!O24)</f>
        <v>31</v>
      </c>
      <c r="Q23" s="57" t="str">
        <f t="shared" si="0"/>
        <v>🟡 MEDIUM</v>
      </c>
    </row>
    <row r="24" spans="1:17" ht="207.6" customHeight="1">
      <c r="A24" s="56" t="s">
        <v>34</v>
      </c>
      <c r="B24" s="71" t="s">
        <v>2057</v>
      </c>
      <c r="C24" s="72" t="s">
        <v>2031</v>
      </c>
      <c r="D24" s="71" t="s">
        <v>2101</v>
      </c>
      <c r="E24" s="71">
        <f>SUM('[1]Total(Fp)'!G25)</f>
        <v>7</v>
      </c>
      <c r="F24" s="72" t="s">
        <v>2126</v>
      </c>
      <c r="G24" s="74">
        <v>11</v>
      </c>
      <c r="H24" s="72" t="s">
        <v>2127</v>
      </c>
      <c r="K24" s="72" t="s">
        <v>2150</v>
      </c>
      <c r="L24" s="57" t="s">
        <v>1035</v>
      </c>
      <c r="N24" s="57">
        <f>SUM('[1]Total(Fp)'!P25)</f>
        <v>6</v>
      </c>
      <c r="O24" s="57">
        <f>SUM('[1]Total(Fp)'!Q25)</f>
        <v>0</v>
      </c>
      <c r="P24" s="57">
        <f>SUM('[1]Total(Fp)'!O25)</f>
        <v>1</v>
      </c>
      <c r="Q24" s="57" t="str">
        <f t="shared" si="0"/>
        <v>🔴 LOW</v>
      </c>
    </row>
    <row r="25" spans="1:17" ht="207.6" customHeight="1">
      <c r="A25" s="56" t="s">
        <v>35</v>
      </c>
      <c r="B25" s="71" t="s">
        <v>2058</v>
      </c>
      <c r="C25" s="72" t="s">
        <v>2031</v>
      </c>
      <c r="D25" s="71" t="s">
        <v>2102</v>
      </c>
      <c r="E25" s="71">
        <f>SUM('[1]Total(Fp)'!G26)</f>
        <v>36</v>
      </c>
      <c r="F25" s="72" t="s">
        <v>2126</v>
      </c>
      <c r="G25" s="74">
        <v>14</v>
      </c>
      <c r="H25" s="72" t="s">
        <v>2127</v>
      </c>
      <c r="K25" s="72" t="s">
        <v>2151</v>
      </c>
      <c r="L25" s="57" t="s">
        <v>1036</v>
      </c>
      <c r="N25" s="57">
        <f>SUM('[1]Total(Fp)'!P26)</f>
        <v>12</v>
      </c>
      <c r="O25" s="57">
        <f>SUM('[1]Total(Fp)'!Q26)</f>
        <v>0</v>
      </c>
      <c r="P25" s="57">
        <f>SUM('[1]Total(Fp)'!O26)</f>
        <v>24</v>
      </c>
      <c r="Q25" s="57" t="str">
        <f t="shared" si="0"/>
        <v>🟡 MEDIUM</v>
      </c>
    </row>
    <row r="26" spans="1:17" ht="207.6" customHeight="1">
      <c r="A26" s="56" t="s">
        <v>36</v>
      </c>
      <c r="B26" s="71" t="s">
        <v>2059</v>
      </c>
      <c r="C26" s="72" t="s">
        <v>2031</v>
      </c>
      <c r="D26" s="71" t="s">
        <v>2103</v>
      </c>
      <c r="E26" s="71">
        <f>SUM('[1]Total(Fp)'!G27)</f>
        <v>1</v>
      </c>
      <c r="F26" s="72" t="s">
        <v>2126</v>
      </c>
      <c r="G26" s="74">
        <v>15</v>
      </c>
      <c r="H26" s="72" t="s">
        <v>2127</v>
      </c>
      <c r="K26" s="72" t="s">
        <v>2152</v>
      </c>
      <c r="L26" s="57" t="s">
        <v>1037</v>
      </c>
      <c r="N26" s="57">
        <f>SUM('[1]Total(Fp)'!P27)</f>
        <v>0</v>
      </c>
      <c r="O26" s="57">
        <f>SUM('[1]Total(Fp)'!Q27)</f>
        <v>0</v>
      </c>
      <c r="P26" s="57">
        <f>SUM('[1]Total(Fp)'!O27)</f>
        <v>1</v>
      </c>
      <c r="Q26" s="57" t="str">
        <f t="shared" si="0"/>
        <v>🔴 LOW</v>
      </c>
    </row>
    <row r="27" spans="1:17" ht="207.6" customHeight="1">
      <c r="A27" s="56" t="s">
        <v>37</v>
      </c>
      <c r="B27" s="71" t="s">
        <v>2060</v>
      </c>
      <c r="C27" s="72" t="s">
        <v>2031</v>
      </c>
      <c r="D27" s="71" t="s">
        <v>2104</v>
      </c>
      <c r="E27" s="71">
        <f>SUM('[1]Total(Fp)'!G28)</f>
        <v>15</v>
      </c>
      <c r="F27" s="72" t="s">
        <v>2126</v>
      </c>
      <c r="G27" s="74">
        <v>12</v>
      </c>
      <c r="H27" s="72" t="s">
        <v>2127</v>
      </c>
      <c r="K27" s="72" t="s">
        <v>2153</v>
      </c>
      <c r="L27" s="57" t="s">
        <v>1038</v>
      </c>
      <c r="N27" s="57">
        <f>SUM('[1]Total(Fp)'!P28)</f>
        <v>0</v>
      </c>
      <c r="O27" s="57">
        <f>SUM('[1]Total(Fp)'!Q28)</f>
        <v>0</v>
      </c>
      <c r="P27" s="57">
        <f>SUM('[1]Total(Fp)'!O28)</f>
        <v>15</v>
      </c>
      <c r="Q27" s="57" t="str">
        <f t="shared" si="0"/>
        <v>🟡 MEDIUM</v>
      </c>
    </row>
    <row r="28" spans="1:17" ht="207.6" customHeight="1">
      <c r="A28" s="56" t="s">
        <v>38</v>
      </c>
      <c r="B28" s="71" t="s">
        <v>2061</v>
      </c>
      <c r="C28" s="72" t="s">
        <v>2031</v>
      </c>
      <c r="D28" s="71" t="s">
        <v>2105</v>
      </c>
      <c r="E28" s="71">
        <f>SUM('[1]Total(Fp)'!G29)</f>
        <v>0</v>
      </c>
      <c r="F28" s="72" t="s">
        <v>2126</v>
      </c>
      <c r="G28" s="74">
        <v>17</v>
      </c>
      <c r="H28" s="72" t="s">
        <v>2127</v>
      </c>
      <c r="K28" s="72" t="s">
        <v>2154</v>
      </c>
      <c r="L28" s="57" t="s">
        <v>1039</v>
      </c>
      <c r="N28" s="57">
        <f>SUM('[1]Total(Fp)'!P29)</f>
        <v>0</v>
      </c>
      <c r="O28" s="57">
        <f>SUM('[1]Total(Fp)'!Q29)</f>
        <v>0</v>
      </c>
      <c r="P28" s="57">
        <f>SUM('[1]Total(Fp)'!O29)</f>
        <v>0</v>
      </c>
      <c r="Q28" s="57" t="str">
        <f t="shared" si="0"/>
        <v>🔴 LOW</v>
      </c>
    </row>
    <row r="29" spans="1:17" ht="207.6" customHeight="1">
      <c r="A29" s="56" t="s">
        <v>39</v>
      </c>
      <c r="B29" s="71" t="s">
        <v>2062</v>
      </c>
      <c r="C29" s="72" t="s">
        <v>2031</v>
      </c>
      <c r="D29" s="71" t="s">
        <v>2106</v>
      </c>
      <c r="E29" s="71">
        <f>SUM('[1]Total(Fp)'!G30)</f>
        <v>0</v>
      </c>
      <c r="F29" s="72" t="s">
        <v>2126</v>
      </c>
      <c r="G29" s="74">
        <v>25</v>
      </c>
      <c r="H29" s="72" t="s">
        <v>2127</v>
      </c>
      <c r="K29" s="72" t="s">
        <v>2155</v>
      </c>
      <c r="L29" s="57" t="s">
        <v>1040</v>
      </c>
      <c r="N29" s="57">
        <f>SUM('[1]Total(Fp)'!P30)</f>
        <v>0</v>
      </c>
      <c r="O29" s="57">
        <f>SUM('[1]Total(Fp)'!Q30)</f>
        <v>0</v>
      </c>
      <c r="P29" s="57">
        <f>SUM('[1]Total(Fp)'!O30)</f>
        <v>0</v>
      </c>
      <c r="Q29" s="57" t="str">
        <f t="shared" si="0"/>
        <v>🔴 LOW</v>
      </c>
    </row>
    <row r="30" spans="1:17" ht="207.6" customHeight="1">
      <c r="A30" s="56" t="s">
        <v>40</v>
      </c>
      <c r="B30" s="71" t="s">
        <v>2063</v>
      </c>
      <c r="C30" s="72" t="s">
        <v>2031</v>
      </c>
      <c r="D30" s="71" t="s">
        <v>2107</v>
      </c>
      <c r="E30" s="71">
        <f>SUM('[1]Total(Fp)'!G31)</f>
        <v>-15</v>
      </c>
      <c r="F30" s="72" t="s">
        <v>2126</v>
      </c>
      <c r="G30" s="74">
        <v>30</v>
      </c>
      <c r="H30" s="72" t="s">
        <v>2127</v>
      </c>
      <c r="K30" s="72" t="s">
        <v>2156</v>
      </c>
      <c r="L30" s="57" t="s">
        <v>1041</v>
      </c>
      <c r="N30" s="57">
        <f>SUM('[1]Total(Fp)'!P31)</f>
        <v>-9</v>
      </c>
      <c r="O30" s="57">
        <f>SUM('[1]Total(Fp)'!Q31)</f>
        <v>0</v>
      </c>
      <c r="P30" s="57">
        <f>SUM('[1]Total(Fp)'!O31)</f>
        <v>-6</v>
      </c>
      <c r="Q30" s="57" t="str">
        <f t="shared" si="0"/>
        <v>🔴 LOW</v>
      </c>
    </row>
    <row r="31" spans="1:17" ht="207.6" customHeight="1">
      <c r="A31" s="56" t="s">
        <v>41</v>
      </c>
      <c r="B31" s="71" t="s">
        <v>2063</v>
      </c>
      <c r="C31" s="72" t="s">
        <v>2031</v>
      </c>
      <c r="D31" s="71" t="s">
        <v>2103</v>
      </c>
      <c r="E31" s="71">
        <f>SUM('[1]Total(Fp)'!G32)</f>
        <v>38</v>
      </c>
      <c r="F31" s="72" t="s">
        <v>2126</v>
      </c>
      <c r="G31" s="74">
        <v>12</v>
      </c>
      <c r="H31" s="72" t="s">
        <v>2127</v>
      </c>
      <c r="K31" s="72" t="s">
        <v>2157</v>
      </c>
      <c r="L31" s="57" t="s">
        <v>1042</v>
      </c>
      <c r="N31" s="57">
        <f>SUM('[1]Total(Fp)'!P32)</f>
        <v>15</v>
      </c>
      <c r="O31" s="57">
        <f>SUM('[1]Total(Fp)'!Q32)</f>
        <v>0</v>
      </c>
      <c r="P31" s="57">
        <f>SUM('[1]Total(Fp)'!O32)</f>
        <v>23</v>
      </c>
      <c r="Q31" s="57" t="str">
        <f t="shared" si="0"/>
        <v>🟡 MEDIUM</v>
      </c>
    </row>
    <row r="32" spans="1:17" ht="207.6" customHeight="1">
      <c r="A32" s="56" t="s">
        <v>42</v>
      </c>
      <c r="B32" s="71" t="s">
        <v>2064</v>
      </c>
      <c r="C32" s="72" t="s">
        <v>2031</v>
      </c>
      <c r="D32" s="71" t="s">
        <v>2108</v>
      </c>
      <c r="E32" s="71">
        <f>SUM('[1]Total(Fp)'!G33)</f>
        <v>35</v>
      </c>
      <c r="F32" s="72" t="s">
        <v>2126</v>
      </c>
      <c r="G32" s="74">
        <v>2</v>
      </c>
      <c r="H32" s="72" t="s">
        <v>2127</v>
      </c>
      <c r="K32" s="72" t="s">
        <v>2158</v>
      </c>
      <c r="L32" s="70" t="s">
        <v>1043</v>
      </c>
      <c r="N32" s="57">
        <f>SUM('[1]Total(Fp)'!P33)</f>
        <v>4</v>
      </c>
      <c r="O32" s="57">
        <f>SUM('[1]Total(Fp)'!Q33)</f>
        <v>0</v>
      </c>
      <c r="P32" s="57">
        <f>SUM('[1]Total(Fp)'!O33)</f>
        <v>31</v>
      </c>
      <c r="Q32" s="57" t="str">
        <f t="shared" si="0"/>
        <v>🟡 MEDIUM</v>
      </c>
    </row>
    <row r="33" spans="1:17" ht="207.6" customHeight="1">
      <c r="A33" s="56" t="s">
        <v>43</v>
      </c>
      <c r="B33" s="71" t="s">
        <v>2065</v>
      </c>
      <c r="C33" s="72" t="s">
        <v>2031</v>
      </c>
      <c r="D33" s="71" t="s">
        <v>2100</v>
      </c>
      <c r="E33" s="71">
        <f>SUM('[1]Total(Fp)'!G34)</f>
        <v>1</v>
      </c>
      <c r="F33" s="72" t="s">
        <v>2126</v>
      </c>
      <c r="G33" s="74">
        <v>6</v>
      </c>
      <c r="H33" s="72" t="s">
        <v>2127</v>
      </c>
      <c r="K33" s="72" t="s">
        <v>2159</v>
      </c>
      <c r="L33" s="70" t="s">
        <v>1044</v>
      </c>
      <c r="N33" s="57">
        <f>SUM('[1]Total(Fp)'!P34)</f>
        <v>0</v>
      </c>
      <c r="O33" s="57">
        <f>SUM('[1]Total(Fp)'!Q34)</f>
        <v>0</v>
      </c>
      <c r="P33" s="57">
        <f>SUM('[1]Total(Fp)'!O34)</f>
        <v>1</v>
      </c>
      <c r="Q33" s="57" t="str">
        <f t="shared" si="0"/>
        <v>🔴 LOW</v>
      </c>
    </row>
    <row r="34" spans="1:17" ht="207.6" customHeight="1">
      <c r="A34" s="56" t="s">
        <v>44</v>
      </c>
      <c r="B34" s="71" t="s">
        <v>2066</v>
      </c>
      <c r="C34" s="72" t="s">
        <v>2031</v>
      </c>
      <c r="D34" s="71" t="s">
        <v>2109</v>
      </c>
      <c r="E34" s="71">
        <f>SUM('[1]Total(Fp)'!G35)</f>
        <v>82</v>
      </c>
      <c r="F34" s="72" t="s">
        <v>2126</v>
      </c>
      <c r="G34" s="74">
        <v>7</v>
      </c>
      <c r="H34" s="72" t="s">
        <v>2127</v>
      </c>
      <c r="K34" s="72" t="s">
        <v>2160</v>
      </c>
      <c r="L34" s="57" t="s">
        <v>1045</v>
      </c>
      <c r="N34" s="57">
        <f>SUM('[1]Total(Fp)'!P35)</f>
        <v>15</v>
      </c>
      <c r="O34" s="57">
        <f>SUM('[1]Total(Fp)'!Q35)</f>
        <v>5</v>
      </c>
      <c r="P34" s="57">
        <f>SUM('[1]Total(Fp)'!O35)</f>
        <v>62</v>
      </c>
      <c r="Q34" s="57" t="str">
        <f t="shared" si="0"/>
        <v>🟢 GOOD</v>
      </c>
    </row>
    <row r="35" spans="1:17" ht="207.6" customHeight="1">
      <c r="A35" s="56" t="s">
        <v>45</v>
      </c>
      <c r="B35" s="71" t="s">
        <v>2067</v>
      </c>
      <c r="C35" s="72" t="s">
        <v>2031</v>
      </c>
      <c r="D35" s="71" t="s">
        <v>2110</v>
      </c>
      <c r="E35" s="71">
        <f>SUM('[1]Total(Fp)'!G36)</f>
        <v>30</v>
      </c>
      <c r="F35" s="72" t="s">
        <v>2126</v>
      </c>
      <c r="G35" s="74">
        <v>2</v>
      </c>
      <c r="H35" s="72" t="s">
        <v>2127</v>
      </c>
      <c r="K35" s="72" t="s">
        <v>2161</v>
      </c>
      <c r="L35" s="57" t="s">
        <v>1046</v>
      </c>
      <c r="N35" s="57">
        <f>SUM('[1]Total(Fp)'!P36)</f>
        <v>8</v>
      </c>
      <c r="O35" s="57">
        <f>SUM('[1]Total(Fp)'!Q36)</f>
        <v>0</v>
      </c>
      <c r="P35" s="57">
        <f>SUM('[1]Total(Fp)'!O36)</f>
        <v>22</v>
      </c>
      <c r="Q35" s="57" t="str">
        <f t="shared" si="0"/>
        <v>🟡 MEDIUM</v>
      </c>
    </row>
    <row r="36" spans="1:17" ht="207.6" customHeight="1">
      <c r="A36" s="56" t="s">
        <v>46</v>
      </c>
      <c r="B36" s="71" t="s">
        <v>2068</v>
      </c>
      <c r="C36" s="72" t="s">
        <v>2031</v>
      </c>
      <c r="D36" s="71" t="s">
        <v>2111</v>
      </c>
      <c r="E36" s="71">
        <f>SUM('[1]Total(Fp)'!G37)</f>
        <v>104</v>
      </c>
      <c r="F36" s="72" t="s">
        <v>2126</v>
      </c>
      <c r="G36" s="74">
        <v>2</v>
      </c>
      <c r="H36" s="72" t="s">
        <v>2127</v>
      </c>
      <c r="K36" s="72" t="s">
        <v>2162</v>
      </c>
      <c r="L36" s="57" t="s">
        <v>1047</v>
      </c>
      <c r="N36" s="57">
        <f>SUM('[1]Total(Fp)'!P37)</f>
        <v>38</v>
      </c>
      <c r="O36" s="57">
        <f>SUM('[1]Total(Fp)'!Q37)</f>
        <v>0</v>
      </c>
      <c r="P36" s="57">
        <f>SUM('[1]Total(Fp)'!O37)</f>
        <v>66</v>
      </c>
      <c r="Q36" s="57" t="str">
        <f t="shared" si="0"/>
        <v>🟢 GOOD</v>
      </c>
    </row>
    <row r="37" spans="1:17" ht="207.6" customHeight="1">
      <c r="A37" s="56" t="s">
        <v>47</v>
      </c>
      <c r="B37" s="71" t="s">
        <v>2069</v>
      </c>
      <c r="C37" s="72" t="s">
        <v>2031</v>
      </c>
      <c r="D37" s="71" t="s">
        <v>2112</v>
      </c>
      <c r="E37" s="71">
        <f>SUM('[1]Total(Fp)'!G38)</f>
        <v>49</v>
      </c>
      <c r="F37" s="72" t="s">
        <v>2126</v>
      </c>
      <c r="G37" s="74">
        <v>3</v>
      </c>
      <c r="H37" s="72" t="s">
        <v>2127</v>
      </c>
      <c r="K37" s="72" t="s">
        <v>2163</v>
      </c>
      <c r="L37" s="57" t="s">
        <v>1048</v>
      </c>
      <c r="N37" s="57">
        <f>SUM('[1]Total(Fp)'!P38)</f>
        <v>23</v>
      </c>
      <c r="O37" s="57">
        <f>SUM('[1]Total(Fp)'!Q38)</f>
        <v>0</v>
      </c>
      <c r="P37" s="57">
        <f>SUM('[1]Total(Fp)'!O38)</f>
        <v>26</v>
      </c>
      <c r="Q37" s="57" t="str">
        <f t="shared" si="0"/>
        <v>🟡 MEDIUM</v>
      </c>
    </row>
    <row r="38" spans="1:17" ht="207.6" customHeight="1">
      <c r="A38" s="56" t="s">
        <v>48</v>
      </c>
      <c r="B38" s="71" t="s">
        <v>2070</v>
      </c>
      <c r="C38" s="72" t="s">
        <v>2031</v>
      </c>
      <c r="D38" s="71" t="s">
        <v>2113</v>
      </c>
      <c r="E38" s="71">
        <f>SUM('[1]Total(Fp)'!G39)</f>
        <v>53</v>
      </c>
      <c r="F38" s="72" t="s">
        <v>2126</v>
      </c>
      <c r="G38" s="74">
        <v>3</v>
      </c>
      <c r="H38" s="72" t="s">
        <v>2127</v>
      </c>
      <c r="K38" s="72" t="s">
        <v>2164</v>
      </c>
      <c r="L38" s="57" t="s">
        <v>1049</v>
      </c>
      <c r="N38" s="57">
        <f>SUM('[1]Total(Fp)'!P39)</f>
        <v>28</v>
      </c>
      <c r="O38" s="57">
        <f>SUM('[1]Total(Fp)'!Q39)</f>
        <v>0</v>
      </c>
      <c r="P38" s="57">
        <f>SUM('[1]Total(Fp)'!O39)</f>
        <v>25</v>
      </c>
      <c r="Q38" s="57" t="str">
        <f t="shared" si="0"/>
        <v>🟢 GOOD</v>
      </c>
    </row>
    <row r="39" spans="1:17" ht="207.6" customHeight="1">
      <c r="A39" s="56" t="s">
        <v>49</v>
      </c>
      <c r="B39" s="71" t="s">
        <v>2071</v>
      </c>
      <c r="C39" s="72" t="s">
        <v>2031</v>
      </c>
      <c r="D39" s="71" t="s">
        <v>2114</v>
      </c>
      <c r="E39" s="71">
        <f>SUM('[1]Total(Fp)'!G40)</f>
        <v>73</v>
      </c>
      <c r="F39" s="72" t="s">
        <v>2126</v>
      </c>
      <c r="G39" s="74">
        <v>1</v>
      </c>
      <c r="H39" s="72" t="s">
        <v>2127</v>
      </c>
      <c r="K39" s="72" t="s">
        <v>2165</v>
      </c>
      <c r="L39" s="57" t="s">
        <v>1050</v>
      </c>
      <c r="N39" s="57">
        <f>SUM('[1]Total(Fp)'!P40)</f>
        <v>0</v>
      </c>
      <c r="O39" s="57">
        <f>SUM('[1]Total(Fp)'!Q40)</f>
        <v>0</v>
      </c>
      <c r="P39" s="57">
        <f>SUM('[1]Total(Fp)'!O40)</f>
        <v>73</v>
      </c>
      <c r="Q39" s="57" t="str">
        <f t="shared" si="0"/>
        <v>🟢 GOOD</v>
      </c>
    </row>
    <row r="40" spans="1:17" ht="207.6" customHeight="1">
      <c r="A40" s="56" t="s">
        <v>50</v>
      </c>
      <c r="B40" s="71" t="s">
        <v>2072</v>
      </c>
      <c r="C40" s="72" t="s">
        <v>2031</v>
      </c>
      <c r="D40" s="71" t="s">
        <v>2115</v>
      </c>
      <c r="E40" s="71">
        <f>SUM('[1]Total(Fp)'!G41)</f>
        <v>98</v>
      </c>
      <c r="F40" s="72" t="s">
        <v>2126</v>
      </c>
      <c r="G40" s="74">
        <v>1.5</v>
      </c>
      <c r="H40" s="72" t="s">
        <v>2127</v>
      </c>
      <c r="K40" s="72" t="s">
        <v>2166</v>
      </c>
      <c r="L40" s="57" t="s">
        <v>1051</v>
      </c>
      <c r="N40" s="57">
        <f>SUM('[1]Total(Fp)'!P41)</f>
        <v>46</v>
      </c>
      <c r="O40" s="57">
        <f>SUM('[1]Total(Fp)'!Q41)</f>
        <v>17</v>
      </c>
      <c r="P40" s="57">
        <f>SUM('[1]Total(Fp)'!O41)</f>
        <v>35</v>
      </c>
      <c r="Q40" s="57" t="str">
        <f t="shared" si="0"/>
        <v>🟢 GOOD</v>
      </c>
    </row>
    <row r="41" spans="1:17" ht="207.6" customHeight="1">
      <c r="A41" s="56" t="s">
        <v>51</v>
      </c>
      <c r="B41" s="71" t="s">
        <v>2073</v>
      </c>
      <c r="C41" s="72" t="s">
        <v>2031</v>
      </c>
      <c r="D41" s="71" t="s">
        <v>2116</v>
      </c>
      <c r="E41" s="71">
        <f>SUM('[1]Total(Fp)'!G42)</f>
        <v>89</v>
      </c>
      <c r="F41" s="72" t="s">
        <v>2126</v>
      </c>
      <c r="G41" s="74">
        <v>2</v>
      </c>
      <c r="H41" s="72" t="s">
        <v>2127</v>
      </c>
      <c r="K41" s="72" t="s">
        <v>2167</v>
      </c>
      <c r="L41" s="57" t="s">
        <v>1052</v>
      </c>
      <c r="N41" s="57">
        <f>SUM('[1]Total(Fp)'!P42)</f>
        <v>45</v>
      </c>
      <c r="O41" s="57">
        <f>SUM('[1]Total(Fp)'!Q42)</f>
        <v>13</v>
      </c>
      <c r="P41" s="57">
        <f>SUM('[1]Total(Fp)'!O42)</f>
        <v>31</v>
      </c>
      <c r="Q41" s="57" t="str">
        <f t="shared" si="0"/>
        <v>🟢 GOOD</v>
      </c>
    </row>
    <row r="42" spans="1:17" ht="207.6" customHeight="1">
      <c r="A42" s="56" t="s">
        <v>52</v>
      </c>
      <c r="B42" s="71" t="s">
        <v>2074</v>
      </c>
      <c r="C42" s="72" t="s">
        <v>2031</v>
      </c>
      <c r="D42" s="71" t="s">
        <v>2114</v>
      </c>
      <c r="E42" s="71">
        <f>SUM('[1]Total(Fp)'!G43)</f>
        <v>74</v>
      </c>
      <c r="F42" s="72" t="s">
        <v>2126</v>
      </c>
      <c r="G42" s="74">
        <v>1</v>
      </c>
      <c r="H42" s="72" t="s">
        <v>2127</v>
      </c>
      <c r="K42" s="72" t="s">
        <v>2168</v>
      </c>
      <c r="L42" s="57" t="s">
        <v>1053</v>
      </c>
      <c r="N42" s="57">
        <f>SUM('[1]Total(Fp)'!P43)</f>
        <v>0</v>
      </c>
      <c r="O42" s="57">
        <f>SUM('[1]Total(Fp)'!Q43)</f>
        <v>0</v>
      </c>
      <c r="P42" s="57">
        <f>SUM('[1]Total(Fp)'!O43)</f>
        <v>74</v>
      </c>
      <c r="Q42" s="57" t="str">
        <f t="shared" si="0"/>
        <v>🟢 GOOD</v>
      </c>
    </row>
    <row r="43" spans="1:17" ht="207.6" customHeight="1">
      <c r="A43" s="56" t="s">
        <v>53</v>
      </c>
      <c r="B43" s="71" t="s">
        <v>2075</v>
      </c>
      <c r="C43" s="72" t="s">
        <v>2031</v>
      </c>
      <c r="D43" s="71" t="s">
        <v>2117</v>
      </c>
      <c r="E43" s="71">
        <f>SUM('[1]Total(Fp)'!G44)</f>
        <v>16</v>
      </c>
      <c r="F43" s="72" t="s">
        <v>2126</v>
      </c>
      <c r="G43" s="74">
        <v>1.5</v>
      </c>
      <c r="H43" s="72" t="s">
        <v>2127</v>
      </c>
      <c r="K43" s="72" t="s">
        <v>2169</v>
      </c>
      <c r="L43" s="57" t="s">
        <v>1054</v>
      </c>
      <c r="N43" s="57">
        <f>SUM('[1]Total(Fp)'!P44)</f>
        <v>12</v>
      </c>
      <c r="O43" s="57">
        <f>SUM('[1]Total(Fp)'!Q44)</f>
        <v>0</v>
      </c>
      <c r="P43" s="57">
        <f>SUM('[1]Total(Fp)'!O44)</f>
        <v>4</v>
      </c>
      <c r="Q43" s="57" t="str">
        <f t="shared" si="0"/>
        <v>🟡 MEDIUM</v>
      </c>
    </row>
    <row r="44" spans="1:17" ht="207.6" customHeight="1">
      <c r="A44" s="56" t="s">
        <v>54</v>
      </c>
      <c r="B44" s="71" t="s">
        <v>2076</v>
      </c>
      <c r="C44" s="72" t="s">
        <v>2031</v>
      </c>
      <c r="D44" s="71" t="s">
        <v>2118</v>
      </c>
      <c r="E44" s="71">
        <f>SUM('[1]Total(Fp)'!G45)</f>
        <v>13</v>
      </c>
      <c r="F44" s="72" t="s">
        <v>2126</v>
      </c>
      <c r="G44" s="74">
        <v>2</v>
      </c>
      <c r="H44" s="72" t="s">
        <v>2127</v>
      </c>
      <c r="K44" s="72" t="s">
        <v>2170</v>
      </c>
      <c r="L44" s="57" t="s">
        <v>1055</v>
      </c>
      <c r="N44" s="57">
        <f>SUM('[1]Total(Fp)'!P45)</f>
        <v>8</v>
      </c>
      <c r="O44" s="57">
        <f>SUM('[1]Total(Fp)'!Q45)</f>
        <v>0</v>
      </c>
      <c r="P44" s="57">
        <f>SUM('[1]Total(Fp)'!O45)</f>
        <v>5</v>
      </c>
      <c r="Q44" s="57" t="str">
        <f t="shared" si="0"/>
        <v>🟡 MEDIUM</v>
      </c>
    </row>
    <row r="45" spans="1:17" ht="207.6" customHeight="1">
      <c r="A45" s="56" t="s">
        <v>55</v>
      </c>
      <c r="B45" s="71" t="s">
        <v>2077</v>
      </c>
      <c r="C45" s="72" t="s">
        <v>2031</v>
      </c>
      <c r="D45" s="71" t="s">
        <v>2119</v>
      </c>
      <c r="E45" s="71">
        <f>SUM('[1]Total(Fp)'!G46)</f>
        <v>26</v>
      </c>
      <c r="F45" s="72" t="s">
        <v>2126</v>
      </c>
      <c r="G45" s="74">
        <v>2.5</v>
      </c>
      <c r="H45" s="72" t="s">
        <v>2127</v>
      </c>
      <c r="K45" s="72" t="s">
        <v>2171</v>
      </c>
      <c r="L45" s="57" t="s">
        <v>1056</v>
      </c>
      <c r="N45" s="57">
        <f>SUM('[1]Total(Fp)'!P46)</f>
        <v>21</v>
      </c>
      <c r="O45" s="57">
        <f>SUM('[1]Total(Fp)'!Q46)</f>
        <v>0</v>
      </c>
      <c r="P45" s="57">
        <f>SUM('[1]Total(Fp)'!O46)</f>
        <v>5</v>
      </c>
      <c r="Q45" s="57" t="str">
        <f t="shared" si="0"/>
        <v>🟡 MEDIUM</v>
      </c>
    </row>
    <row r="46" spans="1:17" ht="207.6" customHeight="1">
      <c r="A46" s="56" t="s">
        <v>56</v>
      </c>
      <c r="B46" s="71" t="s">
        <v>2078</v>
      </c>
      <c r="C46" s="72" t="s">
        <v>2031</v>
      </c>
      <c r="D46" s="71" t="s">
        <v>2120</v>
      </c>
      <c r="E46" s="71">
        <f>SUM('[1]Total(Fp)'!G47)</f>
        <v>70</v>
      </c>
      <c r="F46" s="72" t="s">
        <v>2126</v>
      </c>
      <c r="G46" s="74">
        <v>1.5</v>
      </c>
      <c r="H46" s="72" t="s">
        <v>2127</v>
      </c>
      <c r="K46" s="72" t="s">
        <v>2172</v>
      </c>
      <c r="L46" s="57" t="s">
        <v>1057</v>
      </c>
      <c r="N46" s="57">
        <f>SUM('[1]Total(Fp)'!P47)</f>
        <v>65</v>
      </c>
      <c r="O46" s="57">
        <f>SUM('[1]Total(Fp)'!Q47)</f>
        <v>0</v>
      </c>
      <c r="P46" s="57">
        <f>SUM('[1]Total(Fp)'!O47)</f>
        <v>5</v>
      </c>
      <c r="Q46" s="57" t="str">
        <f t="shared" si="0"/>
        <v>🟢 GOOD</v>
      </c>
    </row>
    <row r="47" spans="1:17" ht="207.6" customHeight="1">
      <c r="A47" s="56" t="s">
        <v>57</v>
      </c>
      <c r="B47" s="71" t="s">
        <v>2079</v>
      </c>
      <c r="C47" s="72" t="s">
        <v>2031</v>
      </c>
      <c r="D47" s="71" t="s">
        <v>2121</v>
      </c>
      <c r="E47" s="71">
        <f>SUM('[1]Total(Fp)'!G48)</f>
        <v>20</v>
      </c>
      <c r="F47" s="72" t="s">
        <v>2126</v>
      </c>
      <c r="G47" s="74">
        <v>1</v>
      </c>
      <c r="H47" s="72" t="s">
        <v>2127</v>
      </c>
      <c r="K47" s="72" t="s">
        <v>2173</v>
      </c>
      <c r="L47" s="57" t="s">
        <v>1058</v>
      </c>
      <c r="N47" s="57">
        <f>SUM('[1]Total(Fp)'!P48)</f>
        <v>0</v>
      </c>
      <c r="O47" s="57">
        <f>SUM('[1]Total(Fp)'!Q48)</f>
        <v>0</v>
      </c>
      <c r="P47" s="57">
        <f>SUM('[1]Total(Fp)'!O48)</f>
        <v>20</v>
      </c>
      <c r="Q47" s="57" t="str">
        <f t="shared" si="0"/>
        <v>🟡 MEDIUM</v>
      </c>
    </row>
    <row r="48" spans="1:17" ht="207.6" customHeight="1">
      <c r="A48" s="56" t="s">
        <v>58</v>
      </c>
      <c r="B48" s="71" t="s">
        <v>2080</v>
      </c>
      <c r="C48" s="72" t="s">
        <v>2031</v>
      </c>
      <c r="D48" s="71" t="s">
        <v>2125</v>
      </c>
      <c r="E48" s="71">
        <f>SUM('[1]Total(Fp)'!G49)</f>
        <v>186</v>
      </c>
      <c r="F48" s="72" t="s">
        <v>2126</v>
      </c>
      <c r="G48" s="74">
        <v>1.5</v>
      </c>
      <c r="H48" s="72" t="s">
        <v>2127</v>
      </c>
      <c r="K48" s="72" t="s">
        <v>2174</v>
      </c>
      <c r="L48" s="57" t="s">
        <v>1059</v>
      </c>
      <c r="N48" s="57">
        <f>SUM('[1]Total(Fp)'!P49)</f>
        <v>186</v>
      </c>
      <c r="O48" s="57">
        <f>SUM('[1]Total(Fp)'!Q49)</f>
        <v>0</v>
      </c>
      <c r="P48" s="57">
        <f>SUM('[1]Total(Fp)'!O49)</f>
        <v>0</v>
      </c>
      <c r="Q48" s="57" t="str">
        <f t="shared" si="0"/>
        <v>🟢 GOOD</v>
      </c>
    </row>
    <row r="49" spans="1:17" ht="207.6" customHeight="1">
      <c r="A49" s="56" t="s">
        <v>59</v>
      </c>
      <c r="B49" s="71" t="s">
        <v>2081</v>
      </c>
      <c r="C49" s="72" t="s">
        <v>2031</v>
      </c>
      <c r="D49" s="71" t="s">
        <v>2122</v>
      </c>
      <c r="E49" s="71">
        <f>SUM('[1]Total(Fp)'!G50)</f>
        <v>71</v>
      </c>
      <c r="F49" s="72" t="s">
        <v>2126</v>
      </c>
      <c r="G49" s="74">
        <v>1</v>
      </c>
      <c r="H49" s="72" t="s">
        <v>2127</v>
      </c>
      <c r="K49" s="72" t="s">
        <v>2175</v>
      </c>
      <c r="L49" s="57" t="s">
        <v>1060</v>
      </c>
      <c r="N49" s="57">
        <f>SUM('[1]Total(Fp)'!P50)</f>
        <v>25</v>
      </c>
      <c r="O49" s="57">
        <f>SUM('[1]Total(Fp)'!Q50)</f>
        <v>0</v>
      </c>
      <c r="P49" s="57">
        <f>SUM('[1]Total(Fp)'!O50)</f>
        <v>46</v>
      </c>
      <c r="Q49" s="57" t="str">
        <f t="shared" si="0"/>
        <v>🟢 GOOD</v>
      </c>
    </row>
    <row r="50" spans="1:17" ht="207.6" customHeight="1">
      <c r="A50" s="56" t="s">
        <v>60</v>
      </c>
      <c r="B50" s="71" t="s">
        <v>2082</v>
      </c>
      <c r="C50" s="72" t="s">
        <v>2031</v>
      </c>
      <c r="D50" s="71" t="s">
        <v>2123</v>
      </c>
      <c r="E50" s="71">
        <f>SUM('[1]Total(Fp)'!G51)</f>
        <v>64</v>
      </c>
      <c r="F50" s="72" t="s">
        <v>2126</v>
      </c>
      <c r="G50" s="74">
        <v>1</v>
      </c>
      <c r="H50" s="72" t="s">
        <v>2127</v>
      </c>
      <c r="K50" s="72" t="s">
        <v>2176</v>
      </c>
      <c r="L50" s="57" t="s">
        <v>1061</v>
      </c>
      <c r="N50" s="57">
        <f>SUM('[1]Total(Fp)'!P51)</f>
        <v>22</v>
      </c>
      <c r="O50" s="57">
        <f>SUM('[1]Total(Fp)'!Q51)</f>
        <v>0</v>
      </c>
      <c r="P50" s="57">
        <f>SUM('[1]Total(Fp)'!O51)</f>
        <v>42</v>
      </c>
      <c r="Q50" s="57" t="str">
        <f t="shared" si="0"/>
        <v>🟢 GOOD</v>
      </c>
    </row>
    <row r="51" spans="1:17" ht="207.6" customHeight="1">
      <c r="A51" s="56" t="s">
        <v>61</v>
      </c>
      <c r="B51" s="71" t="s">
        <v>2083</v>
      </c>
      <c r="C51" s="72" t="s">
        <v>2031</v>
      </c>
      <c r="D51" s="71" t="s">
        <v>2124</v>
      </c>
      <c r="E51" s="71">
        <f>SUM('[1]Total(Fp)'!G52)</f>
        <v>24</v>
      </c>
      <c r="F51" s="72" t="s">
        <v>2126</v>
      </c>
      <c r="G51" s="74">
        <v>1</v>
      </c>
      <c r="H51" s="72" t="s">
        <v>2127</v>
      </c>
      <c r="K51" s="72" t="s">
        <v>2177</v>
      </c>
      <c r="L51" s="57" t="s">
        <v>1062</v>
      </c>
      <c r="N51" s="57">
        <f>SUM('[1]Total(Fp)'!P52)</f>
        <v>4</v>
      </c>
      <c r="O51" s="57">
        <f>SUM('[1]Total(Fp)'!Q52)</f>
        <v>0</v>
      </c>
      <c r="P51" s="57">
        <f>SUM('[1]Total(Fp)'!O52)</f>
        <v>20</v>
      </c>
      <c r="Q51" s="57" t="str">
        <f t="shared" si="0"/>
        <v>🟡 MEDIUM</v>
      </c>
    </row>
    <row r="52" spans="1:17" ht="207.6" customHeight="1">
      <c r="A52" s="56" t="s">
        <v>62</v>
      </c>
      <c r="B52" s="73" t="s">
        <v>3147</v>
      </c>
      <c r="C52" s="72" t="s">
        <v>2015</v>
      </c>
      <c r="E52" s="72">
        <f>SUMIF(History1!B:B, A52, History1!C:C)</f>
        <v>34</v>
      </c>
      <c r="K52" s="72" t="s">
        <v>3138</v>
      </c>
      <c r="L52" s="70" t="s">
        <v>1063</v>
      </c>
      <c r="Q52" s="57" t="str">
        <f t="shared" si="0"/>
        <v>🟡 MEDIUM</v>
      </c>
    </row>
    <row r="53" spans="1:17" ht="207.6" customHeight="1">
      <c r="A53" s="56" t="s">
        <v>63</v>
      </c>
      <c r="E53" s="72">
        <f>SUMIF(History1!B:B, A53, History1!C:C)</f>
        <v>0</v>
      </c>
      <c r="K53" s="72" t="s">
        <v>2178</v>
      </c>
      <c r="L53" s="70" t="s">
        <v>1064</v>
      </c>
      <c r="Q53" s="57" t="str">
        <f t="shared" si="0"/>
        <v>🔴 LOW</v>
      </c>
    </row>
    <row r="54" spans="1:17" ht="207.6" customHeight="1">
      <c r="A54" s="56" t="s">
        <v>64</v>
      </c>
      <c r="E54" s="72">
        <f>SUMIF(History1!B:B, A54, History1!C:C)</f>
        <v>0</v>
      </c>
      <c r="K54" s="72" t="s">
        <v>2179</v>
      </c>
      <c r="L54" s="57" t="s">
        <v>1065</v>
      </c>
      <c r="Q54" s="57" t="str">
        <f t="shared" si="0"/>
        <v>🔴 LOW</v>
      </c>
    </row>
    <row r="55" spans="1:17" ht="207.6" customHeight="1">
      <c r="A55" s="56" t="s">
        <v>65</v>
      </c>
      <c r="E55" s="72">
        <f>SUMIF(History1!B:B, A55, History1!C:C)</f>
        <v>0</v>
      </c>
      <c r="K55" s="72" t="s">
        <v>2180</v>
      </c>
      <c r="L55" s="57" t="s">
        <v>1066</v>
      </c>
      <c r="Q55" s="57" t="str">
        <f t="shared" si="0"/>
        <v>🔴 LOW</v>
      </c>
    </row>
    <row r="56" spans="1:17" ht="207.6" customHeight="1">
      <c r="A56" s="56" t="s">
        <v>66</v>
      </c>
      <c r="E56" s="72">
        <f>SUMIF(History1!B:B, A56, History1!C:C)</f>
        <v>0</v>
      </c>
      <c r="K56" s="72" t="s">
        <v>2181</v>
      </c>
      <c r="L56" s="70" t="s">
        <v>1067</v>
      </c>
      <c r="Q56" s="57" t="str">
        <f t="shared" si="0"/>
        <v>🔴 LOW</v>
      </c>
    </row>
    <row r="57" spans="1:17" ht="207.6" customHeight="1">
      <c r="A57" s="56" t="s">
        <v>67</v>
      </c>
      <c r="E57" s="72">
        <f>SUMIF(History1!B:B, A57, History1!C:C)</f>
        <v>0</v>
      </c>
      <c r="K57" s="72" t="s">
        <v>2182</v>
      </c>
      <c r="L57" s="57" t="s">
        <v>1068</v>
      </c>
      <c r="Q57" s="57" t="str">
        <f t="shared" si="0"/>
        <v>🔴 LOW</v>
      </c>
    </row>
    <row r="58" spans="1:17" ht="207.6" customHeight="1">
      <c r="A58" s="56" t="s">
        <v>68</v>
      </c>
      <c r="E58" s="72">
        <f>SUMIF(History1!B:B, A58, History1!C:C)</f>
        <v>0</v>
      </c>
      <c r="K58" s="72" t="s">
        <v>2183</v>
      </c>
      <c r="L58" s="57" t="s">
        <v>1069</v>
      </c>
      <c r="Q58" s="57" t="str">
        <f t="shared" si="0"/>
        <v>🔴 LOW</v>
      </c>
    </row>
    <row r="59" spans="1:17" ht="207.6" customHeight="1">
      <c r="A59" s="56" t="s">
        <v>69</v>
      </c>
      <c r="E59" s="72">
        <f>SUMIF(History1!B:B, A59, History1!C:C)</f>
        <v>0</v>
      </c>
      <c r="K59" s="72" t="s">
        <v>2184</v>
      </c>
      <c r="L59" s="57" t="s">
        <v>1070</v>
      </c>
      <c r="Q59" s="57" t="str">
        <f t="shared" si="0"/>
        <v>🔴 LOW</v>
      </c>
    </row>
    <row r="60" spans="1:17" ht="207.6" customHeight="1">
      <c r="A60" s="56" t="s">
        <v>70</v>
      </c>
      <c r="E60" s="72">
        <f>SUMIF(History1!B:B, A60, History1!C:C)</f>
        <v>0</v>
      </c>
      <c r="K60" s="72" t="s">
        <v>2185</v>
      </c>
      <c r="L60" s="57" t="s">
        <v>1071</v>
      </c>
      <c r="Q60" s="57" t="str">
        <f t="shared" si="0"/>
        <v>🔴 LOW</v>
      </c>
    </row>
    <row r="61" spans="1:17" ht="207.6" customHeight="1">
      <c r="A61" s="56" t="s">
        <v>71</v>
      </c>
      <c r="E61" s="72">
        <f>SUMIF(History1!B:B, A61, History1!C:C)</f>
        <v>0</v>
      </c>
      <c r="K61" s="72" t="s">
        <v>2186</v>
      </c>
      <c r="L61" s="57" t="s">
        <v>1072</v>
      </c>
      <c r="Q61" s="57" t="str">
        <f t="shared" si="0"/>
        <v>🔴 LOW</v>
      </c>
    </row>
    <row r="62" spans="1:17" ht="207.6" customHeight="1">
      <c r="A62" s="56" t="s">
        <v>72</v>
      </c>
      <c r="E62" s="72">
        <f>SUMIF(History1!B:B, A62, History1!C:C)</f>
        <v>0</v>
      </c>
      <c r="K62" s="72" t="s">
        <v>2187</v>
      </c>
      <c r="L62" s="57" t="s">
        <v>1073</v>
      </c>
      <c r="Q62" s="57" t="str">
        <f t="shared" si="0"/>
        <v>🔴 LOW</v>
      </c>
    </row>
    <row r="63" spans="1:17" ht="207.6" customHeight="1">
      <c r="A63" s="56" t="s">
        <v>73</v>
      </c>
      <c r="E63" s="72">
        <f>SUMIF(History1!B:B, A63, History1!C:C)</f>
        <v>0</v>
      </c>
      <c r="K63" s="72" t="s">
        <v>2188</v>
      </c>
      <c r="L63" s="57" t="s">
        <v>1074</v>
      </c>
      <c r="Q63" s="57" t="str">
        <f t="shared" si="0"/>
        <v>🔴 LOW</v>
      </c>
    </row>
    <row r="64" spans="1:17" ht="207.6" customHeight="1">
      <c r="A64" s="56" t="s">
        <v>74</v>
      </c>
      <c r="E64" s="72">
        <f>SUMIF(History1!B:B, A64, History1!C:C)</f>
        <v>0</v>
      </c>
      <c r="K64" s="72" t="s">
        <v>2189</v>
      </c>
      <c r="L64" s="57" t="s">
        <v>1075</v>
      </c>
      <c r="Q64" s="57" t="str">
        <f t="shared" si="0"/>
        <v>🔴 LOW</v>
      </c>
    </row>
    <row r="65" spans="1:17" ht="207.6" customHeight="1">
      <c r="A65" s="56" t="s">
        <v>75</v>
      </c>
      <c r="E65" s="72">
        <f>SUMIF(History1!B:B, A65, History1!C:C)</f>
        <v>0</v>
      </c>
      <c r="K65" s="72" t="s">
        <v>2190</v>
      </c>
      <c r="L65" s="57" t="s">
        <v>1076</v>
      </c>
      <c r="Q65" s="57" t="str">
        <f t="shared" si="0"/>
        <v>🔴 LOW</v>
      </c>
    </row>
    <row r="66" spans="1:17" ht="207.6" customHeight="1">
      <c r="A66" s="56" t="s">
        <v>76</v>
      </c>
      <c r="E66" s="72">
        <f>SUMIF(History1!B:B, A66, History1!C:C)</f>
        <v>0</v>
      </c>
      <c r="K66" s="72" t="s">
        <v>2191</v>
      </c>
      <c r="L66" s="57" t="s">
        <v>1077</v>
      </c>
      <c r="Q66" s="57" t="str">
        <f t="shared" si="0"/>
        <v>🔴 LOW</v>
      </c>
    </row>
    <row r="67" spans="1:17" ht="207.6" customHeight="1">
      <c r="A67" s="56" t="s">
        <v>77</v>
      </c>
      <c r="E67" s="72">
        <f>SUMIF(History1!B:B, A67, History1!C:C)</f>
        <v>0</v>
      </c>
      <c r="K67" s="72" t="s">
        <v>2192</v>
      </c>
      <c r="L67" s="57" t="s">
        <v>1078</v>
      </c>
      <c r="Q67" s="57" t="str">
        <f t="shared" ref="Q67:Q130" si="1">IF(E67&lt;=10,"🔴 LOW",IF(E67&lt;=50,"🟡 MEDIUM","🟢 GOOD"))</f>
        <v>🔴 LOW</v>
      </c>
    </row>
    <row r="68" spans="1:17" ht="207.6" customHeight="1">
      <c r="A68" s="56" t="s">
        <v>78</v>
      </c>
      <c r="E68" s="72">
        <f>SUMIF(History1!B:B, A68, History1!C:C)</f>
        <v>0</v>
      </c>
      <c r="K68" s="72" t="s">
        <v>2193</v>
      </c>
      <c r="L68" s="57" t="s">
        <v>1079</v>
      </c>
      <c r="Q68" s="57" t="str">
        <f t="shared" si="1"/>
        <v>🔴 LOW</v>
      </c>
    </row>
    <row r="69" spans="1:17" ht="207.6" customHeight="1">
      <c r="A69" s="56" t="s">
        <v>79</v>
      </c>
      <c r="E69" s="72">
        <f>SUMIF(History1!B:B, A69, History1!C:C)</f>
        <v>0</v>
      </c>
      <c r="K69" s="72" t="s">
        <v>2194</v>
      </c>
      <c r="L69" s="57" t="s">
        <v>1080</v>
      </c>
      <c r="Q69" s="57" t="str">
        <f t="shared" si="1"/>
        <v>🔴 LOW</v>
      </c>
    </row>
    <row r="70" spans="1:17" ht="207.6" customHeight="1">
      <c r="A70" s="56" t="s">
        <v>80</v>
      </c>
      <c r="E70" s="72">
        <f>SUMIF(History1!B:B, A70, History1!C:C)</f>
        <v>0</v>
      </c>
      <c r="K70" s="72" t="s">
        <v>2195</v>
      </c>
      <c r="L70" s="57" t="s">
        <v>1081</v>
      </c>
      <c r="Q70" s="57" t="str">
        <f t="shared" si="1"/>
        <v>🔴 LOW</v>
      </c>
    </row>
    <row r="71" spans="1:17" ht="207.6" customHeight="1">
      <c r="A71" s="56" t="s">
        <v>81</v>
      </c>
      <c r="E71" s="72">
        <f>SUMIF(History1!B:B, A71, History1!C:C)</f>
        <v>0</v>
      </c>
      <c r="K71" s="72" t="s">
        <v>2196</v>
      </c>
      <c r="L71" s="57" t="s">
        <v>1082</v>
      </c>
      <c r="Q71" s="57" t="str">
        <f t="shared" si="1"/>
        <v>🔴 LOW</v>
      </c>
    </row>
    <row r="72" spans="1:17" ht="207.6" customHeight="1">
      <c r="A72" s="56" t="s">
        <v>82</v>
      </c>
      <c r="E72" s="72">
        <f>SUMIF(History1!B:B, A72, History1!C:C)</f>
        <v>0</v>
      </c>
      <c r="K72" s="72" t="s">
        <v>2197</v>
      </c>
      <c r="L72" s="57" t="s">
        <v>1083</v>
      </c>
      <c r="Q72" s="57" t="str">
        <f t="shared" si="1"/>
        <v>🔴 LOW</v>
      </c>
    </row>
    <row r="73" spans="1:17" ht="207.6" customHeight="1">
      <c r="A73" s="56" t="s">
        <v>83</v>
      </c>
      <c r="E73" s="72">
        <f>SUMIF(History1!B:B, A73, History1!C:C)</f>
        <v>0</v>
      </c>
      <c r="K73" s="72" t="s">
        <v>2198</v>
      </c>
      <c r="L73" s="57" t="s">
        <v>1084</v>
      </c>
      <c r="Q73" s="57" t="str">
        <f t="shared" si="1"/>
        <v>🔴 LOW</v>
      </c>
    </row>
    <row r="74" spans="1:17" ht="207.6" customHeight="1">
      <c r="A74" s="56" t="s">
        <v>84</v>
      </c>
      <c r="E74" s="72">
        <f>SUMIF(History1!B:B, A74, History1!C:C)</f>
        <v>0</v>
      </c>
      <c r="K74" s="72" t="s">
        <v>2199</v>
      </c>
      <c r="L74" s="57" t="s">
        <v>1085</v>
      </c>
      <c r="Q74" s="57" t="str">
        <f t="shared" si="1"/>
        <v>🔴 LOW</v>
      </c>
    </row>
    <row r="75" spans="1:17" ht="207.6" customHeight="1">
      <c r="A75" s="56" t="s">
        <v>85</v>
      </c>
      <c r="E75" s="72">
        <f>SUMIF(History1!B:B, A75, History1!C:C)</f>
        <v>0</v>
      </c>
      <c r="K75" s="72" t="s">
        <v>2200</v>
      </c>
      <c r="L75" s="57" t="s">
        <v>1086</v>
      </c>
      <c r="Q75" s="57" t="str">
        <f t="shared" si="1"/>
        <v>🔴 LOW</v>
      </c>
    </row>
    <row r="76" spans="1:17" ht="207.6" customHeight="1">
      <c r="A76" s="56" t="s">
        <v>86</v>
      </c>
      <c r="E76" s="72">
        <f>SUMIF(History1!B:B, A76, History1!C:C)</f>
        <v>0</v>
      </c>
      <c r="K76" s="72" t="s">
        <v>2201</v>
      </c>
      <c r="L76" s="57" t="s">
        <v>1087</v>
      </c>
      <c r="Q76" s="57" t="str">
        <f t="shared" si="1"/>
        <v>🔴 LOW</v>
      </c>
    </row>
    <row r="77" spans="1:17" ht="207.6" customHeight="1">
      <c r="A77" s="56" t="s">
        <v>87</v>
      </c>
      <c r="E77" s="72">
        <f>SUMIF(History1!B:B, A77, History1!C:C)</f>
        <v>0</v>
      </c>
      <c r="K77" s="72" t="s">
        <v>2202</v>
      </c>
      <c r="L77" s="57" t="s">
        <v>1088</v>
      </c>
      <c r="Q77" s="57" t="str">
        <f t="shared" si="1"/>
        <v>🔴 LOW</v>
      </c>
    </row>
    <row r="78" spans="1:17" ht="207.6" customHeight="1">
      <c r="A78" s="56" t="s">
        <v>88</v>
      </c>
      <c r="E78" s="72">
        <f>SUMIF(History1!B:B, A78, History1!C:C)</f>
        <v>0</v>
      </c>
      <c r="K78" s="72" t="s">
        <v>2203</v>
      </c>
      <c r="L78" s="57" t="s">
        <v>1089</v>
      </c>
      <c r="Q78" s="57" t="str">
        <f t="shared" si="1"/>
        <v>🔴 LOW</v>
      </c>
    </row>
    <row r="79" spans="1:17" ht="207.6" customHeight="1">
      <c r="A79" s="56" t="s">
        <v>89</v>
      </c>
      <c r="E79" s="72">
        <f>SUMIF(History1!B:B, A79, History1!C:C)</f>
        <v>0</v>
      </c>
      <c r="K79" s="72" t="s">
        <v>2204</v>
      </c>
      <c r="L79" s="57" t="s">
        <v>1090</v>
      </c>
      <c r="Q79" s="57" t="str">
        <f t="shared" si="1"/>
        <v>🔴 LOW</v>
      </c>
    </row>
    <row r="80" spans="1:17" ht="207.6" customHeight="1">
      <c r="A80" s="56" t="s">
        <v>90</v>
      </c>
      <c r="E80" s="72">
        <f>SUMIF(History1!B:B, A80, History1!C:C)</f>
        <v>0</v>
      </c>
      <c r="K80" s="72" t="s">
        <v>2205</v>
      </c>
      <c r="L80" s="57" t="s">
        <v>1091</v>
      </c>
      <c r="Q80" s="57" t="str">
        <f t="shared" si="1"/>
        <v>🔴 LOW</v>
      </c>
    </row>
    <row r="81" spans="1:17" ht="207.6" customHeight="1">
      <c r="A81" s="56" t="s">
        <v>91</v>
      </c>
      <c r="E81" s="72">
        <f>SUMIF(History1!B:B, A81, History1!C:C)</f>
        <v>0</v>
      </c>
      <c r="K81" s="72" t="s">
        <v>2206</v>
      </c>
      <c r="L81" s="57" t="s">
        <v>1092</v>
      </c>
      <c r="Q81" s="57" t="str">
        <f t="shared" si="1"/>
        <v>🔴 LOW</v>
      </c>
    </row>
    <row r="82" spans="1:17" ht="207.6" customHeight="1">
      <c r="A82" s="56" t="s">
        <v>92</v>
      </c>
      <c r="E82" s="72">
        <f>SUMIF(History1!B:B, A82, History1!C:C)</f>
        <v>0</v>
      </c>
      <c r="K82" s="72" t="s">
        <v>2207</v>
      </c>
      <c r="L82" s="57" t="s">
        <v>1093</v>
      </c>
      <c r="Q82" s="57" t="str">
        <f t="shared" si="1"/>
        <v>🔴 LOW</v>
      </c>
    </row>
    <row r="83" spans="1:17" ht="207.6" customHeight="1">
      <c r="A83" s="56" t="s">
        <v>93</v>
      </c>
      <c r="E83" s="72">
        <f>SUMIF(History1!B:B, A83, History1!C:C)</f>
        <v>0</v>
      </c>
      <c r="K83" s="72" t="s">
        <v>2208</v>
      </c>
      <c r="L83" s="57" t="s">
        <v>1094</v>
      </c>
      <c r="Q83" s="57" t="str">
        <f t="shared" si="1"/>
        <v>🔴 LOW</v>
      </c>
    </row>
    <row r="84" spans="1:17" ht="207.6" customHeight="1">
      <c r="A84" s="56" t="s">
        <v>94</v>
      </c>
      <c r="E84" s="72">
        <f>SUMIF(History1!B:B, A84, History1!C:C)</f>
        <v>0</v>
      </c>
      <c r="K84" s="72" t="s">
        <v>2209</v>
      </c>
      <c r="L84" s="57" t="s">
        <v>1095</v>
      </c>
      <c r="Q84" s="57" t="str">
        <f t="shared" si="1"/>
        <v>🔴 LOW</v>
      </c>
    </row>
    <row r="85" spans="1:17" ht="207.6" customHeight="1">
      <c r="A85" s="56" t="s">
        <v>95</v>
      </c>
      <c r="E85" s="72">
        <f>SUMIF(History1!B:B, A85, History1!C:C)</f>
        <v>0</v>
      </c>
      <c r="K85" s="72" t="s">
        <v>2210</v>
      </c>
      <c r="L85" s="57" t="s">
        <v>1096</v>
      </c>
      <c r="Q85" s="57" t="str">
        <f t="shared" si="1"/>
        <v>🔴 LOW</v>
      </c>
    </row>
    <row r="86" spans="1:17" ht="207.6" customHeight="1">
      <c r="A86" s="56" t="s">
        <v>96</v>
      </c>
      <c r="E86" s="72">
        <f>SUMIF(History1!B:B, A86, History1!C:C)</f>
        <v>0</v>
      </c>
      <c r="K86" s="72" t="s">
        <v>2211</v>
      </c>
      <c r="L86" s="57" t="s">
        <v>1097</v>
      </c>
      <c r="Q86" s="57" t="str">
        <f t="shared" si="1"/>
        <v>🔴 LOW</v>
      </c>
    </row>
    <row r="87" spans="1:17" ht="207.6" customHeight="1">
      <c r="A87" s="56" t="s">
        <v>97</v>
      </c>
      <c r="E87" s="72">
        <f>SUMIF(History1!B:B, A87, History1!C:C)</f>
        <v>0</v>
      </c>
      <c r="K87" s="72" t="s">
        <v>2212</v>
      </c>
      <c r="L87" s="57" t="s">
        <v>1098</v>
      </c>
      <c r="Q87" s="57" t="str">
        <f t="shared" si="1"/>
        <v>🔴 LOW</v>
      </c>
    </row>
    <row r="88" spans="1:17" ht="207.6" customHeight="1">
      <c r="A88" s="56" t="s">
        <v>98</v>
      </c>
      <c r="E88" s="72">
        <f>SUMIF(History1!B:B, A88, History1!C:C)</f>
        <v>0</v>
      </c>
      <c r="K88" s="72" t="s">
        <v>2213</v>
      </c>
      <c r="L88" s="57" t="s">
        <v>1099</v>
      </c>
      <c r="Q88" s="57" t="str">
        <f t="shared" si="1"/>
        <v>🔴 LOW</v>
      </c>
    </row>
    <row r="89" spans="1:17" ht="207.6" customHeight="1">
      <c r="A89" s="56" t="s">
        <v>99</v>
      </c>
      <c r="E89" s="72">
        <f>SUMIF(History1!B:B, A89, History1!C:C)</f>
        <v>0</v>
      </c>
      <c r="K89" s="72" t="s">
        <v>2214</v>
      </c>
      <c r="L89" s="57" t="s">
        <v>1100</v>
      </c>
      <c r="Q89" s="57" t="str">
        <f t="shared" si="1"/>
        <v>🔴 LOW</v>
      </c>
    </row>
    <row r="90" spans="1:17" ht="207.6" customHeight="1">
      <c r="A90" s="56" t="s">
        <v>100</v>
      </c>
      <c r="E90" s="72">
        <f>SUMIF(History1!B:B, A90, History1!C:C)</f>
        <v>0</v>
      </c>
      <c r="K90" s="72" t="s">
        <v>2215</v>
      </c>
      <c r="L90" s="57" t="s">
        <v>1101</v>
      </c>
      <c r="Q90" s="57" t="str">
        <f t="shared" si="1"/>
        <v>🔴 LOW</v>
      </c>
    </row>
    <row r="91" spans="1:17" ht="207.6" customHeight="1">
      <c r="A91" s="56" t="s">
        <v>101</v>
      </c>
      <c r="E91" s="72">
        <f>SUMIF(History1!B:B, A91, History1!C:C)</f>
        <v>0</v>
      </c>
      <c r="K91" s="72" t="s">
        <v>2216</v>
      </c>
      <c r="L91" s="57" t="s">
        <v>1102</v>
      </c>
      <c r="Q91" s="57" t="str">
        <f t="shared" si="1"/>
        <v>🔴 LOW</v>
      </c>
    </row>
    <row r="92" spans="1:17" ht="207.6" customHeight="1">
      <c r="A92" s="56" t="s">
        <v>102</v>
      </c>
      <c r="E92" s="72">
        <f>SUMIF(History1!B:B, A92, History1!C:C)</f>
        <v>0</v>
      </c>
      <c r="K92" s="72" t="s">
        <v>2217</v>
      </c>
      <c r="L92" s="57" t="s">
        <v>1103</v>
      </c>
      <c r="Q92" s="57" t="str">
        <f t="shared" si="1"/>
        <v>🔴 LOW</v>
      </c>
    </row>
    <row r="93" spans="1:17" ht="207.6" customHeight="1">
      <c r="A93" s="56" t="s">
        <v>103</v>
      </c>
      <c r="E93" s="72">
        <f>SUMIF(History1!B:B, A93, History1!C:C)</f>
        <v>0</v>
      </c>
      <c r="K93" s="72" t="s">
        <v>2218</v>
      </c>
      <c r="L93" s="57" t="s">
        <v>1104</v>
      </c>
      <c r="Q93" s="57" t="str">
        <f t="shared" si="1"/>
        <v>🔴 LOW</v>
      </c>
    </row>
    <row r="94" spans="1:17" ht="207.6" customHeight="1">
      <c r="A94" s="56" t="s">
        <v>104</v>
      </c>
      <c r="E94" s="72">
        <f>SUMIF(History1!B:B, A94, History1!C:C)</f>
        <v>0</v>
      </c>
      <c r="K94" s="72" t="s">
        <v>2219</v>
      </c>
      <c r="L94" s="57" t="s">
        <v>1105</v>
      </c>
      <c r="Q94" s="57" t="str">
        <f t="shared" si="1"/>
        <v>🔴 LOW</v>
      </c>
    </row>
    <row r="95" spans="1:17" ht="207.6" customHeight="1">
      <c r="A95" s="56" t="s">
        <v>105</v>
      </c>
      <c r="E95" s="72">
        <f>SUMIF(History1!B:B, A95, History1!C:C)</f>
        <v>0</v>
      </c>
      <c r="K95" s="72" t="s">
        <v>2220</v>
      </c>
      <c r="L95" s="57" t="s">
        <v>1106</v>
      </c>
      <c r="Q95" s="57" t="str">
        <f t="shared" si="1"/>
        <v>🔴 LOW</v>
      </c>
    </row>
    <row r="96" spans="1:17" ht="207.6" customHeight="1">
      <c r="A96" s="56" t="s">
        <v>106</v>
      </c>
      <c r="E96" s="72">
        <f>SUMIF(History1!B:B, A96, History1!C:C)</f>
        <v>0</v>
      </c>
      <c r="K96" s="72" t="s">
        <v>2221</v>
      </c>
      <c r="L96" s="57" t="s">
        <v>1107</v>
      </c>
      <c r="Q96" s="57" t="str">
        <f t="shared" si="1"/>
        <v>🔴 LOW</v>
      </c>
    </row>
    <row r="97" spans="1:17" ht="207.6" customHeight="1">
      <c r="A97" s="56" t="s">
        <v>107</v>
      </c>
      <c r="E97" s="72">
        <f>SUMIF(History1!B:B, A97, History1!C:C)</f>
        <v>0</v>
      </c>
      <c r="K97" s="72" t="s">
        <v>2222</v>
      </c>
      <c r="L97" s="57" t="s">
        <v>1108</v>
      </c>
      <c r="Q97" s="57" t="str">
        <f t="shared" si="1"/>
        <v>🔴 LOW</v>
      </c>
    </row>
    <row r="98" spans="1:17" ht="207.6" customHeight="1">
      <c r="A98" s="56" t="s">
        <v>108</v>
      </c>
      <c r="E98" s="72">
        <f>SUMIF(History1!B:B, A98, History1!C:C)</f>
        <v>0</v>
      </c>
      <c r="K98" s="72" t="s">
        <v>2223</v>
      </c>
      <c r="L98" s="57" t="s">
        <v>1109</v>
      </c>
      <c r="Q98" s="57" t="str">
        <f t="shared" si="1"/>
        <v>🔴 LOW</v>
      </c>
    </row>
    <row r="99" spans="1:17" ht="207.6" customHeight="1">
      <c r="A99" s="56" t="s">
        <v>109</v>
      </c>
      <c r="E99" s="72">
        <f>SUMIF(History1!B:B, A99, History1!C:C)</f>
        <v>0</v>
      </c>
      <c r="K99" s="72" t="s">
        <v>2224</v>
      </c>
      <c r="L99" s="57" t="s">
        <v>1110</v>
      </c>
      <c r="Q99" s="57" t="str">
        <f t="shared" si="1"/>
        <v>🔴 LOW</v>
      </c>
    </row>
    <row r="100" spans="1:17" ht="207.6" customHeight="1">
      <c r="A100" s="56" t="s">
        <v>110</v>
      </c>
      <c r="E100" s="72">
        <f>SUMIF(History1!B:B, A100, History1!C:C)</f>
        <v>0</v>
      </c>
      <c r="K100" s="72" t="s">
        <v>2225</v>
      </c>
      <c r="L100" s="57" t="s">
        <v>1111</v>
      </c>
      <c r="Q100" s="57" t="str">
        <f t="shared" si="1"/>
        <v>🔴 LOW</v>
      </c>
    </row>
    <row r="101" spans="1:17" ht="207.6" customHeight="1">
      <c r="A101" s="56" t="s">
        <v>111</v>
      </c>
      <c r="E101" s="72">
        <f>SUMIF(History1!B:B, A101, History1!C:C)</f>
        <v>0</v>
      </c>
      <c r="K101" s="72" t="s">
        <v>2226</v>
      </c>
      <c r="L101" s="57" t="s">
        <v>1112</v>
      </c>
      <c r="Q101" s="57" t="str">
        <f t="shared" si="1"/>
        <v>🔴 LOW</v>
      </c>
    </row>
    <row r="102" spans="1:17" ht="207.6" customHeight="1">
      <c r="A102" s="56" t="s">
        <v>112</v>
      </c>
      <c r="E102" s="72">
        <f>SUMIF(History1!B:B, A102, History1!C:C)</f>
        <v>0</v>
      </c>
      <c r="K102" s="72" t="s">
        <v>2227</v>
      </c>
      <c r="L102" s="57" t="s">
        <v>1113</v>
      </c>
      <c r="Q102" s="57" t="str">
        <f t="shared" si="1"/>
        <v>🔴 LOW</v>
      </c>
    </row>
    <row r="103" spans="1:17" ht="207.6" customHeight="1">
      <c r="A103" s="56" t="s">
        <v>113</v>
      </c>
      <c r="E103" s="72">
        <f>SUMIF(History1!B:B, A103, History1!C:C)</f>
        <v>0</v>
      </c>
      <c r="K103" s="72" t="s">
        <v>2228</v>
      </c>
      <c r="L103" s="57" t="s">
        <v>1114</v>
      </c>
      <c r="Q103" s="57" t="str">
        <f t="shared" si="1"/>
        <v>🔴 LOW</v>
      </c>
    </row>
    <row r="104" spans="1:17" ht="207.6" customHeight="1">
      <c r="A104" s="56" t="s">
        <v>114</v>
      </c>
      <c r="E104" s="72">
        <f>SUMIF(History1!B:B, A104, History1!C:C)</f>
        <v>0</v>
      </c>
      <c r="K104" s="72" t="s">
        <v>2229</v>
      </c>
      <c r="L104" s="57" t="s">
        <v>1115</v>
      </c>
      <c r="Q104" s="57" t="str">
        <f t="shared" si="1"/>
        <v>🔴 LOW</v>
      </c>
    </row>
    <row r="105" spans="1:17" ht="207.6" customHeight="1">
      <c r="A105" s="56" t="s">
        <v>115</v>
      </c>
      <c r="E105" s="72">
        <f>SUMIF(History1!B:B, A105, History1!C:C)</f>
        <v>0</v>
      </c>
      <c r="K105" s="72" t="s">
        <v>2230</v>
      </c>
      <c r="L105" s="57" t="s">
        <v>1116</v>
      </c>
      <c r="Q105" s="57" t="str">
        <f t="shared" si="1"/>
        <v>🔴 LOW</v>
      </c>
    </row>
    <row r="106" spans="1:17" ht="207.6" customHeight="1">
      <c r="A106" s="56" t="s">
        <v>116</v>
      </c>
      <c r="E106" s="72">
        <f>SUMIF(History1!B:B, A106, History1!C:C)</f>
        <v>0</v>
      </c>
      <c r="K106" s="72" t="s">
        <v>2231</v>
      </c>
      <c r="L106" s="57" t="s">
        <v>1117</v>
      </c>
      <c r="Q106" s="57" t="str">
        <f t="shared" si="1"/>
        <v>🔴 LOW</v>
      </c>
    </row>
    <row r="107" spans="1:17" ht="207.6" customHeight="1">
      <c r="A107" s="56" t="s">
        <v>117</v>
      </c>
      <c r="E107" s="72">
        <f>SUMIF(History1!B:B, A107, History1!C:C)</f>
        <v>0</v>
      </c>
      <c r="K107" s="72" t="s">
        <v>2232</v>
      </c>
      <c r="L107" s="57" t="s">
        <v>1118</v>
      </c>
      <c r="Q107" s="57" t="str">
        <f t="shared" si="1"/>
        <v>🔴 LOW</v>
      </c>
    </row>
    <row r="108" spans="1:17" ht="207.6" customHeight="1">
      <c r="A108" s="56" t="s">
        <v>118</v>
      </c>
      <c r="E108" s="72">
        <f>SUMIF(History1!B:B, A108, History1!C:C)</f>
        <v>0</v>
      </c>
      <c r="K108" s="72" t="s">
        <v>2233</v>
      </c>
      <c r="L108" s="57" t="s">
        <v>1119</v>
      </c>
      <c r="Q108" s="57" t="str">
        <f t="shared" si="1"/>
        <v>🔴 LOW</v>
      </c>
    </row>
    <row r="109" spans="1:17" ht="207.6" customHeight="1">
      <c r="A109" s="56" t="s">
        <v>119</v>
      </c>
      <c r="E109" s="72">
        <f>SUMIF(History1!B:B, A109, History1!C:C)</f>
        <v>0</v>
      </c>
      <c r="K109" s="72" t="s">
        <v>2234</v>
      </c>
      <c r="L109" s="57" t="s">
        <v>1120</v>
      </c>
      <c r="Q109" s="57" t="str">
        <f t="shared" si="1"/>
        <v>🔴 LOW</v>
      </c>
    </row>
    <row r="110" spans="1:17" ht="207.6" customHeight="1">
      <c r="A110" s="56" t="s">
        <v>120</v>
      </c>
      <c r="E110" s="72">
        <f>SUMIF(History1!B:B, A110, History1!C:C)</f>
        <v>0</v>
      </c>
      <c r="K110" s="72" t="s">
        <v>2235</v>
      </c>
      <c r="L110" s="57" t="s">
        <v>1121</v>
      </c>
      <c r="Q110" s="57" t="str">
        <f t="shared" si="1"/>
        <v>🔴 LOW</v>
      </c>
    </row>
    <row r="111" spans="1:17" ht="207.6" customHeight="1">
      <c r="A111" s="56" t="s">
        <v>121</v>
      </c>
      <c r="E111" s="72">
        <f>SUMIF(History1!B:B, A111, History1!C:C)</f>
        <v>0</v>
      </c>
      <c r="K111" s="72" t="s">
        <v>2236</v>
      </c>
      <c r="L111" s="57" t="s">
        <v>1122</v>
      </c>
      <c r="Q111" s="57" t="str">
        <f t="shared" si="1"/>
        <v>🔴 LOW</v>
      </c>
    </row>
    <row r="112" spans="1:17" ht="207.6" customHeight="1">
      <c r="A112" s="56" t="s">
        <v>122</v>
      </c>
      <c r="E112" s="72">
        <f>SUMIF(History1!B:B, A112, History1!C:C)</f>
        <v>0</v>
      </c>
      <c r="K112" s="72" t="s">
        <v>2237</v>
      </c>
      <c r="L112" s="57" t="s">
        <v>1123</v>
      </c>
      <c r="Q112" s="57" t="str">
        <f t="shared" si="1"/>
        <v>🔴 LOW</v>
      </c>
    </row>
    <row r="113" spans="1:17" ht="207.6" customHeight="1">
      <c r="A113" s="56" t="s">
        <v>123</v>
      </c>
      <c r="E113" s="72">
        <f>SUMIF(History1!B:B, A113, History1!C:C)</f>
        <v>0</v>
      </c>
      <c r="K113" s="72" t="s">
        <v>2238</v>
      </c>
      <c r="L113" s="57" t="s">
        <v>1124</v>
      </c>
      <c r="Q113" s="57" t="str">
        <f t="shared" si="1"/>
        <v>🔴 LOW</v>
      </c>
    </row>
    <row r="114" spans="1:17" ht="207.6" customHeight="1">
      <c r="A114" s="56" t="s">
        <v>124</v>
      </c>
      <c r="E114" s="72">
        <f>SUMIF(History1!B:B, A114, History1!C:C)</f>
        <v>0</v>
      </c>
      <c r="K114" s="72" t="s">
        <v>2239</v>
      </c>
      <c r="L114" s="57" t="s">
        <v>1125</v>
      </c>
      <c r="Q114" s="57" t="str">
        <f t="shared" si="1"/>
        <v>🔴 LOW</v>
      </c>
    </row>
    <row r="115" spans="1:17" ht="207.6" customHeight="1">
      <c r="A115" s="56" t="s">
        <v>125</v>
      </c>
      <c r="E115" s="72">
        <f>SUMIF(History1!B:B, A115, History1!C:C)</f>
        <v>0</v>
      </c>
      <c r="K115" s="72" t="s">
        <v>2240</v>
      </c>
      <c r="L115" s="57" t="s">
        <v>1126</v>
      </c>
      <c r="Q115" s="57" t="str">
        <f t="shared" si="1"/>
        <v>🔴 LOW</v>
      </c>
    </row>
    <row r="116" spans="1:17" ht="207.6" customHeight="1">
      <c r="A116" s="56" t="s">
        <v>126</v>
      </c>
      <c r="E116" s="72">
        <f>SUMIF(History1!B:B, A116, History1!C:C)</f>
        <v>0</v>
      </c>
      <c r="K116" s="72" t="s">
        <v>2241</v>
      </c>
      <c r="L116" s="57" t="s">
        <v>1127</v>
      </c>
      <c r="Q116" s="57" t="str">
        <f t="shared" si="1"/>
        <v>🔴 LOW</v>
      </c>
    </row>
    <row r="117" spans="1:17" ht="207.6" customHeight="1">
      <c r="A117" s="56" t="s">
        <v>127</v>
      </c>
      <c r="E117" s="72">
        <f>SUMIF(History1!B:B, A117, History1!C:C)</f>
        <v>0</v>
      </c>
      <c r="K117" s="72" t="s">
        <v>2242</v>
      </c>
      <c r="L117" s="57" t="s">
        <v>1128</v>
      </c>
      <c r="Q117" s="57" t="str">
        <f t="shared" si="1"/>
        <v>🔴 LOW</v>
      </c>
    </row>
    <row r="118" spans="1:17" ht="207.6" customHeight="1">
      <c r="A118" s="56" t="s">
        <v>128</v>
      </c>
      <c r="E118" s="72">
        <f>SUMIF(History1!B:B, A118, History1!C:C)</f>
        <v>0</v>
      </c>
      <c r="K118" s="72" t="s">
        <v>2243</v>
      </c>
      <c r="L118" s="57" t="s">
        <v>1129</v>
      </c>
      <c r="Q118" s="57" t="str">
        <f t="shared" si="1"/>
        <v>🔴 LOW</v>
      </c>
    </row>
    <row r="119" spans="1:17" ht="207.6" customHeight="1">
      <c r="A119" s="56" t="s">
        <v>129</v>
      </c>
      <c r="E119" s="72">
        <f>SUMIF(History1!B:B, A119, History1!C:C)</f>
        <v>0</v>
      </c>
      <c r="K119" s="72" t="s">
        <v>2244</v>
      </c>
      <c r="L119" s="57" t="s">
        <v>1130</v>
      </c>
      <c r="Q119" s="57" t="str">
        <f t="shared" si="1"/>
        <v>🔴 LOW</v>
      </c>
    </row>
    <row r="120" spans="1:17" ht="207.6" customHeight="1">
      <c r="A120" s="56" t="s">
        <v>130</v>
      </c>
      <c r="E120" s="72">
        <f>SUMIF(History1!B:B, A120, History1!C:C)</f>
        <v>0</v>
      </c>
      <c r="K120" s="72" t="s">
        <v>2245</v>
      </c>
      <c r="L120" s="57" t="s">
        <v>1131</v>
      </c>
      <c r="Q120" s="57" t="str">
        <f t="shared" si="1"/>
        <v>🔴 LOW</v>
      </c>
    </row>
    <row r="121" spans="1:17" ht="207.6" customHeight="1">
      <c r="A121" s="56" t="s">
        <v>131</v>
      </c>
      <c r="E121" s="72">
        <f>SUMIF(History1!B:B, A121, History1!C:C)</f>
        <v>0</v>
      </c>
      <c r="K121" s="72" t="s">
        <v>2246</v>
      </c>
      <c r="L121" s="57" t="s">
        <v>1132</v>
      </c>
      <c r="Q121" s="57" t="str">
        <f t="shared" si="1"/>
        <v>🔴 LOW</v>
      </c>
    </row>
    <row r="122" spans="1:17" ht="207.6" customHeight="1">
      <c r="A122" s="56" t="s">
        <v>132</v>
      </c>
      <c r="E122" s="72">
        <f>SUMIF(History1!B:B, A122, History1!C:C)</f>
        <v>0</v>
      </c>
      <c r="K122" s="72" t="s">
        <v>2247</v>
      </c>
      <c r="L122" s="57" t="s">
        <v>1133</v>
      </c>
      <c r="Q122" s="57" t="str">
        <f t="shared" si="1"/>
        <v>🔴 LOW</v>
      </c>
    </row>
    <row r="123" spans="1:17" ht="207.6" customHeight="1">
      <c r="A123" s="56" t="s">
        <v>133</v>
      </c>
      <c r="E123" s="72">
        <f>SUMIF(History1!B:B, A123, History1!C:C)</f>
        <v>0</v>
      </c>
      <c r="K123" s="72" t="s">
        <v>2248</v>
      </c>
      <c r="L123" s="57" t="s">
        <v>1134</v>
      </c>
      <c r="Q123" s="57" t="str">
        <f t="shared" si="1"/>
        <v>🔴 LOW</v>
      </c>
    </row>
    <row r="124" spans="1:17" ht="207.6" customHeight="1">
      <c r="A124" s="56" t="s">
        <v>134</v>
      </c>
      <c r="E124" s="72">
        <f>SUMIF(History1!B:B, A124, History1!C:C)</f>
        <v>0</v>
      </c>
      <c r="K124" s="72" t="s">
        <v>2249</v>
      </c>
      <c r="L124" s="57" t="s">
        <v>1135</v>
      </c>
      <c r="Q124" s="57" t="str">
        <f t="shared" si="1"/>
        <v>🔴 LOW</v>
      </c>
    </row>
    <row r="125" spans="1:17" ht="207.6" customHeight="1">
      <c r="A125" s="56" t="s">
        <v>135</v>
      </c>
      <c r="E125" s="72">
        <f>SUMIF(History1!B:B, A125, History1!C:C)</f>
        <v>0</v>
      </c>
      <c r="K125" s="72" t="s">
        <v>2250</v>
      </c>
      <c r="L125" s="57" t="s">
        <v>1136</v>
      </c>
      <c r="Q125" s="57" t="str">
        <f t="shared" si="1"/>
        <v>🔴 LOW</v>
      </c>
    </row>
    <row r="126" spans="1:17" ht="207.6" customHeight="1">
      <c r="A126" s="56" t="s">
        <v>136</v>
      </c>
      <c r="E126" s="72">
        <f>SUMIF(History1!B:B, A126, History1!C:C)</f>
        <v>0</v>
      </c>
      <c r="K126" s="72" t="s">
        <v>2251</v>
      </c>
      <c r="L126" s="57" t="s">
        <v>1137</v>
      </c>
      <c r="Q126" s="57" t="str">
        <f t="shared" si="1"/>
        <v>🔴 LOW</v>
      </c>
    </row>
    <row r="127" spans="1:17" ht="207.6" customHeight="1">
      <c r="A127" s="56" t="s">
        <v>137</v>
      </c>
      <c r="E127" s="72">
        <f>SUMIF(History1!B:B, A127, History1!C:C)</f>
        <v>0</v>
      </c>
      <c r="K127" s="72" t="s">
        <v>2252</v>
      </c>
      <c r="L127" s="57" t="s">
        <v>1138</v>
      </c>
      <c r="Q127" s="57" t="str">
        <f t="shared" si="1"/>
        <v>🔴 LOW</v>
      </c>
    </row>
    <row r="128" spans="1:17" ht="207.6" customHeight="1">
      <c r="A128" s="56" t="s">
        <v>138</v>
      </c>
      <c r="E128" s="72">
        <f>SUMIF(History1!B:B, A128, History1!C:C)</f>
        <v>0</v>
      </c>
      <c r="K128" s="72" t="s">
        <v>2253</v>
      </c>
      <c r="L128" s="57" t="s">
        <v>1139</v>
      </c>
      <c r="Q128" s="57" t="str">
        <f t="shared" si="1"/>
        <v>🔴 LOW</v>
      </c>
    </row>
    <row r="129" spans="1:17" ht="207.6" customHeight="1">
      <c r="A129" s="56" t="s">
        <v>139</v>
      </c>
      <c r="E129" s="72">
        <f>SUMIF(History1!B:B, A129, History1!C:C)</f>
        <v>0</v>
      </c>
      <c r="K129" s="72" t="s">
        <v>2254</v>
      </c>
      <c r="L129" s="57" t="s">
        <v>1140</v>
      </c>
      <c r="Q129" s="57" t="str">
        <f t="shared" si="1"/>
        <v>🔴 LOW</v>
      </c>
    </row>
    <row r="130" spans="1:17" ht="207.6" customHeight="1">
      <c r="A130" s="56" t="s">
        <v>140</v>
      </c>
      <c r="E130" s="72">
        <f>SUMIF(History1!B:B, A130, History1!C:C)</f>
        <v>0</v>
      </c>
      <c r="K130" s="72" t="s">
        <v>2255</v>
      </c>
      <c r="L130" s="57" t="s">
        <v>1141</v>
      </c>
      <c r="Q130" s="57" t="str">
        <f t="shared" si="1"/>
        <v>🔴 LOW</v>
      </c>
    </row>
    <row r="131" spans="1:17" ht="207.6" customHeight="1">
      <c r="A131" s="56" t="s">
        <v>141</v>
      </c>
      <c r="E131" s="72">
        <f>SUMIF(History1!B:B, A131, History1!C:C)</f>
        <v>0</v>
      </c>
      <c r="K131" s="72" t="s">
        <v>2256</v>
      </c>
      <c r="L131" s="57" t="s">
        <v>1142</v>
      </c>
      <c r="Q131" s="57" t="str">
        <f t="shared" ref="Q131:Q194" si="2">IF(E131&lt;=10,"🔴 LOW",IF(E131&lt;=50,"🟡 MEDIUM","🟢 GOOD"))</f>
        <v>🔴 LOW</v>
      </c>
    </row>
    <row r="132" spans="1:17" ht="207.6" customHeight="1">
      <c r="A132" s="56" t="s">
        <v>142</v>
      </c>
      <c r="E132" s="72">
        <f>SUMIF(History1!B:B, A132, History1!C:C)</f>
        <v>0</v>
      </c>
      <c r="K132" s="72" t="s">
        <v>2257</v>
      </c>
      <c r="L132" s="57" t="s">
        <v>1143</v>
      </c>
      <c r="Q132" s="57" t="str">
        <f t="shared" si="2"/>
        <v>🔴 LOW</v>
      </c>
    </row>
    <row r="133" spans="1:17" ht="207.6" customHeight="1">
      <c r="A133" s="56" t="s">
        <v>143</v>
      </c>
      <c r="E133" s="72">
        <f>SUMIF(History1!B:B, A133, History1!C:C)</f>
        <v>0</v>
      </c>
      <c r="K133" s="72" t="s">
        <v>2258</v>
      </c>
      <c r="L133" s="57" t="s">
        <v>1144</v>
      </c>
      <c r="Q133" s="57" t="str">
        <f t="shared" si="2"/>
        <v>🔴 LOW</v>
      </c>
    </row>
    <row r="134" spans="1:17" ht="207.6" customHeight="1">
      <c r="A134" s="56" t="s">
        <v>144</v>
      </c>
      <c r="E134" s="72">
        <f>SUMIF(History1!B:B, A134, History1!C:C)</f>
        <v>0</v>
      </c>
      <c r="K134" s="72" t="s">
        <v>2259</v>
      </c>
      <c r="L134" s="57" t="s">
        <v>1145</v>
      </c>
      <c r="Q134" s="57" t="str">
        <f t="shared" si="2"/>
        <v>🔴 LOW</v>
      </c>
    </row>
    <row r="135" spans="1:17" ht="207.6" customHeight="1">
      <c r="A135" s="56" t="s">
        <v>145</v>
      </c>
      <c r="E135" s="72">
        <f>SUMIF(History1!B:B, A135, History1!C:C)</f>
        <v>0</v>
      </c>
      <c r="K135" s="72" t="s">
        <v>2260</v>
      </c>
      <c r="L135" s="57" t="s">
        <v>1146</v>
      </c>
      <c r="Q135" s="57" t="str">
        <f t="shared" si="2"/>
        <v>🔴 LOW</v>
      </c>
    </row>
    <row r="136" spans="1:17" ht="207.6" customHeight="1">
      <c r="A136" s="56" t="s">
        <v>146</v>
      </c>
      <c r="E136" s="72">
        <f>SUMIF(History1!B:B, A136, History1!C:C)</f>
        <v>0</v>
      </c>
      <c r="K136" s="72" t="s">
        <v>2261</v>
      </c>
      <c r="L136" s="57" t="s">
        <v>1147</v>
      </c>
      <c r="Q136" s="57" t="str">
        <f t="shared" si="2"/>
        <v>🔴 LOW</v>
      </c>
    </row>
    <row r="137" spans="1:17" ht="207.6" customHeight="1">
      <c r="A137" s="56" t="s">
        <v>147</v>
      </c>
      <c r="E137" s="72">
        <f>SUMIF(History1!B:B, A137, History1!C:C)</f>
        <v>0</v>
      </c>
      <c r="K137" s="72" t="s">
        <v>2262</v>
      </c>
      <c r="L137" s="57" t="s">
        <v>1148</v>
      </c>
      <c r="Q137" s="57" t="str">
        <f t="shared" si="2"/>
        <v>🔴 LOW</v>
      </c>
    </row>
    <row r="138" spans="1:17" ht="207.6" customHeight="1">
      <c r="A138" s="56" t="s">
        <v>148</v>
      </c>
      <c r="E138" s="72">
        <f>SUMIF(History1!B:B, A138, History1!C:C)</f>
        <v>0</v>
      </c>
      <c r="K138" s="72" t="s">
        <v>2263</v>
      </c>
      <c r="L138" s="57" t="s">
        <v>1149</v>
      </c>
      <c r="Q138" s="57" t="str">
        <f t="shared" si="2"/>
        <v>🔴 LOW</v>
      </c>
    </row>
    <row r="139" spans="1:17" ht="207.6" customHeight="1">
      <c r="A139" s="56" t="s">
        <v>149</v>
      </c>
      <c r="E139" s="72">
        <f>SUMIF(History1!B:B, A139, History1!C:C)</f>
        <v>0</v>
      </c>
      <c r="K139" s="72" t="s">
        <v>2264</v>
      </c>
      <c r="L139" s="57" t="s">
        <v>1150</v>
      </c>
      <c r="Q139" s="57" t="str">
        <f t="shared" si="2"/>
        <v>🔴 LOW</v>
      </c>
    </row>
    <row r="140" spans="1:17" ht="207.6" customHeight="1">
      <c r="A140" s="56" t="s">
        <v>150</v>
      </c>
      <c r="E140" s="72">
        <f>SUMIF(History1!B:B, A140, History1!C:C)</f>
        <v>0</v>
      </c>
      <c r="K140" s="72" t="s">
        <v>2265</v>
      </c>
      <c r="L140" s="57" t="s">
        <v>1151</v>
      </c>
      <c r="Q140" s="57" t="str">
        <f t="shared" si="2"/>
        <v>🔴 LOW</v>
      </c>
    </row>
    <row r="141" spans="1:17" ht="207.6" customHeight="1">
      <c r="A141" s="56" t="s">
        <v>151</v>
      </c>
      <c r="E141" s="72">
        <f>SUMIF(History1!B:B, A141, History1!C:C)</f>
        <v>0</v>
      </c>
      <c r="K141" s="72" t="s">
        <v>2266</v>
      </c>
      <c r="L141" s="57" t="s">
        <v>1152</v>
      </c>
      <c r="Q141" s="57" t="str">
        <f t="shared" si="2"/>
        <v>🔴 LOW</v>
      </c>
    </row>
    <row r="142" spans="1:17" ht="207.6" customHeight="1">
      <c r="A142" s="56" t="s">
        <v>152</v>
      </c>
      <c r="E142" s="72">
        <f>SUMIF(History1!B:B, A142, History1!C:C)</f>
        <v>0</v>
      </c>
      <c r="K142" s="72" t="s">
        <v>2267</v>
      </c>
      <c r="L142" s="57" t="s">
        <v>1153</v>
      </c>
      <c r="Q142" s="57" t="str">
        <f t="shared" si="2"/>
        <v>🔴 LOW</v>
      </c>
    </row>
    <row r="143" spans="1:17" ht="207.6" customHeight="1">
      <c r="A143" s="56" t="s">
        <v>153</v>
      </c>
      <c r="E143" s="72">
        <f>SUMIF(History1!B:B, A143, History1!C:C)</f>
        <v>0</v>
      </c>
      <c r="K143" s="72" t="s">
        <v>2268</v>
      </c>
      <c r="L143" s="57" t="s">
        <v>1154</v>
      </c>
      <c r="Q143" s="57" t="str">
        <f t="shared" si="2"/>
        <v>🔴 LOW</v>
      </c>
    </row>
    <row r="144" spans="1:17" ht="207.6" customHeight="1">
      <c r="A144" s="56" t="s">
        <v>154</v>
      </c>
      <c r="E144" s="72">
        <f>SUMIF(History1!B:B, A144, History1!C:C)</f>
        <v>0</v>
      </c>
      <c r="K144" s="72" t="s">
        <v>2269</v>
      </c>
      <c r="L144" s="57" t="s">
        <v>1155</v>
      </c>
      <c r="Q144" s="57" t="str">
        <f t="shared" si="2"/>
        <v>🔴 LOW</v>
      </c>
    </row>
    <row r="145" spans="1:17" ht="207.6" customHeight="1">
      <c r="A145" s="56" t="s">
        <v>155</v>
      </c>
      <c r="E145" s="72">
        <f>SUMIF(History1!B:B, A145, History1!C:C)</f>
        <v>0</v>
      </c>
      <c r="K145" s="72" t="s">
        <v>2270</v>
      </c>
      <c r="L145" s="57" t="s">
        <v>1156</v>
      </c>
      <c r="Q145" s="57" t="str">
        <f t="shared" si="2"/>
        <v>🔴 LOW</v>
      </c>
    </row>
    <row r="146" spans="1:17" ht="207.6" customHeight="1">
      <c r="A146" s="56" t="s">
        <v>156</v>
      </c>
      <c r="E146" s="72">
        <f>SUMIF(History1!B:B, A146, History1!C:C)</f>
        <v>0</v>
      </c>
      <c r="K146" s="72" t="s">
        <v>2271</v>
      </c>
      <c r="L146" s="57" t="s">
        <v>1157</v>
      </c>
      <c r="Q146" s="57" t="str">
        <f t="shared" si="2"/>
        <v>🔴 LOW</v>
      </c>
    </row>
    <row r="147" spans="1:17" ht="207.6" customHeight="1">
      <c r="A147" s="56" t="s">
        <v>157</v>
      </c>
      <c r="E147" s="72">
        <f>SUMIF(History1!B:B, A147, History1!C:C)</f>
        <v>0</v>
      </c>
      <c r="K147" s="72" t="s">
        <v>2272</v>
      </c>
      <c r="L147" s="57" t="s">
        <v>1158</v>
      </c>
      <c r="Q147" s="57" t="str">
        <f t="shared" si="2"/>
        <v>🔴 LOW</v>
      </c>
    </row>
    <row r="148" spans="1:17" ht="207.6" customHeight="1">
      <c r="A148" s="56" t="s">
        <v>158</v>
      </c>
      <c r="E148" s="72">
        <f>SUMIF(History1!B:B, A148, History1!C:C)</f>
        <v>0</v>
      </c>
      <c r="K148" s="72" t="s">
        <v>2273</v>
      </c>
      <c r="L148" s="57" t="s">
        <v>1159</v>
      </c>
      <c r="Q148" s="57" t="str">
        <f t="shared" si="2"/>
        <v>🔴 LOW</v>
      </c>
    </row>
    <row r="149" spans="1:17" ht="207.6" customHeight="1">
      <c r="A149" s="56" t="s">
        <v>159</v>
      </c>
      <c r="E149" s="72">
        <f>SUMIF(History1!B:B, A149, History1!C:C)</f>
        <v>0</v>
      </c>
      <c r="K149" s="72" t="s">
        <v>2274</v>
      </c>
      <c r="L149" s="57" t="s">
        <v>1160</v>
      </c>
      <c r="Q149" s="57" t="str">
        <f t="shared" si="2"/>
        <v>🔴 LOW</v>
      </c>
    </row>
    <row r="150" spans="1:17" ht="207.6" customHeight="1">
      <c r="A150" s="56" t="s">
        <v>160</v>
      </c>
      <c r="E150" s="72">
        <f>SUMIF(History1!B:B, A150, History1!C:C)</f>
        <v>0</v>
      </c>
      <c r="K150" s="72" t="s">
        <v>2275</v>
      </c>
      <c r="L150" s="57" t="s">
        <v>1161</v>
      </c>
      <c r="Q150" s="57" t="str">
        <f t="shared" si="2"/>
        <v>🔴 LOW</v>
      </c>
    </row>
    <row r="151" spans="1:17" ht="207.6" customHeight="1">
      <c r="A151" s="56" t="s">
        <v>161</v>
      </c>
      <c r="E151" s="72">
        <f>SUMIF(History1!B:B, A151, History1!C:C)</f>
        <v>0</v>
      </c>
      <c r="K151" s="72" t="s">
        <v>2276</v>
      </c>
      <c r="L151" s="57" t="s">
        <v>1162</v>
      </c>
      <c r="Q151" s="57" t="str">
        <f t="shared" si="2"/>
        <v>🔴 LOW</v>
      </c>
    </row>
    <row r="152" spans="1:17" ht="207.6" customHeight="1">
      <c r="A152" s="56" t="s">
        <v>162</v>
      </c>
      <c r="E152" s="72">
        <f>SUMIF(History1!B:B, A152, History1!C:C)</f>
        <v>0</v>
      </c>
      <c r="K152" s="72" t="s">
        <v>2277</v>
      </c>
      <c r="L152" s="57" t="s">
        <v>1163</v>
      </c>
      <c r="Q152" s="57" t="str">
        <f t="shared" si="2"/>
        <v>🔴 LOW</v>
      </c>
    </row>
    <row r="153" spans="1:17" ht="207.6" customHeight="1">
      <c r="A153" s="56" t="s">
        <v>163</v>
      </c>
      <c r="E153" s="72">
        <f>SUMIF(History1!B:B, A153, History1!C:C)</f>
        <v>0</v>
      </c>
      <c r="K153" s="72" t="s">
        <v>2278</v>
      </c>
      <c r="L153" s="57" t="s">
        <v>1164</v>
      </c>
      <c r="Q153" s="57" t="str">
        <f t="shared" si="2"/>
        <v>🔴 LOW</v>
      </c>
    </row>
    <row r="154" spans="1:17" ht="207.6" customHeight="1">
      <c r="A154" s="56" t="s">
        <v>164</v>
      </c>
      <c r="E154" s="72">
        <f>SUMIF(History1!B:B, A154, History1!C:C)</f>
        <v>0</v>
      </c>
      <c r="K154" s="72" t="s">
        <v>2279</v>
      </c>
      <c r="L154" s="57" t="s">
        <v>1165</v>
      </c>
      <c r="Q154" s="57" t="str">
        <f t="shared" si="2"/>
        <v>🔴 LOW</v>
      </c>
    </row>
    <row r="155" spans="1:17" ht="207.6" customHeight="1">
      <c r="A155" s="56" t="s">
        <v>165</v>
      </c>
      <c r="E155" s="72">
        <f>SUMIF(History1!B:B, A155, History1!C:C)</f>
        <v>0</v>
      </c>
      <c r="K155" s="72" t="s">
        <v>2280</v>
      </c>
      <c r="L155" s="57" t="s">
        <v>1166</v>
      </c>
      <c r="Q155" s="57" t="str">
        <f t="shared" si="2"/>
        <v>🔴 LOW</v>
      </c>
    </row>
    <row r="156" spans="1:17" ht="207.6" customHeight="1">
      <c r="A156" s="56" t="s">
        <v>166</v>
      </c>
      <c r="E156" s="72">
        <f>SUMIF(History1!B:B, A156, History1!C:C)</f>
        <v>0</v>
      </c>
      <c r="K156" s="72" t="s">
        <v>2281</v>
      </c>
      <c r="L156" s="57" t="s">
        <v>1167</v>
      </c>
      <c r="Q156" s="57" t="str">
        <f t="shared" si="2"/>
        <v>🔴 LOW</v>
      </c>
    </row>
    <row r="157" spans="1:17" ht="207.6" customHeight="1">
      <c r="A157" s="56" t="s">
        <v>167</v>
      </c>
      <c r="E157" s="72">
        <f>SUMIF(History1!B:B, A157, History1!C:C)</f>
        <v>0</v>
      </c>
      <c r="K157" s="72" t="s">
        <v>2282</v>
      </c>
      <c r="L157" s="57" t="s">
        <v>1168</v>
      </c>
      <c r="Q157" s="57" t="str">
        <f t="shared" si="2"/>
        <v>🔴 LOW</v>
      </c>
    </row>
    <row r="158" spans="1:17" ht="207.6" customHeight="1">
      <c r="A158" s="56" t="s">
        <v>168</v>
      </c>
      <c r="E158" s="72">
        <f>SUMIF(History1!B:B, A158, History1!C:C)</f>
        <v>0</v>
      </c>
      <c r="K158" s="72" t="s">
        <v>2283</v>
      </c>
      <c r="L158" s="57" t="s">
        <v>1169</v>
      </c>
      <c r="Q158" s="57" t="str">
        <f t="shared" si="2"/>
        <v>🔴 LOW</v>
      </c>
    </row>
    <row r="159" spans="1:17" ht="207.6" customHeight="1">
      <c r="A159" s="56" t="s">
        <v>169</v>
      </c>
      <c r="E159" s="72">
        <f>SUMIF(History1!B:B, A159, History1!C:C)</f>
        <v>0</v>
      </c>
      <c r="K159" s="72" t="s">
        <v>2284</v>
      </c>
      <c r="L159" s="57" t="s">
        <v>1170</v>
      </c>
      <c r="Q159" s="57" t="str">
        <f t="shared" si="2"/>
        <v>🔴 LOW</v>
      </c>
    </row>
    <row r="160" spans="1:17" ht="207.6" customHeight="1">
      <c r="A160" s="56" t="s">
        <v>170</v>
      </c>
      <c r="E160" s="72">
        <f>SUMIF(History1!B:B, A160, History1!C:C)</f>
        <v>0</v>
      </c>
      <c r="K160" s="72" t="s">
        <v>2285</v>
      </c>
      <c r="L160" s="57" t="s">
        <v>1171</v>
      </c>
      <c r="Q160" s="57" t="str">
        <f t="shared" si="2"/>
        <v>🔴 LOW</v>
      </c>
    </row>
    <row r="161" spans="1:17" ht="207.6" customHeight="1">
      <c r="A161" s="56" t="s">
        <v>171</v>
      </c>
      <c r="E161" s="72">
        <f>SUMIF(History1!B:B, A161, History1!C:C)</f>
        <v>0</v>
      </c>
      <c r="K161" s="72" t="s">
        <v>2286</v>
      </c>
      <c r="L161" s="57" t="s">
        <v>1172</v>
      </c>
      <c r="Q161" s="57" t="str">
        <f t="shared" si="2"/>
        <v>🔴 LOW</v>
      </c>
    </row>
    <row r="162" spans="1:17" ht="207.6" customHeight="1">
      <c r="A162" s="56" t="s">
        <v>172</v>
      </c>
      <c r="E162" s="72">
        <f>SUMIF(History1!B:B, A162, History1!C:C)</f>
        <v>0</v>
      </c>
      <c r="K162" s="72" t="s">
        <v>2287</v>
      </c>
      <c r="L162" s="57" t="s">
        <v>1173</v>
      </c>
      <c r="Q162" s="57" t="str">
        <f t="shared" si="2"/>
        <v>🔴 LOW</v>
      </c>
    </row>
    <row r="163" spans="1:17" ht="207.6" customHeight="1">
      <c r="A163" s="56" t="s">
        <v>173</v>
      </c>
      <c r="E163" s="72">
        <f>SUMIF(History1!B:B, A163, History1!C:C)</f>
        <v>0</v>
      </c>
      <c r="K163" s="72" t="s">
        <v>2288</v>
      </c>
      <c r="L163" s="57" t="s">
        <v>1174</v>
      </c>
      <c r="Q163" s="57" t="str">
        <f t="shared" si="2"/>
        <v>🔴 LOW</v>
      </c>
    </row>
    <row r="164" spans="1:17" ht="207.6" customHeight="1">
      <c r="A164" s="56" t="s">
        <v>174</v>
      </c>
      <c r="E164" s="72">
        <f>SUMIF(History1!B:B, A164, History1!C:C)</f>
        <v>0</v>
      </c>
      <c r="K164" s="72" t="s">
        <v>2289</v>
      </c>
      <c r="L164" s="57" t="s">
        <v>1175</v>
      </c>
      <c r="Q164" s="57" t="str">
        <f t="shared" si="2"/>
        <v>🔴 LOW</v>
      </c>
    </row>
    <row r="165" spans="1:17" ht="207.6" customHeight="1">
      <c r="A165" s="56" t="s">
        <v>175</v>
      </c>
      <c r="E165" s="72">
        <f>SUMIF(History1!B:B, A165, History1!C:C)</f>
        <v>0</v>
      </c>
      <c r="K165" s="72" t="s">
        <v>2290</v>
      </c>
      <c r="L165" s="57" t="s">
        <v>1176</v>
      </c>
      <c r="Q165" s="57" t="str">
        <f t="shared" si="2"/>
        <v>🔴 LOW</v>
      </c>
    </row>
    <row r="166" spans="1:17" ht="207.6" customHeight="1">
      <c r="A166" s="56" t="s">
        <v>176</v>
      </c>
      <c r="E166" s="72">
        <f>SUMIF(History1!B:B, A166, History1!C:C)</f>
        <v>0</v>
      </c>
      <c r="K166" s="72" t="s">
        <v>2291</v>
      </c>
      <c r="L166" s="57" t="s">
        <v>1177</v>
      </c>
      <c r="Q166" s="57" t="str">
        <f t="shared" si="2"/>
        <v>🔴 LOW</v>
      </c>
    </row>
    <row r="167" spans="1:17" ht="207.6" customHeight="1">
      <c r="A167" s="56" t="s">
        <v>177</v>
      </c>
      <c r="E167" s="72">
        <f>SUMIF(History1!B:B, A167, History1!C:C)</f>
        <v>0</v>
      </c>
      <c r="K167" s="72" t="s">
        <v>2292</v>
      </c>
      <c r="L167" s="57" t="s">
        <v>1178</v>
      </c>
      <c r="Q167" s="57" t="str">
        <f t="shared" si="2"/>
        <v>🔴 LOW</v>
      </c>
    </row>
    <row r="168" spans="1:17" ht="207.6" customHeight="1">
      <c r="A168" s="56" t="s">
        <v>178</v>
      </c>
      <c r="E168" s="72">
        <f>SUMIF(History1!B:B, A168, History1!C:C)</f>
        <v>0</v>
      </c>
      <c r="K168" s="72" t="s">
        <v>2293</v>
      </c>
      <c r="L168" s="57" t="s">
        <v>1179</v>
      </c>
      <c r="Q168" s="57" t="str">
        <f t="shared" si="2"/>
        <v>🔴 LOW</v>
      </c>
    </row>
    <row r="169" spans="1:17" ht="207.6" customHeight="1">
      <c r="A169" s="56" t="s">
        <v>179</v>
      </c>
      <c r="E169" s="72">
        <f>SUMIF(History1!B:B, A169, History1!C:C)</f>
        <v>0</v>
      </c>
      <c r="K169" s="72" t="s">
        <v>2294</v>
      </c>
      <c r="L169" s="57" t="s">
        <v>1180</v>
      </c>
      <c r="Q169" s="57" t="str">
        <f t="shared" si="2"/>
        <v>🔴 LOW</v>
      </c>
    </row>
    <row r="170" spans="1:17" ht="207.6" customHeight="1">
      <c r="A170" s="56" t="s">
        <v>180</v>
      </c>
      <c r="E170" s="72">
        <f>SUMIF(History1!B:B, A170, History1!C:C)</f>
        <v>0</v>
      </c>
      <c r="K170" s="72" t="s">
        <v>2295</v>
      </c>
      <c r="L170" s="57" t="s">
        <v>1181</v>
      </c>
      <c r="Q170" s="57" t="str">
        <f t="shared" si="2"/>
        <v>🔴 LOW</v>
      </c>
    </row>
    <row r="171" spans="1:17" ht="207.6" customHeight="1">
      <c r="A171" s="56" t="s">
        <v>181</v>
      </c>
      <c r="E171" s="72">
        <f>SUMIF(History1!B:B, A171, History1!C:C)</f>
        <v>0</v>
      </c>
      <c r="K171" s="72" t="s">
        <v>2296</v>
      </c>
      <c r="L171" s="57" t="s">
        <v>1182</v>
      </c>
      <c r="Q171" s="57" t="str">
        <f t="shared" si="2"/>
        <v>🔴 LOW</v>
      </c>
    </row>
    <row r="172" spans="1:17" ht="207.6" customHeight="1">
      <c r="A172" s="56" t="s">
        <v>182</v>
      </c>
      <c r="E172" s="72">
        <f>SUMIF(History1!B:B, A172, History1!C:C)</f>
        <v>0</v>
      </c>
      <c r="K172" s="72" t="s">
        <v>2297</v>
      </c>
      <c r="L172" s="57" t="s">
        <v>1183</v>
      </c>
      <c r="Q172" s="57" t="str">
        <f t="shared" si="2"/>
        <v>🔴 LOW</v>
      </c>
    </row>
    <row r="173" spans="1:17" ht="207.6" customHeight="1">
      <c r="A173" s="56" t="s">
        <v>183</v>
      </c>
      <c r="E173" s="72">
        <f>SUMIF(History1!B:B, A173, History1!C:C)</f>
        <v>0</v>
      </c>
      <c r="K173" s="72" t="s">
        <v>2298</v>
      </c>
      <c r="L173" s="57" t="s">
        <v>1184</v>
      </c>
      <c r="Q173" s="57" t="str">
        <f t="shared" si="2"/>
        <v>🔴 LOW</v>
      </c>
    </row>
    <row r="174" spans="1:17" ht="207.6" customHeight="1">
      <c r="A174" s="56" t="s">
        <v>184</v>
      </c>
      <c r="E174" s="72">
        <f>SUMIF(History1!B:B, A174, History1!C:C)</f>
        <v>0</v>
      </c>
      <c r="K174" s="72" t="s">
        <v>2299</v>
      </c>
      <c r="L174" s="57" t="s">
        <v>1185</v>
      </c>
      <c r="Q174" s="57" t="str">
        <f t="shared" si="2"/>
        <v>🔴 LOW</v>
      </c>
    </row>
    <row r="175" spans="1:17" ht="207.6" customHeight="1">
      <c r="A175" s="56" t="s">
        <v>185</v>
      </c>
      <c r="E175" s="72">
        <f>SUMIF(History1!B:B, A175, History1!C:C)</f>
        <v>0</v>
      </c>
      <c r="K175" s="72" t="s">
        <v>2300</v>
      </c>
      <c r="L175" s="57" t="s">
        <v>1186</v>
      </c>
      <c r="Q175" s="57" t="str">
        <f t="shared" si="2"/>
        <v>🔴 LOW</v>
      </c>
    </row>
    <row r="176" spans="1:17" ht="207.6" customHeight="1">
      <c r="A176" s="56" t="s">
        <v>186</v>
      </c>
      <c r="E176" s="72">
        <f>SUMIF(History1!B:B, A176, History1!C:C)</f>
        <v>0</v>
      </c>
      <c r="K176" s="72" t="s">
        <v>2301</v>
      </c>
      <c r="L176" s="57" t="s">
        <v>1187</v>
      </c>
      <c r="Q176" s="57" t="str">
        <f t="shared" si="2"/>
        <v>🔴 LOW</v>
      </c>
    </row>
    <row r="177" spans="1:17" ht="207.6" customHeight="1">
      <c r="A177" s="56" t="s">
        <v>187</v>
      </c>
      <c r="E177" s="72">
        <f>SUMIF(History1!B:B, A177, History1!C:C)</f>
        <v>0</v>
      </c>
      <c r="K177" s="72" t="s">
        <v>2302</v>
      </c>
      <c r="L177" s="57" t="s">
        <v>1188</v>
      </c>
      <c r="Q177" s="57" t="str">
        <f t="shared" si="2"/>
        <v>🔴 LOW</v>
      </c>
    </row>
    <row r="178" spans="1:17" ht="207.6" customHeight="1">
      <c r="A178" s="56" t="s">
        <v>188</v>
      </c>
      <c r="E178" s="72">
        <f>SUMIF(History1!B:B, A178, History1!C:C)</f>
        <v>0</v>
      </c>
      <c r="K178" s="72" t="s">
        <v>2303</v>
      </c>
      <c r="L178" s="57" t="s">
        <v>1189</v>
      </c>
      <c r="Q178" s="57" t="str">
        <f t="shared" si="2"/>
        <v>🔴 LOW</v>
      </c>
    </row>
    <row r="179" spans="1:17" ht="207.6" customHeight="1">
      <c r="A179" s="56" t="s">
        <v>189</v>
      </c>
      <c r="E179" s="72">
        <f>SUMIF(History1!B:B, A179, History1!C:C)</f>
        <v>0</v>
      </c>
      <c r="K179" s="72" t="s">
        <v>2304</v>
      </c>
      <c r="L179" s="57" t="s">
        <v>1190</v>
      </c>
      <c r="Q179" s="57" t="str">
        <f t="shared" si="2"/>
        <v>🔴 LOW</v>
      </c>
    </row>
    <row r="180" spans="1:17" ht="207.6" customHeight="1">
      <c r="A180" s="56" t="s">
        <v>190</v>
      </c>
      <c r="E180" s="72">
        <f>SUMIF(History1!B:B, A180, History1!C:C)</f>
        <v>0</v>
      </c>
      <c r="K180" s="72" t="s">
        <v>2305</v>
      </c>
      <c r="L180" s="57" t="s">
        <v>1191</v>
      </c>
      <c r="Q180" s="57" t="str">
        <f t="shared" si="2"/>
        <v>🔴 LOW</v>
      </c>
    </row>
    <row r="181" spans="1:17" ht="207.6" customHeight="1">
      <c r="A181" s="56" t="s">
        <v>191</v>
      </c>
      <c r="E181" s="72">
        <f>SUMIF(History1!B:B, A181, History1!C:C)</f>
        <v>0</v>
      </c>
      <c r="K181" s="72" t="s">
        <v>2306</v>
      </c>
      <c r="L181" s="57" t="s">
        <v>1192</v>
      </c>
      <c r="Q181" s="57" t="str">
        <f t="shared" si="2"/>
        <v>🔴 LOW</v>
      </c>
    </row>
    <row r="182" spans="1:17" ht="207.6" customHeight="1">
      <c r="A182" s="56" t="s">
        <v>192</v>
      </c>
      <c r="E182" s="72">
        <f>SUMIF(History1!B:B, A182, History1!C:C)</f>
        <v>0</v>
      </c>
      <c r="K182" s="72" t="s">
        <v>2307</v>
      </c>
      <c r="L182" s="57" t="s">
        <v>1193</v>
      </c>
      <c r="Q182" s="57" t="str">
        <f t="shared" si="2"/>
        <v>🔴 LOW</v>
      </c>
    </row>
    <row r="183" spans="1:17" ht="207.6" customHeight="1">
      <c r="A183" s="56" t="s">
        <v>193</v>
      </c>
      <c r="E183" s="72">
        <f>SUMIF(History1!B:B, A183, History1!C:C)</f>
        <v>0</v>
      </c>
      <c r="K183" s="72" t="s">
        <v>2308</v>
      </c>
      <c r="L183" s="57" t="s">
        <v>1194</v>
      </c>
      <c r="Q183" s="57" t="str">
        <f t="shared" si="2"/>
        <v>🔴 LOW</v>
      </c>
    </row>
    <row r="184" spans="1:17" ht="207.6" customHeight="1">
      <c r="A184" s="56" t="s">
        <v>194</v>
      </c>
      <c r="E184" s="72">
        <f>SUMIF(History1!B:B, A184, History1!C:C)</f>
        <v>0</v>
      </c>
      <c r="K184" s="72" t="s">
        <v>2309</v>
      </c>
      <c r="L184" s="57" t="s">
        <v>1195</v>
      </c>
      <c r="Q184" s="57" t="str">
        <f t="shared" si="2"/>
        <v>🔴 LOW</v>
      </c>
    </row>
    <row r="185" spans="1:17" ht="207.6" customHeight="1">
      <c r="A185" s="56" t="s">
        <v>195</v>
      </c>
      <c r="E185" s="72">
        <f>SUMIF(History1!B:B, A185, History1!C:C)</f>
        <v>0</v>
      </c>
      <c r="K185" s="72" t="s">
        <v>2310</v>
      </c>
      <c r="L185" s="57" t="s">
        <v>1196</v>
      </c>
      <c r="Q185" s="57" t="str">
        <f t="shared" si="2"/>
        <v>🔴 LOW</v>
      </c>
    </row>
    <row r="186" spans="1:17" ht="207.6" customHeight="1">
      <c r="A186" s="56" t="s">
        <v>196</v>
      </c>
      <c r="E186" s="72">
        <f>SUMIF(History1!B:B, A186, History1!C:C)</f>
        <v>0</v>
      </c>
      <c r="K186" s="72" t="s">
        <v>2311</v>
      </c>
      <c r="L186" s="57" t="s">
        <v>1197</v>
      </c>
      <c r="Q186" s="57" t="str">
        <f t="shared" si="2"/>
        <v>🔴 LOW</v>
      </c>
    </row>
    <row r="187" spans="1:17" ht="207.6" customHeight="1">
      <c r="A187" s="56" t="s">
        <v>197</v>
      </c>
      <c r="E187" s="72">
        <f>SUMIF(History1!B:B, A187, History1!C:C)</f>
        <v>0</v>
      </c>
      <c r="K187" s="72" t="s">
        <v>2312</v>
      </c>
      <c r="L187" s="57" t="s">
        <v>1198</v>
      </c>
      <c r="Q187" s="57" t="str">
        <f t="shared" si="2"/>
        <v>🔴 LOW</v>
      </c>
    </row>
    <row r="188" spans="1:17" ht="207.6" customHeight="1">
      <c r="A188" s="56" t="s">
        <v>198</v>
      </c>
      <c r="E188" s="72">
        <f>SUMIF(History1!B:B, A188, History1!C:C)</f>
        <v>0</v>
      </c>
      <c r="K188" s="72" t="s">
        <v>2313</v>
      </c>
      <c r="L188" s="57" t="s">
        <v>1199</v>
      </c>
      <c r="Q188" s="57" t="str">
        <f t="shared" si="2"/>
        <v>🔴 LOW</v>
      </c>
    </row>
    <row r="189" spans="1:17" ht="207.6" customHeight="1">
      <c r="A189" s="56" t="s">
        <v>199</v>
      </c>
      <c r="E189" s="72">
        <f>SUMIF(History1!B:B, A189, History1!C:C)</f>
        <v>0</v>
      </c>
      <c r="K189" s="72" t="s">
        <v>2314</v>
      </c>
      <c r="L189" s="57" t="s">
        <v>1200</v>
      </c>
      <c r="Q189" s="57" t="str">
        <f t="shared" si="2"/>
        <v>🔴 LOW</v>
      </c>
    </row>
    <row r="190" spans="1:17" ht="207.6" customHeight="1">
      <c r="A190" s="56" t="s">
        <v>200</v>
      </c>
      <c r="E190" s="72">
        <f>SUMIF(History1!B:B, A190, History1!C:C)</f>
        <v>0</v>
      </c>
      <c r="K190" s="72" t="s">
        <v>2315</v>
      </c>
      <c r="L190" s="57" t="s">
        <v>1201</v>
      </c>
      <c r="Q190" s="57" t="str">
        <f t="shared" si="2"/>
        <v>🔴 LOW</v>
      </c>
    </row>
    <row r="191" spans="1:17" ht="207.6" customHeight="1">
      <c r="A191" s="56" t="s">
        <v>201</v>
      </c>
      <c r="E191" s="72">
        <f>SUMIF(History1!B:B, A191, History1!C:C)</f>
        <v>0</v>
      </c>
      <c r="K191" s="72" t="s">
        <v>2316</v>
      </c>
      <c r="L191" s="57" t="s">
        <v>1202</v>
      </c>
      <c r="Q191" s="57" t="str">
        <f t="shared" si="2"/>
        <v>🔴 LOW</v>
      </c>
    </row>
    <row r="192" spans="1:17" ht="207.6" customHeight="1">
      <c r="A192" s="56" t="s">
        <v>202</v>
      </c>
      <c r="E192" s="72">
        <f>SUMIF(History1!B:B, A192, History1!C:C)</f>
        <v>0</v>
      </c>
      <c r="K192" s="72" t="s">
        <v>2317</v>
      </c>
      <c r="L192" s="57" t="s">
        <v>1203</v>
      </c>
      <c r="Q192" s="57" t="str">
        <f t="shared" si="2"/>
        <v>🔴 LOW</v>
      </c>
    </row>
    <row r="193" spans="1:17" ht="207.6" customHeight="1">
      <c r="A193" s="56" t="s">
        <v>203</v>
      </c>
      <c r="E193" s="72">
        <f>SUMIF(History1!B:B, A193, History1!C:C)</f>
        <v>0</v>
      </c>
      <c r="K193" s="72" t="s">
        <v>2318</v>
      </c>
      <c r="L193" s="57" t="s">
        <v>1204</v>
      </c>
      <c r="Q193" s="57" t="str">
        <f t="shared" si="2"/>
        <v>🔴 LOW</v>
      </c>
    </row>
    <row r="194" spans="1:17" ht="207.6" customHeight="1">
      <c r="A194" s="56" t="s">
        <v>204</v>
      </c>
      <c r="E194" s="72">
        <f>SUMIF(History1!B:B, A194, History1!C:C)</f>
        <v>0</v>
      </c>
      <c r="K194" s="72" t="s">
        <v>2319</v>
      </c>
      <c r="L194" s="57" t="s">
        <v>1205</v>
      </c>
      <c r="Q194" s="57" t="str">
        <f t="shared" si="2"/>
        <v>🔴 LOW</v>
      </c>
    </row>
    <row r="195" spans="1:17" ht="207.6" customHeight="1">
      <c r="A195" s="56" t="s">
        <v>205</v>
      </c>
      <c r="E195" s="72">
        <f>SUMIF(History1!B:B, A195, History1!C:C)</f>
        <v>0</v>
      </c>
      <c r="K195" s="72" t="s">
        <v>2320</v>
      </c>
      <c r="L195" s="57" t="s">
        <v>1206</v>
      </c>
      <c r="Q195" s="57" t="str">
        <f t="shared" ref="Q195:Q258" si="3">IF(E195&lt;=10,"🔴 LOW",IF(E195&lt;=50,"🟡 MEDIUM","🟢 GOOD"))</f>
        <v>🔴 LOW</v>
      </c>
    </row>
    <row r="196" spans="1:17" ht="207.6" customHeight="1">
      <c r="A196" s="56" t="s">
        <v>206</v>
      </c>
      <c r="E196" s="72">
        <f>SUMIF(History1!B:B, A196, History1!C:C)</f>
        <v>0</v>
      </c>
      <c r="K196" s="72" t="s">
        <v>2321</v>
      </c>
      <c r="L196" s="57" t="s">
        <v>1207</v>
      </c>
      <c r="Q196" s="57" t="str">
        <f t="shared" si="3"/>
        <v>🔴 LOW</v>
      </c>
    </row>
    <row r="197" spans="1:17" ht="207.6" customHeight="1">
      <c r="A197" s="56" t="s">
        <v>207</v>
      </c>
      <c r="E197" s="72">
        <f>SUMIF(History1!B:B, A197, History1!C:C)</f>
        <v>0</v>
      </c>
      <c r="K197" s="72" t="s">
        <v>2322</v>
      </c>
      <c r="L197" s="57" t="s">
        <v>1208</v>
      </c>
      <c r="Q197" s="57" t="str">
        <f t="shared" si="3"/>
        <v>🔴 LOW</v>
      </c>
    </row>
    <row r="198" spans="1:17" ht="207.6" customHeight="1">
      <c r="A198" s="56" t="s">
        <v>208</v>
      </c>
      <c r="E198" s="72">
        <f>SUMIF(History1!B:B, A198, History1!C:C)</f>
        <v>0</v>
      </c>
      <c r="K198" s="72" t="s">
        <v>2323</v>
      </c>
      <c r="L198" s="57" t="s">
        <v>1209</v>
      </c>
      <c r="Q198" s="57" t="str">
        <f t="shared" si="3"/>
        <v>🔴 LOW</v>
      </c>
    </row>
    <row r="199" spans="1:17" ht="207.6" customHeight="1">
      <c r="A199" s="56" t="s">
        <v>209</v>
      </c>
      <c r="E199" s="72">
        <f>SUMIF(History1!B:B, A199, History1!C:C)</f>
        <v>0</v>
      </c>
      <c r="K199" s="72" t="s">
        <v>2324</v>
      </c>
      <c r="L199" s="57" t="s">
        <v>1210</v>
      </c>
      <c r="Q199" s="57" t="str">
        <f t="shared" si="3"/>
        <v>🔴 LOW</v>
      </c>
    </row>
    <row r="200" spans="1:17" ht="207.6" customHeight="1">
      <c r="A200" s="56" t="s">
        <v>210</v>
      </c>
      <c r="E200" s="72">
        <f>SUMIF(History1!B:B, A200, History1!C:C)</f>
        <v>0</v>
      </c>
      <c r="K200" s="72" t="s">
        <v>2325</v>
      </c>
      <c r="L200" s="57" t="s">
        <v>1211</v>
      </c>
      <c r="Q200" s="57" t="str">
        <f t="shared" si="3"/>
        <v>🔴 LOW</v>
      </c>
    </row>
    <row r="201" spans="1:17" ht="207.6" customHeight="1">
      <c r="A201" s="56" t="s">
        <v>211</v>
      </c>
      <c r="E201" s="72">
        <f>SUMIF(History1!B:B, A201, History1!C:C)</f>
        <v>0</v>
      </c>
      <c r="K201" s="72" t="s">
        <v>2326</v>
      </c>
      <c r="L201" s="57" t="s">
        <v>1212</v>
      </c>
      <c r="Q201" s="57" t="str">
        <f t="shared" si="3"/>
        <v>🔴 LOW</v>
      </c>
    </row>
    <row r="202" spans="1:17" ht="207.6" customHeight="1">
      <c r="A202" s="56" t="s">
        <v>212</v>
      </c>
      <c r="E202" s="72">
        <f>SUMIF(History1!B:B, A202, History1!C:C)</f>
        <v>0</v>
      </c>
      <c r="K202" s="72" t="s">
        <v>2327</v>
      </c>
      <c r="L202" s="57" t="s">
        <v>1213</v>
      </c>
      <c r="Q202" s="57" t="str">
        <f t="shared" si="3"/>
        <v>🔴 LOW</v>
      </c>
    </row>
    <row r="203" spans="1:17" ht="207.6" customHeight="1">
      <c r="A203" s="56" t="s">
        <v>213</v>
      </c>
      <c r="E203" s="72">
        <f>SUMIF(History1!B:B, A203, History1!C:C)</f>
        <v>0</v>
      </c>
      <c r="K203" s="72" t="s">
        <v>2328</v>
      </c>
      <c r="L203" s="57" t="s">
        <v>1214</v>
      </c>
      <c r="Q203" s="57" t="str">
        <f t="shared" si="3"/>
        <v>🔴 LOW</v>
      </c>
    </row>
    <row r="204" spans="1:17" ht="207.6" customHeight="1">
      <c r="A204" s="56" t="s">
        <v>214</v>
      </c>
      <c r="E204" s="72">
        <f>SUMIF(History1!B:B, A204, History1!C:C)</f>
        <v>0</v>
      </c>
      <c r="K204" s="72" t="s">
        <v>2329</v>
      </c>
      <c r="L204" s="57" t="s">
        <v>1215</v>
      </c>
      <c r="Q204" s="57" t="str">
        <f t="shared" si="3"/>
        <v>🔴 LOW</v>
      </c>
    </row>
    <row r="205" spans="1:17" ht="207.6" customHeight="1">
      <c r="A205" s="56" t="s">
        <v>215</v>
      </c>
      <c r="E205" s="72">
        <f>SUMIF(History1!B:B, A205, History1!C:C)</f>
        <v>0</v>
      </c>
      <c r="K205" s="72" t="s">
        <v>2330</v>
      </c>
      <c r="L205" s="57" t="s">
        <v>1216</v>
      </c>
      <c r="Q205" s="57" t="str">
        <f t="shared" si="3"/>
        <v>🔴 LOW</v>
      </c>
    </row>
    <row r="206" spans="1:17" ht="207.6" customHeight="1">
      <c r="A206" s="56" t="s">
        <v>216</v>
      </c>
      <c r="E206" s="72">
        <f>SUMIF(History1!B:B, A206, History1!C:C)</f>
        <v>0</v>
      </c>
      <c r="K206" s="72" t="s">
        <v>2331</v>
      </c>
      <c r="L206" s="57" t="s">
        <v>1217</v>
      </c>
      <c r="Q206" s="57" t="str">
        <f t="shared" si="3"/>
        <v>🔴 LOW</v>
      </c>
    </row>
    <row r="207" spans="1:17" ht="207.6" customHeight="1">
      <c r="A207" s="56" t="s">
        <v>217</v>
      </c>
      <c r="E207" s="72">
        <f>SUMIF(History1!B:B, A207, History1!C:C)</f>
        <v>0</v>
      </c>
      <c r="K207" s="72" t="s">
        <v>2332</v>
      </c>
      <c r="L207" s="57" t="s">
        <v>1218</v>
      </c>
      <c r="Q207" s="57" t="str">
        <f t="shared" si="3"/>
        <v>🔴 LOW</v>
      </c>
    </row>
    <row r="208" spans="1:17" ht="207.6" customHeight="1">
      <c r="A208" s="56" t="s">
        <v>218</v>
      </c>
      <c r="E208" s="72">
        <f>SUMIF(History1!B:B, A208, History1!C:C)</f>
        <v>0</v>
      </c>
      <c r="K208" s="72" t="s">
        <v>2333</v>
      </c>
      <c r="L208" s="57" t="s">
        <v>1219</v>
      </c>
      <c r="Q208" s="57" t="str">
        <f t="shared" si="3"/>
        <v>🔴 LOW</v>
      </c>
    </row>
    <row r="209" spans="1:17" ht="207.6" customHeight="1">
      <c r="A209" s="56" t="s">
        <v>219</v>
      </c>
      <c r="E209" s="72">
        <f>SUMIF(History1!B:B, A209, History1!C:C)</f>
        <v>0</v>
      </c>
      <c r="K209" s="72" t="s">
        <v>2334</v>
      </c>
      <c r="L209" s="57" t="s">
        <v>1220</v>
      </c>
      <c r="Q209" s="57" t="str">
        <f t="shared" si="3"/>
        <v>🔴 LOW</v>
      </c>
    </row>
    <row r="210" spans="1:17" ht="207.6" customHeight="1">
      <c r="A210" s="56" t="s">
        <v>220</v>
      </c>
      <c r="E210" s="72">
        <f>SUMIF(History1!B:B, A210, History1!C:C)</f>
        <v>0</v>
      </c>
      <c r="K210" s="72" t="s">
        <v>2335</v>
      </c>
      <c r="L210" s="57" t="s">
        <v>1221</v>
      </c>
      <c r="Q210" s="57" t="str">
        <f t="shared" si="3"/>
        <v>🔴 LOW</v>
      </c>
    </row>
    <row r="211" spans="1:17" ht="207.6" customHeight="1">
      <c r="A211" s="56" t="s">
        <v>221</v>
      </c>
      <c r="E211" s="72">
        <f>SUMIF(History1!B:B, A211, History1!C:C)</f>
        <v>0</v>
      </c>
      <c r="K211" s="72" t="s">
        <v>2336</v>
      </c>
      <c r="L211" s="57" t="s">
        <v>1222</v>
      </c>
      <c r="Q211" s="57" t="str">
        <f t="shared" si="3"/>
        <v>🔴 LOW</v>
      </c>
    </row>
    <row r="212" spans="1:17" ht="207.6" customHeight="1">
      <c r="A212" s="56" t="s">
        <v>222</v>
      </c>
      <c r="E212" s="72">
        <f>SUMIF(History1!B:B, A212, History1!C:C)</f>
        <v>0</v>
      </c>
      <c r="K212" s="72" t="s">
        <v>2337</v>
      </c>
      <c r="L212" s="57" t="s">
        <v>1223</v>
      </c>
      <c r="Q212" s="57" t="str">
        <f t="shared" si="3"/>
        <v>🔴 LOW</v>
      </c>
    </row>
    <row r="213" spans="1:17" ht="207.6" customHeight="1">
      <c r="A213" s="56" t="s">
        <v>223</v>
      </c>
      <c r="E213" s="72">
        <f>SUMIF(History1!B:B, A213, History1!C:C)</f>
        <v>0</v>
      </c>
      <c r="K213" s="72" t="s">
        <v>2338</v>
      </c>
      <c r="L213" s="57" t="s">
        <v>1224</v>
      </c>
      <c r="Q213" s="57" t="str">
        <f t="shared" si="3"/>
        <v>🔴 LOW</v>
      </c>
    </row>
    <row r="214" spans="1:17" ht="207.6" customHeight="1">
      <c r="A214" s="56" t="s">
        <v>224</v>
      </c>
      <c r="E214" s="72">
        <f>SUMIF(History1!B:B, A214, History1!C:C)</f>
        <v>0</v>
      </c>
      <c r="K214" s="72" t="s">
        <v>2339</v>
      </c>
      <c r="L214" s="57" t="s">
        <v>1225</v>
      </c>
      <c r="Q214" s="57" t="str">
        <f t="shared" si="3"/>
        <v>🔴 LOW</v>
      </c>
    </row>
    <row r="215" spans="1:17" ht="207.6" customHeight="1">
      <c r="A215" s="56" t="s">
        <v>225</v>
      </c>
      <c r="E215" s="72">
        <f>SUMIF(History1!B:B, A215, History1!C:C)</f>
        <v>0</v>
      </c>
      <c r="K215" s="72" t="s">
        <v>2340</v>
      </c>
      <c r="L215" s="57" t="s">
        <v>1226</v>
      </c>
      <c r="Q215" s="57" t="str">
        <f t="shared" si="3"/>
        <v>🔴 LOW</v>
      </c>
    </row>
    <row r="216" spans="1:17" ht="207.6" customHeight="1">
      <c r="A216" s="56" t="s">
        <v>226</v>
      </c>
      <c r="E216" s="72">
        <f>SUMIF(History1!B:B, A216, History1!C:C)</f>
        <v>0</v>
      </c>
      <c r="K216" s="72" t="s">
        <v>2341</v>
      </c>
      <c r="L216" s="57" t="s">
        <v>1227</v>
      </c>
      <c r="Q216" s="57" t="str">
        <f t="shared" si="3"/>
        <v>🔴 LOW</v>
      </c>
    </row>
    <row r="217" spans="1:17" ht="207.6" customHeight="1">
      <c r="A217" s="56" t="s">
        <v>227</v>
      </c>
      <c r="E217" s="72">
        <f>SUMIF(History1!B:B, A217, History1!C:C)</f>
        <v>0</v>
      </c>
      <c r="K217" s="72" t="s">
        <v>2342</v>
      </c>
      <c r="L217" s="57" t="s">
        <v>1228</v>
      </c>
      <c r="Q217" s="57" t="str">
        <f t="shared" si="3"/>
        <v>🔴 LOW</v>
      </c>
    </row>
    <row r="218" spans="1:17" ht="207.6" customHeight="1">
      <c r="A218" s="56" t="s">
        <v>228</v>
      </c>
      <c r="E218" s="72">
        <f>SUMIF(History1!B:B, A218, History1!C:C)</f>
        <v>0</v>
      </c>
      <c r="K218" s="72" t="s">
        <v>2343</v>
      </c>
      <c r="L218" s="57" t="s">
        <v>1229</v>
      </c>
      <c r="Q218" s="57" t="str">
        <f t="shared" si="3"/>
        <v>🔴 LOW</v>
      </c>
    </row>
    <row r="219" spans="1:17" ht="207.6" customHeight="1">
      <c r="A219" s="56" t="s">
        <v>229</v>
      </c>
      <c r="E219" s="72">
        <f>SUMIF(History1!B:B, A219, History1!C:C)</f>
        <v>0</v>
      </c>
      <c r="K219" s="72" t="s">
        <v>2344</v>
      </c>
      <c r="L219" s="57" t="s">
        <v>1230</v>
      </c>
      <c r="Q219" s="57" t="str">
        <f t="shared" si="3"/>
        <v>🔴 LOW</v>
      </c>
    </row>
    <row r="220" spans="1:17" ht="207.6" customHeight="1">
      <c r="A220" s="56" t="s">
        <v>230</v>
      </c>
      <c r="E220" s="72">
        <f>SUMIF(History1!B:B, A220, History1!C:C)</f>
        <v>0</v>
      </c>
      <c r="K220" s="72" t="s">
        <v>2345</v>
      </c>
      <c r="L220" s="57" t="s">
        <v>1231</v>
      </c>
      <c r="Q220" s="57" t="str">
        <f t="shared" si="3"/>
        <v>🔴 LOW</v>
      </c>
    </row>
    <row r="221" spans="1:17" ht="207.6" customHeight="1">
      <c r="A221" s="56" t="s">
        <v>231</v>
      </c>
      <c r="E221" s="72">
        <f>SUMIF(History1!B:B, A221, History1!C:C)</f>
        <v>0</v>
      </c>
      <c r="K221" s="72" t="s">
        <v>2346</v>
      </c>
      <c r="L221" s="57" t="s">
        <v>1232</v>
      </c>
      <c r="Q221" s="57" t="str">
        <f t="shared" si="3"/>
        <v>🔴 LOW</v>
      </c>
    </row>
    <row r="222" spans="1:17" ht="207.6" customHeight="1">
      <c r="A222" s="56" t="s">
        <v>232</v>
      </c>
      <c r="E222" s="72">
        <f>SUMIF(History1!B:B, A222, History1!C:C)</f>
        <v>0</v>
      </c>
      <c r="K222" s="72" t="s">
        <v>2347</v>
      </c>
      <c r="L222" s="57" t="s">
        <v>1233</v>
      </c>
      <c r="Q222" s="57" t="str">
        <f t="shared" si="3"/>
        <v>🔴 LOW</v>
      </c>
    </row>
    <row r="223" spans="1:17" ht="207.6" customHeight="1">
      <c r="A223" s="56" t="s">
        <v>233</v>
      </c>
      <c r="E223" s="72">
        <f>SUMIF(History1!B:B, A223, History1!C:C)</f>
        <v>0</v>
      </c>
      <c r="K223" s="72" t="s">
        <v>2348</v>
      </c>
      <c r="L223" s="57" t="s">
        <v>1234</v>
      </c>
      <c r="Q223" s="57" t="str">
        <f t="shared" si="3"/>
        <v>🔴 LOW</v>
      </c>
    </row>
    <row r="224" spans="1:17" ht="207.6" customHeight="1">
      <c r="A224" s="56" t="s">
        <v>234</v>
      </c>
      <c r="E224" s="72">
        <f>SUMIF(History1!B:B, A224, History1!C:C)</f>
        <v>0</v>
      </c>
      <c r="K224" s="72" t="s">
        <v>2349</v>
      </c>
      <c r="L224" s="57" t="s">
        <v>1235</v>
      </c>
      <c r="Q224" s="57" t="str">
        <f t="shared" si="3"/>
        <v>🔴 LOW</v>
      </c>
    </row>
    <row r="225" spans="1:17" ht="207.6" customHeight="1">
      <c r="A225" s="56" t="s">
        <v>235</v>
      </c>
      <c r="E225" s="72">
        <f>SUMIF(History1!B:B, A225, History1!C:C)</f>
        <v>0</v>
      </c>
      <c r="K225" s="72" t="s">
        <v>2350</v>
      </c>
      <c r="L225" s="57" t="s">
        <v>1236</v>
      </c>
      <c r="Q225" s="57" t="str">
        <f t="shared" si="3"/>
        <v>🔴 LOW</v>
      </c>
    </row>
    <row r="226" spans="1:17" ht="207.6" customHeight="1">
      <c r="A226" s="56" t="s">
        <v>236</v>
      </c>
      <c r="E226" s="72">
        <f>SUMIF(History1!B:B, A226, History1!C:C)</f>
        <v>0</v>
      </c>
      <c r="K226" s="72" t="s">
        <v>2351</v>
      </c>
      <c r="L226" s="57" t="s">
        <v>1237</v>
      </c>
      <c r="Q226" s="57" t="str">
        <f t="shared" si="3"/>
        <v>🔴 LOW</v>
      </c>
    </row>
    <row r="227" spans="1:17" ht="207.6" customHeight="1">
      <c r="A227" s="56" t="s">
        <v>237</v>
      </c>
      <c r="E227" s="72">
        <f>SUMIF(History1!B:B, A227, History1!C:C)</f>
        <v>0</v>
      </c>
      <c r="K227" s="72" t="s">
        <v>2352</v>
      </c>
      <c r="L227" s="57" t="s">
        <v>1238</v>
      </c>
      <c r="Q227" s="57" t="str">
        <f t="shared" si="3"/>
        <v>🔴 LOW</v>
      </c>
    </row>
    <row r="228" spans="1:17" ht="207.6" customHeight="1">
      <c r="A228" s="56" t="s">
        <v>238</v>
      </c>
      <c r="E228" s="72">
        <f>SUMIF(History1!B:B, A228, History1!C:C)</f>
        <v>0</v>
      </c>
      <c r="K228" s="72" t="s">
        <v>2353</v>
      </c>
      <c r="L228" s="57" t="s">
        <v>1239</v>
      </c>
      <c r="Q228" s="57" t="str">
        <f t="shared" si="3"/>
        <v>🔴 LOW</v>
      </c>
    </row>
    <row r="229" spans="1:17" ht="207.6" customHeight="1">
      <c r="A229" s="56" t="s">
        <v>239</v>
      </c>
      <c r="E229" s="72">
        <f>SUMIF(History1!B:B, A229, History1!C:C)</f>
        <v>0</v>
      </c>
      <c r="K229" s="72" t="s">
        <v>2354</v>
      </c>
      <c r="L229" s="57" t="s">
        <v>1240</v>
      </c>
      <c r="Q229" s="57" t="str">
        <f t="shared" si="3"/>
        <v>🔴 LOW</v>
      </c>
    </row>
    <row r="230" spans="1:17" ht="207.6" customHeight="1">
      <c r="A230" s="56" t="s">
        <v>240</v>
      </c>
      <c r="E230" s="72">
        <f>SUMIF(History1!B:B, A230, History1!C:C)</f>
        <v>0</v>
      </c>
      <c r="K230" s="72" t="s">
        <v>2355</v>
      </c>
      <c r="L230" s="57" t="s">
        <v>1241</v>
      </c>
      <c r="Q230" s="57" t="str">
        <f t="shared" si="3"/>
        <v>🔴 LOW</v>
      </c>
    </row>
    <row r="231" spans="1:17" ht="207.6" customHeight="1">
      <c r="A231" s="56" t="s">
        <v>241</v>
      </c>
      <c r="E231" s="72">
        <f>SUMIF(History1!B:B, A231, History1!C:C)</f>
        <v>0</v>
      </c>
      <c r="K231" s="72" t="s">
        <v>2356</v>
      </c>
      <c r="L231" s="57" t="s">
        <v>1242</v>
      </c>
      <c r="Q231" s="57" t="str">
        <f t="shared" si="3"/>
        <v>🔴 LOW</v>
      </c>
    </row>
    <row r="232" spans="1:17" ht="207.6" customHeight="1">
      <c r="A232" s="56" t="s">
        <v>242</v>
      </c>
      <c r="E232" s="72">
        <f>SUMIF(History1!B:B, A232, History1!C:C)</f>
        <v>0</v>
      </c>
      <c r="K232" s="72" t="s">
        <v>2357</v>
      </c>
      <c r="L232" s="57" t="s">
        <v>1243</v>
      </c>
      <c r="Q232" s="57" t="str">
        <f t="shared" si="3"/>
        <v>🔴 LOW</v>
      </c>
    </row>
    <row r="233" spans="1:17" ht="207.6" customHeight="1">
      <c r="A233" s="56" t="s">
        <v>243</v>
      </c>
      <c r="E233" s="72">
        <f>SUMIF(History1!B:B, A233, History1!C:C)</f>
        <v>0</v>
      </c>
      <c r="K233" s="72" t="s">
        <v>2358</v>
      </c>
      <c r="L233" s="57" t="s">
        <v>1244</v>
      </c>
      <c r="Q233" s="57" t="str">
        <f t="shared" si="3"/>
        <v>🔴 LOW</v>
      </c>
    </row>
    <row r="234" spans="1:17" ht="207.6" customHeight="1">
      <c r="A234" s="56" t="s">
        <v>244</v>
      </c>
      <c r="E234" s="72">
        <f>SUMIF(History1!B:B, A234, History1!C:C)</f>
        <v>0</v>
      </c>
      <c r="K234" s="72" t="s">
        <v>2359</v>
      </c>
      <c r="L234" s="57" t="s">
        <v>1245</v>
      </c>
      <c r="Q234" s="57" t="str">
        <f t="shared" si="3"/>
        <v>🔴 LOW</v>
      </c>
    </row>
    <row r="235" spans="1:17" ht="207.6" customHeight="1">
      <c r="A235" s="56" t="s">
        <v>245</v>
      </c>
      <c r="E235" s="72">
        <f>SUMIF(History1!B:B, A235, History1!C:C)</f>
        <v>0</v>
      </c>
      <c r="K235" s="72" t="s">
        <v>2360</v>
      </c>
      <c r="L235" s="57" t="s">
        <v>1246</v>
      </c>
      <c r="Q235" s="57" t="str">
        <f t="shared" si="3"/>
        <v>🔴 LOW</v>
      </c>
    </row>
    <row r="236" spans="1:17" ht="207.6" customHeight="1">
      <c r="A236" s="56" t="s">
        <v>246</v>
      </c>
      <c r="E236" s="72">
        <f>SUMIF(History1!B:B, A236, History1!C:C)</f>
        <v>0</v>
      </c>
      <c r="K236" s="72" t="s">
        <v>2361</v>
      </c>
      <c r="L236" s="57" t="s">
        <v>1247</v>
      </c>
      <c r="Q236" s="57" t="str">
        <f t="shared" si="3"/>
        <v>🔴 LOW</v>
      </c>
    </row>
    <row r="237" spans="1:17" ht="207.6" customHeight="1">
      <c r="A237" s="56" t="s">
        <v>247</v>
      </c>
      <c r="E237" s="72">
        <f>SUMIF(History1!B:B, A237, History1!C:C)</f>
        <v>0</v>
      </c>
      <c r="K237" s="72" t="s">
        <v>2362</v>
      </c>
      <c r="L237" s="57" t="s">
        <v>1248</v>
      </c>
      <c r="Q237" s="57" t="str">
        <f t="shared" si="3"/>
        <v>🔴 LOW</v>
      </c>
    </row>
    <row r="238" spans="1:17" ht="207.6" customHeight="1">
      <c r="A238" s="56" t="s">
        <v>248</v>
      </c>
      <c r="E238" s="72">
        <f>SUMIF(History1!B:B, A238, History1!C:C)</f>
        <v>0</v>
      </c>
      <c r="K238" s="72" t="s">
        <v>2363</v>
      </c>
      <c r="L238" s="57" t="s">
        <v>1249</v>
      </c>
      <c r="Q238" s="57" t="str">
        <f t="shared" si="3"/>
        <v>🔴 LOW</v>
      </c>
    </row>
    <row r="239" spans="1:17" ht="207.6" customHeight="1">
      <c r="A239" s="56" t="s">
        <v>249</v>
      </c>
      <c r="E239" s="72">
        <f>SUMIF(History1!B:B, A239, History1!C:C)</f>
        <v>0</v>
      </c>
      <c r="K239" s="72" t="s">
        <v>2364</v>
      </c>
      <c r="L239" s="57" t="s">
        <v>1250</v>
      </c>
      <c r="Q239" s="57" t="str">
        <f t="shared" si="3"/>
        <v>🔴 LOW</v>
      </c>
    </row>
    <row r="240" spans="1:17" ht="207.6" customHeight="1">
      <c r="A240" s="56" t="s">
        <v>250</v>
      </c>
      <c r="E240" s="72">
        <f>SUMIF(History1!B:B, A240, History1!C:C)</f>
        <v>0</v>
      </c>
      <c r="K240" s="72" t="s">
        <v>2365</v>
      </c>
      <c r="L240" s="57" t="s">
        <v>1251</v>
      </c>
      <c r="Q240" s="57" t="str">
        <f t="shared" si="3"/>
        <v>🔴 LOW</v>
      </c>
    </row>
    <row r="241" spans="1:17" ht="207.6" customHeight="1">
      <c r="A241" s="56" t="s">
        <v>251</v>
      </c>
      <c r="E241" s="72">
        <f>SUMIF(History1!B:B, A241, History1!C:C)</f>
        <v>0</v>
      </c>
      <c r="K241" s="72" t="s">
        <v>2366</v>
      </c>
      <c r="L241" s="57" t="s">
        <v>1252</v>
      </c>
      <c r="Q241" s="57" t="str">
        <f t="shared" si="3"/>
        <v>🔴 LOW</v>
      </c>
    </row>
    <row r="242" spans="1:17" ht="207.6" customHeight="1">
      <c r="A242" s="56" t="s">
        <v>252</v>
      </c>
      <c r="E242" s="72">
        <f>SUMIF(History1!B:B, A242, History1!C:C)</f>
        <v>0</v>
      </c>
      <c r="K242" s="72" t="s">
        <v>2367</v>
      </c>
      <c r="L242" s="57" t="s">
        <v>1253</v>
      </c>
      <c r="Q242" s="57" t="str">
        <f t="shared" si="3"/>
        <v>🔴 LOW</v>
      </c>
    </row>
    <row r="243" spans="1:17" ht="207.6" customHeight="1">
      <c r="A243" s="56" t="s">
        <v>253</v>
      </c>
      <c r="E243" s="72">
        <f>SUMIF(History1!B:B, A243, History1!C:C)</f>
        <v>0</v>
      </c>
      <c r="K243" s="72" t="s">
        <v>2368</v>
      </c>
      <c r="L243" s="57" t="s">
        <v>1254</v>
      </c>
      <c r="Q243" s="57" t="str">
        <f t="shared" si="3"/>
        <v>🔴 LOW</v>
      </c>
    </row>
    <row r="244" spans="1:17" ht="207.6" customHeight="1">
      <c r="A244" s="56" t="s">
        <v>254</v>
      </c>
      <c r="E244" s="72">
        <f>SUMIF(History1!B:B, A244, History1!C:C)</f>
        <v>0</v>
      </c>
      <c r="K244" s="72" t="s">
        <v>2369</v>
      </c>
      <c r="L244" s="57" t="s">
        <v>1255</v>
      </c>
      <c r="Q244" s="57" t="str">
        <f t="shared" si="3"/>
        <v>🔴 LOW</v>
      </c>
    </row>
    <row r="245" spans="1:17" ht="207.6" customHeight="1">
      <c r="A245" s="56" t="s">
        <v>255</v>
      </c>
      <c r="E245" s="72">
        <f>SUMIF(History1!B:B, A245, History1!C:C)</f>
        <v>0</v>
      </c>
      <c r="K245" s="72" t="s">
        <v>2370</v>
      </c>
      <c r="L245" s="57" t="s">
        <v>1256</v>
      </c>
      <c r="Q245" s="57" t="str">
        <f t="shared" si="3"/>
        <v>🔴 LOW</v>
      </c>
    </row>
    <row r="246" spans="1:17" ht="207.6" customHeight="1">
      <c r="A246" s="56" t="s">
        <v>256</v>
      </c>
      <c r="E246" s="72">
        <f>SUMIF(History1!B:B, A246, History1!C:C)</f>
        <v>0</v>
      </c>
      <c r="K246" s="72" t="s">
        <v>2371</v>
      </c>
      <c r="L246" s="57" t="s">
        <v>1257</v>
      </c>
      <c r="Q246" s="57" t="str">
        <f t="shared" si="3"/>
        <v>🔴 LOW</v>
      </c>
    </row>
    <row r="247" spans="1:17" ht="207.6" customHeight="1">
      <c r="A247" s="56" t="s">
        <v>257</v>
      </c>
      <c r="E247" s="72">
        <f>SUMIF(History1!B:B, A247, History1!C:C)</f>
        <v>0</v>
      </c>
      <c r="K247" s="72" t="s">
        <v>2372</v>
      </c>
      <c r="L247" s="57" t="s">
        <v>1258</v>
      </c>
      <c r="Q247" s="57" t="str">
        <f t="shared" si="3"/>
        <v>🔴 LOW</v>
      </c>
    </row>
    <row r="248" spans="1:17" ht="207.6" customHeight="1">
      <c r="A248" s="56" t="s">
        <v>258</v>
      </c>
      <c r="E248" s="72">
        <f>SUMIF(History1!B:B, A248, History1!C:C)</f>
        <v>0</v>
      </c>
      <c r="K248" s="72" t="s">
        <v>2373</v>
      </c>
      <c r="L248" s="57" t="s">
        <v>1259</v>
      </c>
      <c r="Q248" s="57" t="str">
        <f t="shared" si="3"/>
        <v>🔴 LOW</v>
      </c>
    </row>
    <row r="249" spans="1:17" ht="207.6" customHeight="1">
      <c r="A249" s="56" t="s">
        <v>259</v>
      </c>
      <c r="E249" s="72">
        <f>SUMIF(History1!B:B, A249, History1!C:C)</f>
        <v>0</v>
      </c>
      <c r="K249" s="72" t="s">
        <v>2374</v>
      </c>
      <c r="L249" s="57" t="s">
        <v>1260</v>
      </c>
      <c r="Q249" s="57" t="str">
        <f t="shared" si="3"/>
        <v>🔴 LOW</v>
      </c>
    </row>
    <row r="250" spans="1:17" ht="207.6" customHeight="1">
      <c r="A250" s="56" t="s">
        <v>260</v>
      </c>
      <c r="E250" s="72">
        <f>SUMIF(History1!B:B, A250, History1!C:C)</f>
        <v>0</v>
      </c>
      <c r="K250" s="72" t="s">
        <v>2375</v>
      </c>
      <c r="L250" s="57" t="s">
        <v>1261</v>
      </c>
      <c r="Q250" s="57" t="str">
        <f t="shared" si="3"/>
        <v>🔴 LOW</v>
      </c>
    </row>
    <row r="251" spans="1:17" ht="207.6" customHeight="1">
      <c r="A251" s="56" t="s">
        <v>261</v>
      </c>
      <c r="E251" s="72">
        <f>SUMIF(History1!B:B, A251, History1!C:C)</f>
        <v>0</v>
      </c>
      <c r="K251" s="72" t="s">
        <v>2376</v>
      </c>
      <c r="L251" s="57" t="s">
        <v>1262</v>
      </c>
      <c r="Q251" s="57" t="str">
        <f t="shared" si="3"/>
        <v>🔴 LOW</v>
      </c>
    </row>
    <row r="252" spans="1:17" ht="207.6" customHeight="1">
      <c r="A252" s="56" t="s">
        <v>262</v>
      </c>
      <c r="E252" s="72">
        <f>SUMIF(History1!B:B, A252, History1!C:C)</f>
        <v>0</v>
      </c>
      <c r="K252" s="72" t="s">
        <v>2377</v>
      </c>
      <c r="L252" s="57" t="s">
        <v>1263</v>
      </c>
      <c r="Q252" s="57" t="str">
        <f t="shared" si="3"/>
        <v>🔴 LOW</v>
      </c>
    </row>
    <row r="253" spans="1:17" ht="207.6" customHeight="1">
      <c r="A253" s="56" t="s">
        <v>263</v>
      </c>
      <c r="E253" s="72">
        <f>SUMIF(History1!B:B, A253, History1!C:C)</f>
        <v>0</v>
      </c>
      <c r="K253" s="72" t="s">
        <v>2378</v>
      </c>
      <c r="L253" s="57" t="s">
        <v>1264</v>
      </c>
      <c r="Q253" s="57" t="str">
        <f t="shared" si="3"/>
        <v>🔴 LOW</v>
      </c>
    </row>
    <row r="254" spans="1:17" ht="207.6" customHeight="1">
      <c r="A254" s="56" t="s">
        <v>264</v>
      </c>
      <c r="E254" s="72">
        <f>SUMIF(History1!B:B, A254, History1!C:C)</f>
        <v>0</v>
      </c>
      <c r="K254" s="72" t="s">
        <v>2379</v>
      </c>
      <c r="L254" s="57" t="s">
        <v>1265</v>
      </c>
      <c r="Q254" s="57" t="str">
        <f t="shared" si="3"/>
        <v>🔴 LOW</v>
      </c>
    </row>
    <row r="255" spans="1:17" ht="207.6" customHeight="1">
      <c r="A255" s="56" t="s">
        <v>265</v>
      </c>
      <c r="E255" s="72">
        <f>SUMIF(History1!B:B, A255, History1!C:C)</f>
        <v>0</v>
      </c>
      <c r="K255" s="72" t="s">
        <v>2380</v>
      </c>
      <c r="L255" s="57" t="s">
        <v>1266</v>
      </c>
      <c r="Q255" s="57" t="str">
        <f t="shared" si="3"/>
        <v>🔴 LOW</v>
      </c>
    </row>
    <row r="256" spans="1:17" ht="207.6" customHeight="1">
      <c r="A256" s="56" t="s">
        <v>266</v>
      </c>
      <c r="E256" s="72">
        <f>SUMIF(History1!B:B, A256, History1!C:C)</f>
        <v>0</v>
      </c>
      <c r="K256" s="72" t="s">
        <v>2381</v>
      </c>
      <c r="L256" s="57" t="s">
        <v>1267</v>
      </c>
      <c r="Q256" s="57" t="str">
        <f t="shared" si="3"/>
        <v>🔴 LOW</v>
      </c>
    </row>
    <row r="257" spans="1:17" ht="207.6" customHeight="1">
      <c r="A257" s="56" t="s">
        <v>267</v>
      </c>
      <c r="E257" s="72">
        <f>SUMIF(History1!B:B, A257, History1!C:C)</f>
        <v>0</v>
      </c>
      <c r="K257" s="72" t="s">
        <v>2382</v>
      </c>
      <c r="L257" s="57" t="s">
        <v>1268</v>
      </c>
      <c r="Q257" s="57" t="str">
        <f t="shared" si="3"/>
        <v>🔴 LOW</v>
      </c>
    </row>
    <row r="258" spans="1:17" ht="207.6" customHeight="1">
      <c r="A258" s="56" t="s">
        <v>268</v>
      </c>
      <c r="E258" s="72">
        <f>SUMIF(History1!B:B, A258, History1!C:C)</f>
        <v>0</v>
      </c>
      <c r="K258" s="72" t="s">
        <v>2383</v>
      </c>
      <c r="L258" s="57" t="s">
        <v>1269</v>
      </c>
      <c r="Q258" s="57" t="str">
        <f t="shared" si="3"/>
        <v>🔴 LOW</v>
      </c>
    </row>
    <row r="259" spans="1:17" ht="207.6" customHeight="1">
      <c r="A259" s="56" t="s">
        <v>269</v>
      </c>
      <c r="E259" s="72">
        <f>SUMIF(History1!B:B, A259, History1!C:C)</f>
        <v>0</v>
      </c>
      <c r="K259" s="72" t="s">
        <v>2384</v>
      </c>
      <c r="L259" s="57" t="s">
        <v>1270</v>
      </c>
      <c r="Q259" s="57" t="str">
        <f t="shared" ref="Q259:Q322" si="4">IF(E259&lt;=10,"🔴 LOW",IF(E259&lt;=50,"🟡 MEDIUM","🟢 GOOD"))</f>
        <v>🔴 LOW</v>
      </c>
    </row>
    <row r="260" spans="1:17" ht="207.6" customHeight="1">
      <c r="A260" s="56" t="s">
        <v>270</v>
      </c>
      <c r="E260" s="72">
        <f>SUMIF(History1!B:B, A260, History1!C:C)</f>
        <v>0</v>
      </c>
      <c r="K260" s="72" t="s">
        <v>2385</v>
      </c>
      <c r="L260" s="57" t="s">
        <v>1271</v>
      </c>
      <c r="Q260" s="57" t="str">
        <f t="shared" si="4"/>
        <v>🔴 LOW</v>
      </c>
    </row>
    <row r="261" spans="1:17" ht="207.6" customHeight="1">
      <c r="A261" s="56" t="s">
        <v>271</v>
      </c>
      <c r="E261" s="72">
        <f>SUMIF(History1!B:B, A261, History1!C:C)</f>
        <v>0</v>
      </c>
      <c r="K261" s="72" t="s">
        <v>2386</v>
      </c>
      <c r="L261" s="57" t="s">
        <v>1272</v>
      </c>
      <c r="Q261" s="57" t="str">
        <f t="shared" si="4"/>
        <v>🔴 LOW</v>
      </c>
    </row>
    <row r="262" spans="1:17" ht="207.6" customHeight="1">
      <c r="A262" s="56" t="s">
        <v>272</v>
      </c>
      <c r="E262" s="72">
        <f>SUMIF(History1!B:B, A262, History1!C:C)</f>
        <v>0</v>
      </c>
      <c r="K262" s="72" t="s">
        <v>2387</v>
      </c>
      <c r="L262" s="57" t="s">
        <v>1273</v>
      </c>
      <c r="Q262" s="57" t="str">
        <f t="shared" si="4"/>
        <v>🔴 LOW</v>
      </c>
    </row>
    <row r="263" spans="1:17" ht="207.6" customHeight="1">
      <c r="A263" s="56" t="s">
        <v>273</v>
      </c>
      <c r="E263" s="72">
        <f>SUMIF(History1!B:B, A263, History1!C:C)</f>
        <v>0</v>
      </c>
      <c r="K263" s="72" t="s">
        <v>2388</v>
      </c>
      <c r="L263" s="57" t="s">
        <v>1274</v>
      </c>
      <c r="Q263" s="57" t="str">
        <f t="shared" si="4"/>
        <v>🔴 LOW</v>
      </c>
    </row>
    <row r="264" spans="1:17" ht="207.6" customHeight="1">
      <c r="A264" s="56" t="s">
        <v>274</v>
      </c>
      <c r="E264" s="72">
        <f>SUMIF(History1!B:B, A264, History1!C:C)</f>
        <v>0</v>
      </c>
      <c r="K264" s="72" t="s">
        <v>2389</v>
      </c>
      <c r="L264" s="57" t="s">
        <v>1275</v>
      </c>
      <c r="Q264" s="57" t="str">
        <f t="shared" si="4"/>
        <v>🔴 LOW</v>
      </c>
    </row>
    <row r="265" spans="1:17" ht="207.6" customHeight="1">
      <c r="A265" s="56" t="s">
        <v>275</v>
      </c>
      <c r="E265" s="72">
        <f>SUMIF(History1!B:B, A265, History1!C:C)</f>
        <v>0</v>
      </c>
      <c r="K265" s="72" t="s">
        <v>2390</v>
      </c>
      <c r="L265" s="57" t="s">
        <v>1276</v>
      </c>
      <c r="Q265" s="57" t="str">
        <f t="shared" si="4"/>
        <v>🔴 LOW</v>
      </c>
    </row>
    <row r="266" spans="1:17" ht="207.6" customHeight="1">
      <c r="A266" s="56" t="s">
        <v>276</v>
      </c>
      <c r="E266" s="72">
        <f>SUMIF(History1!B:B, A266, History1!C:C)</f>
        <v>0</v>
      </c>
      <c r="K266" s="72" t="s">
        <v>2391</v>
      </c>
      <c r="L266" s="57" t="s">
        <v>1277</v>
      </c>
      <c r="Q266" s="57" t="str">
        <f t="shared" si="4"/>
        <v>🔴 LOW</v>
      </c>
    </row>
    <row r="267" spans="1:17" ht="207.6" customHeight="1">
      <c r="A267" s="56" t="s">
        <v>277</v>
      </c>
      <c r="E267" s="72">
        <f>SUMIF(History1!B:B, A267, History1!C:C)</f>
        <v>0</v>
      </c>
      <c r="K267" s="72" t="s">
        <v>2392</v>
      </c>
      <c r="L267" s="57" t="s">
        <v>1278</v>
      </c>
      <c r="Q267" s="57" t="str">
        <f t="shared" si="4"/>
        <v>🔴 LOW</v>
      </c>
    </row>
    <row r="268" spans="1:17" ht="207.6" customHeight="1">
      <c r="A268" s="56" t="s">
        <v>278</v>
      </c>
      <c r="E268" s="72">
        <f>SUMIF(History1!B:B, A268, History1!C:C)</f>
        <v>0</v>
      </c>
      <c r="K268" s="72" t="s">
        <v>2393</v>
      </c>
      <c r="L268" s="57" t="s">
        <v>1279</v>
      </c>
      <c r="Q268" s="57" t="str">
        <f t="shared" si="4"/>
        <v>🔴 LOW</v>
      </c>
    </row>
    <row r="269" spans="1:17" ht="207.6" customHeight="1">
      <c r="A269" s="56" t="s">
        <v>279</v>
      </c>
      <c r="E269" s="72">
        <f>SUMIF(History1!B:B, A269, History1!C:C)</f>
        <v>0</v>
      </c>
      <c r="K269" s="72" t="s">
        <v>2394</v>
      </c>
      <c r="L269" s="57" t="s">
        <v>1280</v>
      </c>
      <c r="Q269" s="57" t="str">
        <f t="shared" si="4"/>
        <v>🔴 LOW</v>
      </c>
    </row>
    <row r="270" spans="1:17" ht="207.6" customHeight="1">
      <c r="A270" s="56" t="s">
        <v>280</v>
      </c>
      <c r="E270" s="72">
        <f>SUMIF(History1!B:B, A270, History1!C:C)</f>
        <v>0</v>
      </c>
      <c r="K270" s="72" t="s">
        <v>2395</v>
      </c>
      <c r="L270" s="57" t="s">
        <v>1281</v>
      </c>
      <c r="Q270" s="57" t="str">
        <f t="shared" si="4"/>
        <v>🔴 LOW</v>
      </c>
    </row>
    <row r="271" spans="1:17" ht="207.6" customHeight="1">
      <c r="A271" s="56" t="s">
        <v>281</v>
      </c>
      <c r="E271" s="72">
        <f>SUMIF(History1!B:B, A271, History1!C:C)</f>
        <v>0</v>
      </c>
      <c r="K271" s="72" t="s">
        <v>2396</v>
      </c>
      <c r="L271" s="57" t="s">
        <v>1282</v>
      </c>
      <c r="Q271" s="57" t="str">
        <f t="shared" si="4"/>
        <v>🔴 LOW</v>
      </c>
    </row>
    <row r="272" spans="1:17" ht="207.6" customHeight="1">
      <c r="A272" s="56" t="s">
        <v>282</v>
      </c>
      <c r="E272" s="72">
        <f>SUMIF(History1!B:B, A272, History1!C:C)</f>
        <v>0</v>
      </c>
      <c r="K272" s="72" t="s">
        <v>2397</v>
      </c>
      <c r="L272" s="57" t="s">
        <v>1283</v>
      </c>
      <c r="Q272" s="57" t="str">
        <f t="shared" si="4"/>
        <v>🔴 LOW</v>
      </c>
    </row>
    <row r="273" spans="1:17" ht="207.6" customHeight="1">
      <c r="A273" s="56" t="s">
        <v>283</v>
      </c>
      <c r="E273" s="72">
        <f>SUMIF(History1!B:B, A273, History1!C:C)</f>
        <v>0</v>
      </c>
      <c r="K273" s="72" t="s">
        <v>2398</v>
      </c>
      <c r="L273" s="57" t="s">
        <v>1284</v>
      </c>
      <c r="Q273" s="57" t="str">
        <f t="shared" si="4"/>
        <v>🔴 LOW</v>
      </c>
    </row>
    <row r="274" spans="1:17" ht="207.6" customHeight="1">
      <c r="A274" s="56" t="s">
        <v>284</v>
      </c>
      <c r="E274" s="72">
        <f>SUMIF(History1!B:B, A274, History1!C:C)</f>
        <v>0</v>
      </c>
      <c r="K274" s="72" t="s">
        <v>2399</v>
      </c>
      <c r="L274" s="57" t="s">
        <v>1285</v>
      </c>
      <c r="Q274" s="57" t="str">
        <f t="shared" si="4"/>
        <v>🔴 LOW</v>
      </c>
    </row>
    <row r="275" spans="1:17" ht="207.6" customHeight="1">
      <c r="A275" s="56" t="s">
        <v>285</v>
      </c>
      <c r="E275" s="72">
        <f>SUMIF(History1!B:B, A275, History1!C:C)</f>
        <v>0</v>
      </c>
      <c r="K275" s="72" t="s">
        <v>2400</v>
      </c>
      <c r="L275" s="57" t="s">
        <v>1286</v>
      </c>
      <c r="Q275" s="57" t="str">
        <f t="shared" si="4"/>
        <v>🔴 LOW</v>
      </c>
    </row>
    <row r="276" spans="1:17" ht="207.6" customHeight="1">
      <c r="A276" s="56" t="s">
        <v>286</v>
      </c>
      <c r="E276" s="72">
        <f>SUMIF(History1!B:B, A276, History1!C:C)</f>
        <v>0</v>
      </c>
      <c r="K276" s="72" t="s">
        <v>2401</v>
      </c>
      <c r="L276" s="57" t="s">
        <v>1287</v>
      </c>
      <c r="Q276" s="57" t="str">
        <f t="shared" si="4"/>
        <v>🔴 LOW</v>
      </c>
    </row>
    <row r="277" spans="1:17" ht="207.6" customHeight="1">
      <c r="A277" s="56" t="s">
        <v>287</v>
      </c>
      <c r="E277" s="72">
        <f>SUMIF(History1!B:B, A277, History1!C:C)</f>
        <v>0</v>
      </c>
      <c r="K277" s="72" t="s">
        <v>2402</v>
      </c>
      <c r="L277" s="57" t="s">
        <v>1288</v>
      </c>
      <c r="Q277" s="57" t="str">
        <f t="shared" si="4"/>
        <v>🔴 LOW</v>
      </c>
    </row>
    <row r="278" spans="1:17" ht="207.6" customHeight="1">
      <c r="A278" s="56" t="s">
        <v>288</v>
      </c>
      <c r="E278" s="72">
        <f>SUMIF(History1!B:B, A278, History1!C:C)</f>
        <v>0</v>
      </c>
      <c r="K278" s="72" t="s">
        <v>2403</v>
      </c>
      <c r="L278" s="57" t="s">
        <v>1289</v>
      </c>
      <c r="Q278" s="57" t="str">
        <f t="shared" si="4"/>
        <v>🔴 LOW</v>
      </c>
    </row>
    <row r="279" spans="1:17" ht="207.6" customHeight="1">
      <c r="A279" s="56" t="s">
        <v>289</v>
      </c>
      <c r="E279" s="72">
        <f>SUMIF(History1!B:B, A279, History1!C:C)</f>
        <v>0</v>
      </c>
      <c r="K279" s="72" t="s">
        <v>2404</v>
      </c>
      <c r="L279" s="57" t="s">
        <v>1290</v>
      </c>
      <c r="Q279" s="57" t="str">
        <f t="shared" si="4"/>
        <v>🔴 LOW</v>
      </c>
    </row>
    <row r="280" spans="1:17" ht="207.6" customHeight="1">
      <c r="A280" s="56" t="s">
        <v>290</v>
      </c>
      <c r="E280" s="72">
        <f>SUMIF(History1!B:B, A280, History1!C:C)</f>
        <v>0</v>
      </c>
      <c r="K280" s="72" t="s">
        <v>2405</v>
      </c>
      <c r="L280" s="57" t="s">
        <v>1291</v>
      </c>
      <c r="Q280" s="57" t="str">
        <f t="shared" si="4"/>
        <v>🔴 LOW</v>
      </c>
    </row>
    <row r="281" spans="1:17" ht="207.6" customHeight="1">
      <c r="A281" s="56" t="s">
        <v>291</v>
      </c>
      <c r="E281" s="72">
        <f>SUMIF(History1!B:B, A281, History1!C:C)</f>
        <v>0</v>
      </c>
      <c r="K281" s="72" t="s">
        <v>2406</v>
      </c>
      <c r="L281" s="57" t="s">
        <v>1292</v>
      </c>
      <c r="Q281" s="57" t="str">
        <f t="shared" si="4"/>
        <v>🔴 LOW</v>
      </c>
    </row>
    <row r="282" spans="1:17" ht="207.6" customHeight="1">
      <c r="A282" s="56" t="s">
        <v>292</v>
      </c>
      <c r="E282" s="72">
        <f>SUMIF(History1!B:B, A282, History1!C:C)</f>
        <v>0</v>
      </c>
      <c r="K282" s="72" t="s">
        <v>2407</v>
      </c>
      <c r="L282" s="57" t="s">
        <v>1293</v>
      </c>
      <c r="Q282" s="57" t="str">
        <f t="shared" si="4"/>
        <v>🔴 LOW</v>
      </c>
    </row>
    <row r="283" spans="1:17" ht="207.6" customHeight="1">
      <c r="A283" s="56" t="s">
        <v>293</v>
      </c>
      <c r="E283" s="72">
        <f>SUMIF(History1!B:B, A283, History1!C:C)</f>
        <v>0</v>
      </c>
      <c r="K283" s="72" t="s">
        <v>2408</v>
      </c>
      <c r="L283" s="57" t="s">
        <v>1294</v>
      </c>
      <c r="Q283" s="57" t="str">
        <f t="shared" si="4"/>
        <v>🔴 LOW</v>
      </c>
    </row>
    <row r="284" spans="1:17" ht="207.6" customHeight="1">
      <c r="A284" s="56" t="s">
        <v>294</v>
      </c>
      <c r="E284" s="72">
        <f>SUMIF(History1!B:B, A284, History1!C:C)</f>
        <v>0</v>
      </c>
      <c r="K284" s="72" t="s">
        <v>2409</v>
      </c>
      <c r="L284" s="57" t="s">
        <v>1295</v>
      </c>
      <c r="Q284" s="57" t="str">
        <f t="shared" si="4"/>
        <v>🔴 LOW</v>
      </c>
    </row>
    <row r="285" spans="1:17" ht="207.6" customHeight="1">
      <c r="A285" s="56" t="s">
        <v>295</v>
      </c>
      <c r="E285" s="72">
        <f>SUMIF(History1!B:B, A285, History1!C:C)</f>
        <v>0</v>
      </c>
      <c r="K285" s="72" t="s">
        <v>2410</v>
      </c>
      <c r="L285" s="57" t="s">
        <v>1296</v>
      </c>
      <c r="Q285" s="57" t="str">
        <f t="shared" si="4"/>
        <v>🔴 LOW</v>
      </c>
    </row>
    <row r="286" spans="1:17" ht="207.6" customHeight="1">
      <c r="A286" s="56" t="s">
        <v>296</v>
      </c>
      <c r="E286" s="72">
        <f>SUMIF(History1!B:B, A286, History1!C:C)</f>
        <v>0</v>
      </c>
      <c r="K286" s="72" t="s">
        <v>2411</v>
      </c>
      <c r="L286" s="57" t="s">
        <v>1297</v>
      </c>
      <c r="Q286" s="57" t="str">
        <f t="shared" si="4"/>
        <v>🔴 LOW</v>
      </c>
    </row>
    <row r="287" spans="1:17" ht="207.6" customHeight="1">
      <c r="A287" s="56" t="s">
        <v>297</v>
      </c>
      <c r="E287" s="72">
        <f>SUMIF(History1!B:B, A287, History1!C:C)</f>
        <v>0</v>
      </c>
      <c r="K287" s="72" t="s">
        <v>2412</v>
      </c>
      <c r="L287" s="57" t="s">
        <v>1298</v>
      </c>
      <c r="Q287" s="57" t="str">
        <f t="shared" si="4"/>
        <v>🔴 LOW</v>
      </c>
    </row>
    <row r="288" spans="1:17" ht="207.6" customHeight="1">
      <c r="A288" s="56" t="s">
        <v>298</v>
      </c>
      <c r="E288" s="72">
        <f>SUMIF(History1!B:B, A288, History1!C:C)</f>
        <v>0</v>
      </c>
      <c r="K288" s="72" t="s">
        <v>2413</v>
      </c>
      <c r="L288" s="57" t="s">
        <v>1299</v>
      </c>
      <c r="Q288" s="57" t="str">
        <f t="shared" si="4"/>
        <v>🔴 LOW</v>
      </c>
    </row>
    <row r="289" spans="1:17" ht="207.6" customHeight="1">
      <c r="A289" s="56" t="s">
        <v>299</v>
      </c>
      <c r="E289" s="72">
        <f>SUMIF(History1!B:B, A289, History1!C:C)</f>
        <v>0</v>
      </c>
      <c r="K289" s="72" t="s">
        <v>2414</v>
      </c>
      <c r="L289" s="57" t="s">
        <v>1300</v>
      </c>
      <c r="Q289" s="57" t="str">
        <f t="shared" si="4"/>
        <v>🔴 LOW</v>
      </c>
    </row>
    <row r="290" spans="1:17" ht="207.6" customHeight="1">
      <c r="A290" s="56" t="s">
        <v>300</v>
      </c>
      <c r="E290" s="72">
        <f>SUMIF(History1!B:B, A290, History1!C:C)</f>
        <v>0</v>
      </c>
      <c r="K290" s="72" t="s">
        <v>2415</v>
      </c>
      <c r="L290" s="57" t="s">
        <v>1301</v>
      </c>
      <c r="Q290" s="57" t="str">
        <f t="shared" si="4"/>
        <v>🔴 LOW</v>
      </c>
    </row>
    <row r="291" spans="1:17" ht="207.6" customHeight="1">
      <c r="A291" s="56" t="s">
        <v>301</v>
      </c>
      <c r="E291" s="72">
        <f>SUMIF(History1!B:B, A291, History1!C:C)</f>
        <v>0</v>
      </c>
      <c r="K291" s="72" t="s">
        <v>2416</v>
      </c>
      <c r="L291" s="57" t="s">
        <v>1302</v>
      </c>
      <c r="Q291" s="57" t="str">
        <f t="shared" si="4"/>
        <v>🔴 LOW</v>
      </c>
    </row>
    <row r="292" spans="1:17" ht="207.6" customHeight="1">
      <c r="A292" s="56" t="s">
        <v>302</v>
      </c>
      <c r="E292" s="72">
        <f>SUMIF(History1!B:B, A292, History1!C:C)</f>
        <v>0</v>
      </c>
      <c r="K292" s="72" t="s">
        <v>2417</v>
      </c>
      <c r="L292" s="57" t="s">
        <v>1303</v>
      </c>
      <c r="Q292" s="57" t="str">
        <f t="shared" si="4"/>
        <v>🔴 LOW</v>
      </c>
    </row>
    <row r="293" spans="1:17" ht="207.6" customHeight="1">
      <c r="A293" s="56" t="s">
        <v>303</v>
      </c>
      <c r="E293" s="72">
        <f>SUMIF(History1!B:B, A293, History1!C:C)</f>
        <v>0</v>
      </c>
      <c r="K293" s="72" t="s">
        <v>2418</v>
      </c>
      <c r="L293" s="57" t="s">
        <v>1304</v>
      </c>
      <c r="Q293" s="57" t="str">
        <f t="shared" si="4"/>
        <v>🔴 LOW</v>
      </c>
    </row>
    <row r="294" spans="1:17" ht="207.6" customHeight="1">
      <c r="A294" s="56" t="s">
        <v>304</v>
      </c>
      <c r="E294" s="72">
        <f>SUMIF(History1!B:B, A294, History1!C:C)</f>
        <v>0</v>
      </c>
      <c r="K294" s="72" t="s">
        <v>2419</v>
      </c>
      <c r="L294" s="57" t="s">
        <v>1305</v>
      </c>
      <c r="Q294" s="57" t="str">
        <f t="shared" si="4"/>
        <v>🔴 LOW</v>
      </c>
    </row>
    <row r="295" spans="1:17" ht="207.6" customHeight="1">
      <c r="A295" s="56" t="s">
        <v>305</v>
      </c>
      <c r="E295" s="72">
        <f>SUMIF(History1!B:B, A295, History1!C:C)</f>
        <v>0</v>
      </c>
      <c r="K295" s="72" t="s">
        <v>2420</v>
      </c>
      <c r="L295" s="57" t="s">
        <v>1306</v>
      </c>
      <c r="Q295" s="57" t="str">
        <f t="shared" si="4"/>
        <v>🔴 LOW</v>
      </c>
    </row>
    <row r="296" spans="1:17" ht="207.6" customHeight="1">
      <c r="A296" s="56" t="s">
        <v>306</v>
      </c>
      <c r="E296" s="72">
        <f>SUMIF(History1!B:B, A296, History1!C:C)</f>
        <v>0</v>
      </c>
      <c r="K296" s="72" t="s">
        <v>2421</v>
      </c>
      <c r="L296" s="57" t="s">
        <v>1307</v>
      </c>
      <c r="Q296" s="57" t="str">
        <f t="shared" si="4"/>
        <v>🔴 LOW</v>
      </c>
    </row>
    <row r="297" spans="1:17" ht="207.6" customHeight="1">
      <c r="A297" s="56" t="s">
        <v>307</v>
      </c>
      <c r="E297" s="72">
        <f>SUMIF(History1!B:B, A297, History1!C:C)</f>
        <v>0</v>
      </c>
      <c r="K297" s="72" t="s">
        <v>2422</v>
      </c>
      <c r="L297" s="57" t="s">
        <v>1308</v>
      </c>
      <c r="Q297" s="57" t="str">
        <f t="shared" si="4"/>
        <v>🔴 LOW</v>
      </c>
    </row>
    <row r="298" spans="1:17" ht="207.6" customHeight="1">
      <c r="A298" s="56" t="s">
        <v>308</v>
      </c>
      <c r="E298" s="72">
        <f>SUMIF(History1!B:B, A298, History1!C:C)</f>
        <v>0</v>
      </c>
      <c r="K298" s="72" t="s">
        <v>2423</v>
      </c>
      <c r="L298" s="57" t="s">
        <v>1309</v>
      </c>
      <c r="Q298" s="57" t="str">
        <f t="shared" si="4"/>
        <v>🔴 LOW</v>
      </c>
    </row>
    <row r="299" spans="1:17" ht="207.6" customHeight="1">
      <c r="A299" s="56" t="s">
        <v>309</v>
      </c>
      <c r="E299" s="72">
        <f>SUMIF(History1!B:B, A299, History1!C:C)</f>
        <v>0</v>
      </c>
      <c r="K299" s="72" t="s">
        <v>2424</v>
      </c>
      <c r="L299" s="57" t="s">
        <v>1310</v>
      </c>
      <c r="Q299" s="57" t="str">
        <f t="shared" si="4"/>
        <v>🔴 LOW</v>
      </c>
    </row>
    <row r="300" spans="1:17" ht="207.6" customHeight="1">
      <c r="A300" s="56" t="s">
        <v>310</v>
      </c>
      <c r="E300" s="72">
        <f>SUMIF(History1!B:B, A300, History1!C:C)</f>
        <v>0</v>
      </c>
      <c r="K300" s="72" t="s">
        <v>2425</v>
      </c>
      <c r="L300" s="57" t="s">
        <v>1311</v>
      </c>
      <c r="Q300" s="57" t="str">
        <f t="shared" si="4"/>
        <v>🔴 LOW</v>
      </c>
    </row>
    <row r="301" spans="1:17" ht="207.6" customHeight="1">
      <c r="A301" s="56" t="s">
        <v>311</v>
      </c>
      <c r="E301" s="72">
        <f>SUMIF(History1!B:B, A301, History1!C:C)</f>
        <v>0</v>
      </c>
      <c r="K301" s="72" t="s">
        <v>2426</v>
      </c>
      <c r="L301" s="57" t="s">
        <v>1312</v>
      </c>
      <c r="Q301" s="57" t="str">
        <f t="shared" si="4"/>
        <v>🔴 LOW</v>
      </c>
    </row>
    <row r="302" spans="1:17" ht="207.6" customHeight="1">
      <c r="A302" s="56" t="s">
        <v>312</v>
      </c>
      <c r="E302" s="72">
        <f>SUMIF(History1!B:B, A302, History1!C:C)</f>
        <v>0</v>
      </c>
      <c r="K302" s="72" t="s">
        <v>2427</v>
      </c>
      <c r="L302" s="57" t="s">
        <v>1313</v>
      </c>
      <c r="Q302" s="57" t="str">
        <f t="shared" si="4"/>
        <v>🔴 LOW</v>
      </c>
    </row>
    <row r="303" spans="1:17" ht="207.6" customHeight="1">
      <c r="A303" s="56" t="s">
        <v>313</v>
      </c>
      <c r="E303" s="72">
        <f>SUMIF(History1!B:B, A303, History1!C:C)</f>
        <v>0</v>
      </c>
      <c r="K303" s="72" t="s">
        <v>2428</v>
      </c>
      <c r="L303" s="57" t="s">
        <v>1314</v>
      </c>
      <c r="Q303" s="57" t="str">
        <f t="shared" si="4"/>
        <v>🔴 LOW</v>
      </c>
    </row>
    <row r="304" spans="1:17" ht="207.6" customHeight="1">
      <c r="A304" s="56" t="s">
        <v>314</v>
      </c>
      <c r="E304" s="72">
        <f>SUMIF(History1!B:B, A304, History1!C:C)</f>
        <v>0</v>
      </c>
      <c r="K304" s="72" t="s">
        <v>2429</v>
      </c>
      <c r="L304" s="57" t="s">
        <v>1315</v>
      </c>
      <c r="Q304" s="57" t="str">
        <f t="shared" si="4"/>
        <v>🔴 LOW</v>
      </c>
    </row>
    <row r="305" spans="1:17" ht="207.6" customHeight="1">
      <c r="A305" s="56" t="s">
        <v>315</v>
      </c>
      <c r="E305" s="72">
        <f>SUMIF(History1!B:B, A305, History1!C:C)</f>
        <v>0</v>
      </c>
      <c r="K305" s="72" t="s">
        <v>2430</v>
      </c>
      <c r="L305" s="57" t="s">
        <v>1316</v>
      </c>
      <c r="Q305" s="57" t="str">
        <f t="shared" si="4"/>
        <v>🔴 LOW</v>
      </c>
    </row>
    <row r="306" spans="1:17" ht="207.6" customHeight="1">
      <c r="A306" s="56" t="s">
        <v>316</v>
      </c>
      <c r="E306" s="72">
        <f>SUMIF(History1!B:B, A306, History1!C:C)</f>
        <v>0</v>
      </c>
      <c r="K306" s="72" t="s">
        <v>2431</v>
      </c>
      <c r="L306" s="57" t="s">
        <v>1317</v>
      </c>
      <c r="Q306" s="57" t="str">
        <f t="shared" si="4"/>
        <v>🔴 LOW</v>
      </c>
    </row>
    <row r="307" spans="1:17" ht="207.6" customHeight="1">
      <c r="A307" s="56" t="s">
        <v>317</v>
      </c>
      <c r="E307" s="72">
        <f>SUMIF(History1!B:B, A307, History1!C:C)</f>
        <v>0</v>
      </c>
      <c r="K307" s="72" t="s">
        <v>2432</v>
      </c>
      <c r="L307" s="57" t="s">
        <v>1318</v>
      </c>
      <c r="Q307" s="57" t="str">
        <f t="shared" si="4"/>
        <v>🔴 LOW</v>
      </c>
    </row>
    <row r="308" spans="1:17" ht="207.6" customHeight="1">
      <c r="A308" s="56" t="s">
        <v>318</v>
      </c>
      <c r="E308" s="72">
        <f>SUMIF(History1!B:B, A308, History1!C:C)</f>
        <v>0</v>
      </c>
      <c r="K308" s="72" t="s">
        <v>2433</v>
      </c>
      <c r="L308" s="57" t="s">
        <v>1319</v>
      </c>
      <c r="Q308" s="57" t="str">
        <f t="shared" si="4"/>
        <v>🔴 LOW</v>
      </c>
    </row>
    <row r="309" spans="1:17" ht="207.6" customHeight="1">
      <c r="A309" s="56" t="s">
        <v>319</v>
      </c>
      <c r="E309" s="72">
        <f>SUMIF(History1!B:B, A309, History1!C:C)</f>
        <v>0</v>
      </c>
      <c r="K309" s="72" t="s">
        <v>2434</v>
      </c>
      <c r="L309" s="57" t="s">
        <v>1320</v>
      </c>
      <c r="Q309" s="57" t="str">
        <f t="shared" si="4"/>
        <v>🔴 LOW</v>
      </c>
    </row>
    <row r="310" spans="1:17" ht="207.6" customHeight="1">
      <c r="A310" s="56" t="s">
        <v>320</v>
      </c>
      <c r="E310" s="72">
        <f>SUMIF(History1!B:B, A310, History1!C:C)</f>
        <v>0</v>
      </c>
      <c r="K310" s="72" t="s">
        <v>2435</v>
      </c>
      <c r="L310" s="57" t="s">
        <v>1321</v>
      </c>
      <c r="Q310" s="57" t="str">
        <f t="shared" si="4"/>
        <v>🔴 LOW</v>
      </c>
    </row>
    <row r="311" spans="1:17" ht="207.6" customHeight="1">
      <c r="A311" s="56" t="s">
        <v>321</v>
      </c>
      <c r="E311" s="72">
        <f>SUMIF(History1!B:B, A311, History1!C:C)</f>
        <v>0</v>
      </c>
      <c r="K311" s="72" t="s">
        <v>2436</v>
      </c>
      <c r="L311" s="57" t="s">
        <v>1322</v>
      </c>
      <c r="Q311" s="57" t="str">
        <f t="shared" si="4"/>
        <v>🔴 LOW</v>
      </c>
    </row>
    <row r="312" spans="1:17" ht="207.6" customHeight="1">
      <c r="A312" s="56" t="s">
        <v>322</v>
      </c>
      <c r="E312" s="72">
        <f>SUMIF(History1!B:B, A312, History1!C:C)</f>
        <v>0</v>
      </c>
      <c r="K312" s="72" t="s">
        <v>2437</v>
      </c>
      <c r="L312" s="57" t="s">
        <v>1323</v>
      </c>
      <c r="Q312" s="57" t="str">
        <f t="shared" si="4"/>
        <v>🔴 LOW</v>
      </c>
    </row>
    <row r="313" spans="1:17" ht="207.6" customHeight="1">
      <c r="A313" s="56" t="s">
        <v>323</v>
      </c>
      <c r="E313" s="72">
        <f>SUMIF(History1!B:B, A313, History1!C:C)</f>
        <v>0</v>
      </c>
      <c r="K313" s="72" t="s">
        <v>2438</v>
      </c>
      <c r="L313" s="57" t="s">
        <v>1324</v>
      </c>
      <c r="Q313" s="57" t="str">
        <f t="shared" si="4"/>
        <v>🔴 LOW</v>
      </c>
    </row>
    <row r="314" spans="1:17" ht="207.6" customHeight="1">
      <c r="A314" s="56" t="s">
        <v>324</v>
      </c>
      <c r="E314" s="72">
        <f>SUMIF(History1!B:B, A314, History1!C:C)</f>
        <v>0</v>
      </c>
      <c r="K314" s="72" t="s">
        <v>2439</v>
      </c>
      <c r="L314" s="57" t="s">
        <v>1325</v>
      </c>
      <c r="Q314" s="57" t="str">
        <f t="shared" si="4"/>
        <v>🔴 LOW</v>
      </c>
    </row>
    <row r="315" spans="1:17" ht="207.6" customHeight="1">
      <c r="A315" s="56" t="s">
        <v>325</v>
      </c>
      <c r="E315" s="72">
        <f>SUMIF(History1!B:B, A315, History1!C:C)</f>
        <v>0</v>
      </c>
      <c r="K315" s="72" t="s">
        <v>2440</v>
      </c>
      <c r="L315" s="57" t="s">
        <v>1326</v>
      </c>
      <c r="Q315" s="57" t="str">
        <f t="shared" si="4"/>
        <v>🔴 LOW</v>
      </c>
    </row>
    <row r="316" spans="1:17" ht="207.6" customHeight="1">
      <c r="A316" s="56" t="s">
        <v>326</v>
      </c>
      <c r="E316" s="72">
        <f>SUMIF(History1!B:B, A316, History1!C:C)</f>
        <v>0</v>
      </c>
      <c r="K316" s="72" t="s">
        <v>2441</v>
      </c>
      <c r="L316" s="57" t="s">
        <v>1327</v>
      </c>
      <c r="Q316" s="57" t="str">
        <f t="shared" si="4"/>
        <v>🔴 LOW</v>
      </c>
    </row>
    <row r="317" spans="1:17" ht="207.6" customHeight="1">
      <c r="A317" s="56" t="s">
        <v>327</v>
      </c>
      <c r="E317" s="72">
        <f>SUMIF(History1!B:B, A317, History1!C:C)</f>
        <v>0</v>
      </c>
      <c r="K317" s="72" t="s">
        <v>2442</v>
      </c>
      <c r="L317" s="57" t="s">
        <v>1328</v>
      </c>
      <c r="Q317" s="57" t="str">
        <f t="shared" si="4"/>
        <v>🔴 LOW</v>
      </c>
    </row>
    <row r="318" spans="1:17" ht="207.6" customHeight="1">
      <c r="A318" s="56" t="s">
        <v>328</v>
      </c>
      <c r="E318" s="72">
        <f>SUMIF(History1!B:B, A318, History1!C:C)</f>
        <v>0</v>
      </c>
      <c r="K318" s="72" t="s">
        <v>2443</v>
      </c>
      <c r="L318" s="57" t="s">
        <v>1329</v>
      </c>
      <c r="Q318" s="57" t="str">
        <f t="shared" si="4"/>
        <v>🔴 LOW</v>
      </c>
    </row>
    <row r="319" spans="1:17" ht="207.6" customHeight="1">
      <c r="A319" s="56" t="s">
        <v>329</v>
      </c>
      <c r="E319" s="72">
        <f>SUMIF(History1!B:B, A319, History1!C:C)</f>
        <v>0</v>
      </c>
      <c r="K319" s="72" t="s">
        <v>2444</v>
      </c>
      <c r="L319" s="57" t="s">
        <v>1330</v>
      </c>
      <c r="Q319" s="57" t="str">
        <f t="shared" si="4"/>
        <v>🔴 LOW</v>
      </c>
    </row>
    <row r="320" spans="1:17" ht="207.6" customHeight="1">
      <c r="A320" s="56" t="s">
        <v>330</v>
      </c>
      <c r="E320" s="72">
        <f>SUMIF(History1!B:B, A320, History1!C:C)</f>
        <v>0</v>
      </c>
      <c r="K320" s="72" t="s">
        <v>2445</v>
      </c>
      <c r="L320" s="57" t="s">
        <v>1331</v>
      </c>
      <c r="Q320" s="57" t="str">
        <f t="shared" si="4"/>
        <v>🔴 LOW</v>
      </c>
    </row>
    <row r="321" spans="1:17" ht="207.6" customHeight="1">
      <c r="A321" s="56" t="s">
        <v>331</v>
      </c>
      <c r="E321" s="72">
        <f>SUMIF(History1!B:B, A321, History1!C:C)</f>
        <v>0</v>
      </c>
      <c r="K321" s="72" t="s">
        <v>2446</v>
      </c>
      <c r="L321" s="57" t="s">
        <v>1332</v>
      </c>
      <c r="Q321" s="57" t="str">
        <f t="shared" si="4"/>
        <v>🔴 LOW</v>
      </c>
    </row>
    <row r="322" spans="1:17" ht="207.6" customHeight="1">
      <c r="A322" s="56" t="s">
        <v>332</v>
      </c>
      <c r="E322" s="72">
        <f>SUMIF(History1!B:B, A322, History1!C:C)</f>
        <v>0</v>
      </c>
      <c r="K322" s="72" t="s">
        <v>2447</v>
      </c>
      <c r="L322" s="57" t="s">
        <v>1333</v>
      </c>
      <c r="Q322" s="57" t="str">
        <f t="shared" si="4"/>
        <v>🔴 LOW</v>
      </c>
    </row>
    <row r="323" spans="1:17" ht="207.6" customHeight="1">
      <c r="A323" s="56" t="s">
        <v>333</v>
      </c>
      <c r="E323" s="72">
        <f>SUMIF(History1!B:B, A323, History1!C:C)</f>
        <v>0</v>
      </c>
      <c r="K323" s="72" t="s">
        <v>2448</v>
      </c>
      <c r="L323" s="57" t="s">
        <v>1334</v>
      </c>
      <c r="Q323" s="57" t="str">
        <f t="shared" ref="Q323:Q386" si="5">IF(E323&lt;=10,"🔴 LOW",IF(E323&lt;=50,"🟡 MEDIUM","🟢 GOOD"))</f>
        <v>🔴 LOW</v>
      </c>
    </row>
    <row r="324" spans="1:17" ht="207.6" customHeight="1">
      <c r="A324" s="56" t="s">
        <v>334</v>
      </c>
      <c r="E324" s="72">
        <f>SUMIF(History1!B:B, A324, History1!C:C)</f>
        <v>0</v>
      </c>
      <c r="K324" s="72" t="s">
        <v>2449</v>
      </c>
      <c r="L324" s="57" t="s">
        <v>1335</v>
      </c>
      <c r="Q324" s="57" t="str">
        <f t="shared" si="5"/>
        <v>🔴 LOW</v>
      </c>
    </row>
    <row r="325" spans="1:17" ht="207.6" customHeight="1">
      <c r="A325" s="56" t="s">
        <v>335</v>
      </c>
      <c r="E325" s="72">
        <f>SUMIF(History1!B:B, A325, History1!C:C)</f>
        <v>0</v>
      </c>
      <c r="K325" s="72" t="s">
        <v>2450</v>
      </c>
      <c r="L325" s="57" t="s">
        <v>1336</v>
      </c>
      <c r="Q325" s="57" t="str">
        <f t="shared" si="5"/>
        <v>🔴 LOW</v>
      </c>
    </row>
    <row r="326" spans="1:17" ht="207.6" customHeight="1">
      <c r="A326" s="56" t="s">
        <v>336</v>
      </c>
      <c r="E326" s="72">
        <f>SUMIF(History1!B:B, A326, History1!C:C)</f>
        <v>0</v>
      </c>
      <c r="K326" s="72" t="s">
        <v>2451</v>
      </c>
      <c r="L326" s="57" t="s">
        <v>1337</v>
      </c>
      <c r="Q326" s="57" t="str">
        <f t="shared" si="5"/>
        <v>🔴 LOW</v>
      </c>
    </row>
    <row r="327" spans="1:17" ht="207.6" customHeight="1">
      <c r="A327" s="56" t="s">
        <v>337</v>
      </c>
      <c r="E327" s="72">
        <f>SUMIF(History1!B:B, A327, History1!C:C)</f>
        <v>0</v>
      </c>
      <c r="K327" s="72" t="s">
        <v>2452</v>
      </c>
      <c r="L327" s="57" t="s">
        <v>1338</v>
      </c>
      <c r="Q327" s="57" t="str">
        <f t="shared" si="5"/>
        <v>🔴 LOW</v>
      </c>
    </row>
    <row r="328" spans="1:17" ht="207.6" customHeight="1">
      <c r="A328" s="56" t="s">
        <v>338</v>
      </c>
      <c r="E328" s="72">
        <f>SUMIF(History1!B:B, A328, History1!C:C)</f>
        <v>0</v>
      </c>
      <c r="K328" s="72" t="s">
        <v>2453</v>
      </c>
      <c r="L328" s="57" t="s">
        <v>1339</v>
      </c>
      <c r="Q328" s="57" t="str">
        <f t="shared" si="5"/>
        <v>🔴 LOW</v>
      </c>
    </row>
    <row r="329" spans="1:17" ht="207.6" customHeight="1">
      <c r="A329" s="56" t="s">
        <v>339</v>
      </c>
      <c r="E329" s="72">
        <f>SUMIF(History1!B:B, A329, History1!C:C)</f>
        <v>0</v>
      </c>
      <c r="K329" s="72" t="s">
        <v>2454</v>
      </c>
      <c r="L329" s="57" t="s">
        <v>1340</v>
      </c>
      <c r="Q329" s="57" t="str">
        <f t="shared" si="5"/>
        <v>🔴 LOW</v>
      </c>
    </row>
    <row r="330" spans="1:17" ht="207.6" customHeight="1">
      <c r="A330" s="56" t="s">
        <v>340</v>
      </c>
      <c r="E330" s="72">
        <f>SUMIF(History1!B:B, A330, History1!C:C)</f>
        <v>0</v>
      </c>
      <c r="K330" s="72" t="s">
        <v>2455</v>
      </c>
      <c r="L330" s="57" t="s">
        <v>1341</v>
      </c>
      <c r="Q330" s="57" t="str">
        <f t="shared" si="5"/>
        <v>🔴 LOW</v>
      </c>
    </row>
    <row r="331" spans="1:17" ht="207.6" customHeight="1">
      <c r="A331" s="56" t="s">
        <v>341</v>
      </c>
      <c r="E331" s="72">
        <f>SUMIF(History1!B:B, A331, History1!C:C)</f>
        <v>0</v>
      </c>
      <c r="K331" s="72" t="s">
        <v>2456</v>
      </c>
      <c r="L331" s="57" t="s">
        <v>1342</v>
      </c>
      <c r="Q331" s="57" t="str">
        <f t="shared" si="5"/>
        <v>🔴 LOW</v>
      </c>
    </row>
    <row r="332" spans="1:17" ht="207.6" customHeight="1">
      <c r="A332" s="56" t="s">
        <v>342</v>
      </c>
      <c r="E332" s="72">
        <f>SUMIF(History1!B:B, A332, History1!C:C)</f>
        <v>0</v>
      </c>
      <c r="K332" s="72" t="s">
        <v>2457</v>
      </c>
      <c r="L332" s="57" t="s">
        <v>1343</v>
      </c>
      <c r="Q332" s="57" t="str">
        <f t="shared" si="5"/>
        <v>🔴 LOW</v>
      </c>
    </row>
    <row r="333" spans="1:17" ht="207.6" customHeight="1">
      <c r="A333" s="56" t="s">
        <v>343</v>
      </c>
      <c r="E333" s="72">
        <f>SUMIF(History1!B:B, A333, History1!C:C)</f>
        <v>0</v>
      </c>
      <c r="K333" s="72" t="s">
        <v>2458</v>
      </c>
      <c r="L333" s="57" t="s">
        <v>1344</v>
      </c>
      <c r="Q333" s="57" t="str">
        <f t="shared" si="5"/>
        <v>🔴 LOW</v>
      </c>
    </row>
    <row r="334" spans="1:17" ht="207.6" customHeight="1">
      <c r="A334" s="56" t="s">
        <v>344</v>
      </c>
      <c r="E334" s="72">
        <f>SUMIF(History1!B:B, A334, History1!C:C)</f>
        <v>0</v>
      </c>
      <c r="K334" s="72" t="s">
        <v>2459</v>
      </c>
      <c r="L334" s="57" t="s">
        <v>1345</v>
      </c>
      <c r="Q334" s="57" t="str">
        <f t="shared" si="5"/>
        <v>🔴 LOW</v>
      </c>
    </row>
    <row r="335" spans="1:17" ht="207.6" customHeight="1">
      <c r="A335" s="56" t="s">
        <v>345</v>
      </c>
      <c r="E335" s="72">
        <f>SUMIF(History1!B:B, A335, History1!C:C)</f>
        <v>0</v>
      </c>
      <c r="K335" s="72" t="s">
        <v>2460</v>
      </c>
      <c r="L335" s="57" t="s">
        <v>1346</v>
      </c>
      <c r="Q335" s="57" t="str">
        <f t="shared" si="5"/>
        <v>🔴 LOW</v>
      </c>
    </row>
    <row r="336" spans="1:17" ht="207.6" customHeight="1">
      <c r="A336" s="56" t="s">
        <v>346</v>
      </c>
      <c r="E336" s="72">
        <f>SUMIF(History1!B:B, A336, History1!C:C)</f>
        <v>0</v>
      </c>
      <c r="K336" s="72" t="s">
        <v>2461</v>
      </c>
      <c r="L336" s="57" t="s">
        <v>1347</v>
      </c>
      <c r="Q336" s="57" t="str">
        <f t="shared" si="5"/>
        <v>🔴 LOW</v>
      </c>
    </row>
    <row r="337" spans="1:17" ht="207.6" customHeight="1">
      <c r="A337" s="56" t="s">
        <v>347</v>
      </c>
      <c r="E337" s="72">
        <f>SUMIF(History1!B:B, A337, History1!C:C)</f>
        <v>0</v>
      </c>
      <c r="K337" s="72" t="s">
        <v>2462</v>
      </c>
      <c r="L337" s="57" t="s">
        <v>1348</v>
      </c>
      <c r="Q337" s="57" t="str">
        <f t="shared" si="5"/>
        <v>🔴 LOW</v>
      </c>
    </row>
    <row r="338" spans="1:17" ht="207.6" customHeight="1">
      <c r="A338" s="56" t="s">
        <v>348</v>
      </c>
      <c r="E338" s="72">
        <f>SUMIF(History1!B:B, A338, History1!C:C)</f>
        <v>0</v>
      </c>
      <c r="K338" s="72" t="s">
        <v>2463</v>
      </c>
      <c r="L338" s="57" t="s">
        <v>1349</v>
      </c>
      <c r="Q338" s="57" t="str">
        <f t="shared" si="5"/>
        <v>🔴 LOW</v>
      </c>
    </row>
    <row r="339" spans="1:17" ht="207.6" customHeight="1">
      <c r="A339" s="56" t="s">
        <v>349</v>
      </c>
      <c r="E339" s="72">
        <f>SUMIF(History1!B:B, A339, History1!C:C)</f>
        <v>0</v>
      </c>
      <c r="K339" s="72" t="s">
        <v>2464</v>
      </c>
      <c r="L339" s="57" t="s">
        <v>1350</v>
      </c>
      <c r="Q339" s="57" t="str">
        <f t="shared" si="5"/>
        <v>🔴 LOW</v>
      </c>
    </row>
    <row r="340" spans="1:17" ht="207.6" customHeight="1">
      <c r="A340" s="56" t="s">
        <v>350</v>
      </c>
      <c r="E340" s="72">
        <f>SUMIF(History1!B:B, A340, History1!C:C)</f>
        <v>0</v>
      </c>
      <c r="K340" s="72" t="s">
        <v>2465</v>
      </c>
      <c r="L340" s="57" t="s">
        <v>1351</v>
      </c>
      <c r="Q340" s="57" t="str">
        <f t="shared" si="5"/>
        <v>🔴 LOW</v>
      </c>
    </row>
    <row r="341" spans="1:17" ht="207.6" customHeight="1">
      <c r="A341" s="56" t="s">
        <v>351</v>
      </c>
      <c r="E341" s="72">
        <f>SUMIF(History1!B:B, A341, History1!C:C)</f>
        <v>0</v>
      </c>
      <c r="K341" s="72" t="s">
        <v>2466</v>
      </c>
      <c r="L341" s="57" t="s">
        <v>1352</v>
      </c>
      <c r="Q341" s="57" t="str">
        <f t="shared" si="5"/>
        <v>🔴 LOW</v>
      </c>
    </row>
    <row r="342" spans="1:17" ht="207.6" customHeight="1">
      <c r="A342" s="56" t="s">
        <v>352</v>
      </c>
      <c r="E342" s="72">
        <f>SUMIF(History1!B:B, A342, History1!C:C)</f>
        <v>0</v>
      </c>
      <c r="K342" s="72" t="s">
        <v>2467</v>
      </c>
      <c r="L342" s="57" t="s">
        <v>1353</v>
      </c>
      <c r="Q342" s="57" t="str">
        <f t="shared" si="5"/>
        <v>🔴 LOW</v>
      </c>
    </row>
    <row r="343" spans="1:17" ht="207.6" customHeight="1">
      <c r="A343" s="56" t="s">
        <v>353</v>
      </c>
      <c r="E343" s="72">
        <f>SUMIF(History1!B:B, A343, History1!C:C)</f>
        <v>0</v>
      </c>
      <c r="K343" s="72" t="s">
        <v>2468</v>
      </c>
      <c r="L343" s="57" t="s">
        <v>1354</v>
      </c>
      <c r="Q343" s="57" t="str">
        <f t="shared" si="5"/>
        <v>🔴 LOW</v>
      </c>
    </row>
    <row r="344" spans="1:17" ht="207.6" customHeight="1">
      <c r="A344" s="56" t="s">
        <v>354</v>
      </c>
      <c r="E344" s="72">
        <f>SUMIF(History1!B:B, A344, History1!C:C)</f>
        <v>0</v>
      </c>
      <c r="K344" s="72" t="s">
        <v>2469</v>
      </c>
      <c r="L344" s="57" t="s">
        <v>1355</v>
      </c>
      <c r="Q344" s="57" t="str">
        <f t="shared" si="5"/>
        <v>🔴 LOW</v>
      </c>
    </row>
    <row r="345" spans="1:17" ht="207.6" customHeight="1">
      <c r="A345" s="56" t="s">
        <v>355</v>
      </c>
      <c r="E345" s="72">
        <f>SUMIF(History1!B:B, A345, History1!C:C)</f>
        <v>0</v>
      </c>
      <c r="K345" s="72" t="s">
        <v>2470</v>
      </c>
      <c r="L345" s="57" t="s">
        <v>1356</v>
      </c>
      <c r="Q345" s="57" t="str">
        <f t="shared" si="5"/>
        <v>🔴 LOW</v>
      </c>
    </row>
    <row r="346" spans="1:17" ht="207.6" customHeight="1">
      <c r="A346" s="56" t="s">
        <v>356</v>
      </c>
      <c r="E346" s="72">
        <f>SUMIF(History1!B:B, A346, History1!C:C)</f>
        <v>0</v>
      </c>
      <c r="K346" s="72" t="s">
        <v>2471</v>
      </c>
      <c r="L346" s="57" t="s">
        <v>1357</v>
      </c>
      <c r="Q346" s="57" t="str">
        <f t="shared" si="5"/>
        <v>🔴 LOW</v>
      </c>
    </row>
    <row r="347" spans="1:17" ht="207.6" customHeight="1">
      <c r="A347" s="56" t="s">
        <v>357</v>
      </c>
      <c r="E347" s="72">
        <f>SUMIF(History1!B:B, A347, History1!C:C)</f>
        <v>0</v>
      </c>
      <c r="K347" s="72" t="s">
        <v>2472</v>
      </c>
      <c r="L347" s="57" t="s">
        <v>1358</v>
      </c>
      <c r="Q347" s="57" t="str">
        <f t="shared" si="5"/>
        <v>🔴 LOW</v>
      </c>
    </row>
    <row r="348" spans="1:17" ht="207.6" customHeight="1">
      <c r="A348" s="56" t="s">
        <v>358</v>
      </c>
      <c r="E348" s="72">
        <f>SUMIF(History1!B:B, A348, History1!C:C)</f>
        <v>0</v>
      </c>
      <c r="K348" s="72" t="s">
        <v>2473</v>
      </c>
      <c r="L348" s="57" t="s">
        <v>1359</v>
      </c>
      <c r="Q348" s="57" t="str">
        <f t="shared" si="5"/>
        <v>🔴 LOW</v>
      </c>
    </row>
    <row r="349" spans="1:17" ht="207.6" customHeight="1">
      <c r="A349" s="56" t="s">
        <v>359</v>
      </c>
      <c r="E349" s="72">
        <f>SUMIF(History1!B:B, A349, History1!C:C)</f>
        <v>0</v>
      </c>
      <c r="K349" s="72" t="s">
        <v>2474</v>
      </c>
      <c r="L349" s="57" t="s">
        <v>1360</v>
      </c>
      <c r="Q349" s="57" t="str">
        <f t="shared" si="5"/>
        <v>🔴 LOW</v>
      </c>
    </row>
    <row r="350" spans="1:17" ht="207.6" customHeight="1">
      <c r="A350" s="56" t="s">
        <v>360</v>
      </c>
      <c r="E350" s="72">
        <f>SUMIF(History1!B:B, A350, History1!C:C)</f>
        <v>0</v>
      </c>
      <c r="K350" s="72" t="s">
        <v>2475</v>
      </c>
      <c r="L350" s="57" t="s">
        <v>1361</v>
      </c>
      <c r="Q350" s="57" t="str">
        <f t="shared" si="5"/>
        <v>🔴 LOW</v>
      </c>
    </row>
    <row r="351" spans="1:17" ht="207.6" customHeight="1">
      <c r="A351" s="56" t="s">
        <v>361</v>
      </c>
      <c r="E351" s="72">
        <f>SUMIF(History1!B:B, A351, History1!C:C)</f>
        <v>0</v>
      </c>
      <c r="K351" s="72" t="s">
        <v>2476</v>
      </c>
      <c r="L351" s="57" t="s">
        <v>1362</v>
      </c>
      <c r="Q351" s="57" t="str">
        <f t="shared" si="5"/>
        <v>🔴 LOW</v>
      </c>
    </row>
    <row r="352" spans="1:17" ht="207.6" customHeight="1">
      <c r="A352" s="56" t="s">
        <v>362</v>
      </c>
      <c r="E352" s="72">
        <f>SUMIF(History1!B:B, A352, History1!C:C)</f>
        <v>0</v>
      </c>
      <c r="K352" s="72" t="s">
        <v>2477</v>
      </c>
      <c r="L352" s="57" t="s">
        <v>1363</v>
      </c>
      <c r="Q352" s="57" t="str">
        <f t="shared" si="5"/>
        <v>🔴 LOW</v>
      </c>
    </row>
    <row r="353" spans="1:17" ht="207.6" customHeight="1">
      <c r="A353" s="56" t="s">
        <v>363</v>
      </c>
      <c r="E353" s="72">
        <f>SUMIF(History1!B:B, A353, History1!C:C)</f>
        <v>0</v>
      </c>
      <c r="K353" s="72" t="s">
        <v>2478</v>
      </c>
      <c r="L353" s="57" t="s">
        <v>1364</v>
      </c>
      <c r="Q353" s="57" t="str">
        <f t="shared" si="5"/>
        <v>🔴 LOW</v>
      </c>
    </row>
    <row r="354" spans="1:17" ht="207.6" customHeight="1">
      <c r="A354" s="56" t="s">
        <v>364</v>
      </c>
      <c r="E354" s="72">
        <f>SUMIF(History1!B:B, A354, History1!C:C)</f>
        <v>0</v>
      </c>
      <c r="K354" s="72" t="s">
        <v>2479</v>
      </c>
      <c r="L354" s="57" t="s">
        <v>1365</v>
      </c>
      <c r="Q354" s="57" t="str">
        <f t="shared" si="5"/>
        <v>🔴 LOW</v>
      </c>
    </row>
    <row r="355" spans="1:17" ht="207.6" customHeight="1">
      <c r="A355" s="56" t="s">
        <v>365</v>
      </c>
      <c r="E355" s="72">
        <f>SUMIF(History1!B:B, A355, History1!C:C)</f>
        <v>0</v>
      </c>
      <c r="K355" s="72" t="s">
        <v>2480</v>
      </c>
      <c r="L355" s="57" t="s">
        <v>1366</v>
      </c>
      <c r="Q355" s="57" t="str">
        <f t="shared" si="5"/>
        <v>🔴 LOW</v>
      </c>
    </row>
    <row r="356" spans="1:17" ht="207.6" customHeight="1">
      <c r="A356" s="56" t="s">
        <v>366</v>
      </c>
      <c r="E356" s="72">
        <f>SUMIF(History1!B:B, A356, History1!C:C)</f>
        <v>0</v>
      </c>
      <c r="K356" s="72" t="s">
        <v>2481</v>
      </c>
      <c r="L356" s="57" t="s">
        <v>1367</v>
      </c>
      <c r="Q356" s="57" t="str">
        <f t="shared" si="5"/>
        <v>🔴 LOW</v>
      </c>
    </row>
    <row r="357" spans="1:17" ht="207.6" customHeight="1">
      <c r="A357" s="56" t="s">
        <v>367</v>
      </c>
      <c r="E357" s="72">
        <f>SUMIF(History1!B:B, A357, History1!C:C)</f>
        <v>0</v>
      </c>
      <c r="K357" s="72" t="s">
        <v>2482</v>
      </c>
      <c r="L357" s="57" t="s">
        <v>1368</v>
      </c>
      <c r="Q357" s="57" t="str">
        <f t="shared" si="5"/>
        <v>🔴 LOW</v>
      </c>
    </row>
    <row r="358" spans="1:17" ht="207.6" customHeight="1">
      <c r="A358" s="56" t="s">
        <v>368</v>
      </c>
      <c r="E358" s="72">
        <f>SUMIF(History1!B:B, A358, History1!C:C)</f>
        <v>0</v>
      </c>
      <c r="K358" s="72" t="s">
        <v>2483</v>
      </c>
      <c r="L358" s="57" t="s">
        <v>1369</v>
      </c>
      <c r="Q358" s="57" t="str">
        <f t="shared" si="5"/>
        <v>🔴 LOW</v>
      </c>
    </row>
    <row r="359" spans="1:17" ht="207.6" customHeight="1">
      <c r="A359" s="56" t="s">
        <v>369</v>
      </c>
      <c r="E359" s="72">
        <f>SUMIF(History1!B:B, A359, History1!C:C)</f>
        <v>0</v>
      </c>
      <c r="K359" s="72" t="s">
        <v>2484</v>
      </c>
      <c r="L359" s="57" t="s">
        <v>1370</v>
      </c>
      <c r="Q359" s="57" t="str">
        <f t="shared" si="5"/>
        <v>🔴 LOW</v>
      </c>
    </row>
    <row r="360" spans="1:17" ht="207.6" customHeight="1">
      <c r="A360" s="56" t="s">
        <v>370</v>
      </c>
      <c r="E360" s="72">
        <f>SUMIF(History1!B:B, A360, History1!C:C)</f>
        <v>0</v>
      </c>
      <c r="K360" s="72" t="s">
        <v>2485</v>
      </c>
      <c r="L360" s="57" t="s">
        <v>1371</v>
      </c>
      <c r="Q360" s="57" t="str">
        <f t="shared" si="5"/>
        <v>🔴 LOW</v>
      </c>
    </row>
    <row r="361" spans="1:17" ht="207.6" customHeight="1">
      <c r="A361" s="56" t="s">
        <v>371</v>
      </c>
      <c r="E361" s="72">
        <f>SUMIF(History1!B:B, A361, History1!C:C)</f>
        <v>0</v>
      </c>
      <c r="K361" s="72" t="s">
        <v>2486</v>
      </c>
      <c r="L361" s="57" t="s">
        <v>1372</v>
      </c>
      <c r="Q361" s="57" t="str">
        <f t="shared" si="5"/>
        <v>🔴 LOW</v>
      </c>
    </row>
    <row r="362" spans="1:17" ht="207.6" customHeight="1">
      <c r="A362" s="56" t="s">
        <v>372</v>
      </c>
      <c r="E362" s="72">
        <f>SUMIF(History1!B:B, A362, History1!C:C)</f>
        <v>0</v>
      </c>
      <c r="K362" s="72" t="s">
        <v>2487</v>
      </c>
      <c r="L362" s="57" t="s">
        <v>1373</v>
      </c>
      <c r="Q362" s="57" t="str">
        <f t="shared" si="5"/>
        <v>🔴 LOW</v>
      </c>
    </row>
    <row r="363" spans="1:17" ht="207.6" customHeight="1">
      <c r="A363" s="56" t="s">
        <v>373</v>
      </c>
      <c r="E363" s="72">
        <f>SUMIF(History1!B:B, A363, History1!C:C)</f>
        <v>0</v>
      </c>
      <c r="K363" s="72" t="s">
        <v>2488</v>
      </c>
      <c r="L363" s="57" t="s">
        <v>1374</v>
      </c>
      <c r="Q363" s="57" t="str">
        <f t="shared" si="5"/>
        <v>🔴 LOW</v>
      </c>
    </row>
    <row r="364" spans="1:17" ht="207.6" customHeight="1">
      <c r="A364" s="56" t="s">
        <v>374</v>
      </c>
      <c r="E364" s="72">
        <f>SUMIF(History1!B:B, A364, History1!C:C)</f>
        <v>0</v>
      </c>
      <c r="K364" s="72" t="s">
        <v>2489</v>
      </c>
      <c r="L364" s="57" t="s">
        <v>1375</v>
      </c>
      <c r="Q364" s="57" t="str">
        <f t="shared" si="5"/>
        <v>🔴 LOW</v>
      </c>
    </row>
    <row r="365" spans="1:17" ht="207.6" customHeight="1">
      <c r="A365" s="56" t="s">
        <v>375</v>
      </c>
      <c r="E365" s="72">
        <f>SUMIF(History1!B:B, A365, History1!C:C)</f>
        <v>0</v>
      </c>
      <c r="K365" s="72" t="s">
        <v>2490</v>
      </c>
      <c r="L365" s="57" t="s">
        <v>1376</v>
      </c>
      <c r="Q365" s="57" t="str">
        <f t="shared" si="5"/>
        <v>🔴 LOW</v>
      </c>
    </row>
    <row r="366" spans="1:17" ht="207.6" customHeight="1">
      <c r="A366" s="56" t="s">
        <v>376</v>
      </c>
      <c r="E366" s="72">
        <f>SUMIF(History1!B:B, A366, History1!C:C)</f>
        <v>0</v>
      </c>
      <c r="K366" s="72" t="s">
        <v>2491</v>
      </c>
      <c r="L366" s="57" t="s">
        <v>1377</v>
      </c>
      <c r="Q366" s="57" t="str">
        <f t="shared" si="5"/>
        <v>🔴 LOW</v>
      </c>
    </row>
    <row r="367" spans="1:17" ht="207.6" customHeight="1">
      <c r="A367" s="56" t="s">
        <v>377</v>
      </c>
      <c r="E367" s="72">
        <f>SUMIF(History1!B:B, A367, History1!C:C)</f>
        <v>0</v>
      </c>
      <c r="K367" s="72" t="s">
        <v>2492</v>
      </c>
      <c r="L367" s="57" t="s">
        <v>1378</v>
      </c>
      <c r="Q367" s="57" t="str">
        <f t="shared" si="5"/>
        <v>🔴 LOW</v>
      </c>
    </row>
    <row r="368" spans="1:17" ht="207.6" customHeight="1">
      <c r="A368" s="56" t="s">
        <v>378</v>
      </c>
      <c r="E368" s="72">
        <f>SUMIF(History1!B:B, A368, History1!C:C)</f>
        <v>0</v>
      </c>
      <c r="K368" s="72" t="s">
        <v>2493</v>
      </c>
      <c r="L368" s="57" t="s">
        <v>1379</v>
      </c>
      <c r="Q368" s="57" t="str">
        <f t="shared" si="5"/>
        <v>🔴 LOW</v>
      </c>
    </row>
    <row r="369" spans="1:17" ht="207.6" customHeight="1">
      <c r="A369" s="56" t="s">
        <v>379</v>
      </c>
      <c r="E369" s="72">
        <f>SUMIF(History1!B:B, A369, History1!C:C)</f>
        <v>0</v>
      </c>
      <c r="K369" s="72" t="s">
        <v>2494</v>
      </c>
      <c r="L369" s="57" t="s">
        <v>1380</v>
      </c>
      <c r="Q369" s="57" t="str">
        <f t="shared" si="5"/>
        <v>🔴 LOW</v>
      </c>
    </row>
    <row r="370" spans="1:17" ht="207.6" customHeight="1">
      <c r="A370" s="56" t="s">
        <v>380</v>
      </c>
      <c r="E370" s="72">
        <f>SUMIF(History1!B:B, A370, History1!C:C)</f>
        <v>0</v>
      </c>
      <c r="K370" s="72" t="s">
        <v>2495</v>
      </c>
      <c r="L370" s="57" t="s">
        <v>1381</v>
      </c>
      <c r="Q370" s="57" t="str">
        <f t="shared" si="5"/>
        <v>🔴 LOW</v>
      </c>
    </row>
    <row r="371" spans="1:17" ht="207.6" customHeight="1">
      <c r="A371" s="56" t="s">
        <v>381</v>
      </c>
      <c r="E371" s="72">
        <f>SUMIF(History1!B:B, A371, History1!C:C)</f>
        <v>0</v>
      </c>
      <c r="K371" s="72" t="s">
        <v>2496</v>
      </c>
      <c r="L371" s="57" t="s">
        <v>1382</v>
      </c>
      <c r="Q371" s="57" t="str">
        <f t="shared" si="5"/>
        <v>🔴 LOW</v>
      </c>
    </row>
    <row r="372" spans="1:17" ht="207.6" customHeight="1">
      <c r="A372" s="56" t="s">
        <v>382</v>
      </c>
      <c r="E372" s="72">
        <f>SUMIF(History1!B:B, A372, History1!C:C)</f>
        <v>0</v>
      </c>
      <c r="K372" s="72" t="s">
        <v>2497</v>
      </c>
      <c r="L372" s="57" t="s">
        <v>1383</v>
      </c>
      <c r="Q372" s="57" t="str">
        <f t="shared" si="5"/>
        <v>🔴 LOW</v>
      </c>
    </row>
    <row r="373" spans="1:17" ht="207.6" customHeight="1">
      <c r="A373" s="56" t="s">
        <v>383</v>
      </c>
      <c r="E373" s="72">
        <f>SUMIF(History1!B:B, A373, History1!C:C)</f>
        <v>0</v>
      </c>
      <c r="K373" s="72" t="s">
        <v>2498</v>
      </c>
      <c r="L373" s="57" t="s">
        <v>1384</v>
      </c>
      <c r="Q373" s="57" t="str">
        <f t="shared" si="5"/>
        <v>🔴 LOW</v>
      </c>
    </row>
    <row r="374" spans="1:17" ht="207.6" customHeight="1">
      <c r="A374" s="56" t="s">
        <v>384</v>
      </c>
      <c r="E374" s="72">
        <f>SUMIF(History1!B:B, A374, History1!C:C)</f>
        <v>0</v>
      </c>
      <c r="K374" s="72" t="s">
        <v>2499</v>
      </c>
      <c r="L374" s="57" t="s">
        <v>1385</v>
      </c>
      <c r="Q374" s="57" t="str">
        <f t="shared" si="5"/>
        <v>🔴 LOW</v>
      </c>
    </row>
    <row r="375" spans="1:17" ht="207.6" customHeight="1">
      <c r="A375" s="56" t="s">
        <v>385</v>
      </c>
      <c r="E375" s="72">
        <f>SUMIF(History1!B:B, A375, History1!C:C)</f>
        <v>0</v>
      </c>
      <c r="K375" s="72" t="s">
        <v>2500</v>
      </c>
      <c r="L375" s="57" t="s">
        <v>1386</v>
      </c>
      <c r="Q375" s="57" t="str">
        <f t="shared" si="5"/>
        <v>🔴 LOW</v>
      </c>
    </row>
    <row r="376" spans="1:17" ht="207.6" customHeight="1">
      <c r="A376" s="56" t="s">
        <v>386</v>
      </c>
      <c r="E376" s="72">
        <f>SUMIF(History1!B:B, A376, History1!C:C)</f>
        <v>0</v>
      </c>
      <c r="K376" s="72" t="s">
        <v>2501</v>
      </c>
      <c r="L376" s="57" t="s">
        <v>1387</v>
      </c>
      <c r="Q376" s="57" t="str">
        <f t="shared" si="5"/>
        <v>🔴 LOW</v>
      </c>
    </row>
    <row r="377" spans="1:17" ht="207.6" customHeight="1">
      <c r="A377" s="56" t="s">
        <v>387</v>
      </c>
      <c r="E377" s="72">
        <f>SUMIF(History1!B:B, A377, History1!C:C)</f>
        <v>0</v>
      </c>
      <c r="K377" s="72" t="s">
        <v>2502</v>
      </c>
      <c r="L377" s="57" t="s">
        <v>1388</v>
      </c>
      <c r="Q377" s="57" t="str">
        <f t="shared" si="5"/>
        <v>🔴 LOW</v>
      </c>
    </row>
    <row r="378" spans="1:17" ht="207.6" customHeight="1">
      <c r="A378" s="56" t="s">
        <v>388</v>
      </c>
      <c r="E378" s="72">
        <f>SUMIF(History1!B:B, A378, History1!C:C)</f>
        <v>0</v>
      </c>
      <c r="K378" s="72" t="s">
        <v>2503</v>
      </c>
      <c r="L378" s="57" t="s">
        <v>1389</v>
      </c>
      <c r="Q378" s="57" t="str">
        <f t="shared" si="5"/>
        <v>🔴 LOW</v>
      </c>
    </row>
    <row r="379" spans="1:17" ht="207.6" customHeight="1">
      <c r="A379" s="56" t="s">
        <v>389</v>
      </c>
      <c r="E379" s="72">
        <f>SUMIF(History1!B:B, A379, History1!C:C)</f>
        <v>0</v>
      </c>
      <c r="K379" s="72" t="s">
        <v>2504</v>
      </c>
      <c r="L379" s="57" t="s">
        <v>1390</v>
      </c>
      <c r="Q379" s="57" t="str">
        <f t="shared" si="5"/>
        <v>🔴 LOW</v>
      </c>
    </row>
    <row r="380" spans="1:17" ht="207.6" customHeight="1">
      <c r="A380" s="56" t="s">
        <v>390</v>
      </c>
      <c r="E380" s="72">
        <f>SUMIF(History1!B:B, A380, History1!C:C)</f>
        <v>0</v>
      </c>
      <c r="K380" s="72" t="s">
        <v>2505</v>
      </c>
      <c r="L380" s="57" t="s">
        <v>1391</v>
      </c>
      <c r="Q380" s="57" t="str">
        <f t="shared" si="5"/>
        <v>🔴 LOW</v>
      </c>
    </row>
    <row r="381" spans="1:17" ht="207.6" customHeight="1">
      <c r="A381" s="56" t="s">
        <v>391</v>
      </c>
      <c r="E381" s="72">
        <f>SUMIF(History1!B:B, A381, History1!C:C)</f>
        <v>0</v>
      </c>
      <c r="K381" s="72" t="s">
        <v>2506</v>
      </c>
      <c r="L381" s="57" t="s">
        <v>1392</v>
      </c>
      <c r="Q381" s="57" t="str">
        <f t="shared" si="5"/>
        <v>🔴 LOW</v>
      </c>
    </row>
    <row r="382" spans="1:17" ht="207.6" customHeight="1">
      <c r="A382" s="56" t="s">
        <v>392</v>
      </c>
      <c r="E382" s="72">
        <f>SUMIF(History1!B:B, A382, History1!C:C)</f>
        <v>0</v>
      </c>
      <c r="K382" s="72" t="s">
        <v>2507</v>
      </c>
      <c r="L382" s="57" t="s">
        <v>1393</v>
      </c>
      <c r="Q382" s="57" t="str">
        <f t="shared" si="5"/>
        <v>🔴 LOW</v>
      </c>
    </row>
    <row r="383" spans="1:17" ht="207.6" customHeight="1">
      <c r="A383" s="56" t="s">
        <v>393</v>
      </c>
      <c r="E383" s="72">
        <f>SUMIF(History1!B:B, A383, History1!C:C)</f>
        <v>0</v>
      </c>
      <c r="K383" s="72" t="s">
        <v>2508</v>
      </c>
      <c r="L383" s="57" t="s">
        <v>1394</v>
      </c>
      <c r="Q383" s="57" t="str">
        <f t="shared" si="5"/>
        <v>🔴 LOW</v>
      </c>
    </row>
    <row r="384" spans="1:17" ht="207.6" customHeight="1">
      <c r="A384" s="56" t="s">
        <v>394</v>
      </c>
      <c r="E384" s="72">
        <f>SUMIF(History1!B:B, A384, History1!C:C)</f>
        <v>0</v>
      </c>
      <c r="K384" s="72" t="s">
        <v>2509</v>
      </c>
      <c r="L384" s="57" t="s">
        <v>1395</v>
      </c>
      <c r="Q384" s="57" t="str">
        <f t="shared" si="5"/>
        <v>🔴 LOW</v>
      </c>
    </row>
    <row r="385" spans="1:17" ht="207.6" customHeight="1">
      <c r="A385" s="56" t="s">
        <v>395</v>
      </c>
      <c r="E385" s="72">
        <f>SUMIF(History1!B:B, A385, History1!C:C)</f>
        <v>0</v>
      </c>
      <c r="K385" s="72" t="s">
        <v>2510</v>
      </c>
      <c r="L385" s="57" t="s">
        <v>1396</v>
      </c>
      <c r="Q385" s="57" t="str">
        <f t="shared" si="5"/>
        <v>🔴 LOW</v>
      </c>
    </row>
    <row r="386" spans="1:17" ht="207.6" customHeight="1">
      <c r="A386" s="56" t="s">
        <v>396</v>
      </c>
      <c r="E386" s="72">
        <f>SUMIF(History1!B:B, A386, History1!C:C)</f>
        <v>0</v>
      </c>
      <c r="K386" s="72" t="s">
        <v>2511</v>
      </c>
      <c r="L386" s="57" t="s">
        <v>1397</v>
      </c>
      <c r="Q386" s="57" t="str">
        <f t="shared" si="5"/>
        <v>🔴 LOW</v>
      </c>
    </row>
    <row r="387" spans="1:17" ht="207.6" customHeight="1">
      <c r="A387" s="56" t="s">
        <v>397</v>
      </c>
      <c r="E387" s="72">
        <f>SUMIF(History1!B:B, A387, History1!C:C)</f>
        <v>0</v>
      </c>
      <c r="K387" s="72" t="s">
        <v>2512</v>
      </c>
      <c r="L387" s="57" t="s">
        <v>1398</v>
      </c>
      <c r="Q387" s="57" t="str">
        <f t="shared" ref="Q387:Q450" si="6">IF(E387&lt;=10,"🔴 LOW",IF(E387&lt;=50,"🟡 MEDIUM","🟢 GOOD"))</f>
        <v>🔴 LOW</v>
      </c>
    </row>
    <row r="388" spans="1:17" ht="207.6" customHeight="1">
      <c r="A388" s="56" t="s">
        <v>398</v>
      </c>
      <c r="E388" s="72">
        <f>SUMIF(History1!B:B, A388, History1!C:C)</f>
        <v>0</v>
      </c>
      <c r="K388" s="72" t="s">
        <v>2513</v>
      </c>
      <c r="L388" s="57" t="s">
        <v>1399</v>
      </c>
      <c r="Q388" s="57" t="str">
        <f t="shared" si="6"/>
        <v>🔴 LOW</v>
      </c>
    </row>
    <row r="389" spans="1:17" ht="207.6" customHeight="1">
      <c r="A389" s="56" t="s">
        <v>399</v>
      </c>
      <c r="E389" s="72">
        <f>SUMIF(History1!B:B, A389, History1!C:C)</f>
        <v>0</v>
      </c>
      <c r="K389" s="72" t="s">
        <v>2514</v>
      </c>
      <c r="L389" s="57" t="s">
        <v>1400</v>
      </c>
      <c r="Q389" s="57" t="str">
        <f t="shared" si="6"/>
        <v>🔴 LOW</v>
      </c>
    </row>
    <row r="390" spans="1:17" ht="207.6" customHeight="1">
      <c r="A390" s="56" t="s">
        <v>400</v>
      </c>
      <c r="E390" s="72">
        <f>SUMIF(History1!B:B, A390, History1!C:C)</f>
        <v>0</v>
      </c>
      <c r="K390" s="72" t="s">
        <v>2515</v>
      </c>
      <c r="L390" s="57" t="s">
        <v>1401</v>
      </c>
      <c r="Q390" s="57" t="str">
        <f t="shared" si="6"/>
        <v>🔴 LOW</v>
      </c>
    </row>
    <row r="391" spans="1:17" ht="207.6" customHeight="1">
      <c r="A391" s="56" t="s">
        <v>401</v>
      </c>
      <c r="E391" s="72">
        <f>SUMIF(History1!B:B, A391, History1!C:C)</f>
        <v>0</v>
      </c>
      <c r="K391" s="72" t="s">
        <v>2516</v>
      </c>
      <c r="L391" s="57" t="s">
        <v>1402</v>
      </c>
      <c r="Q391" s="57" t="str">
        <f t="shared" si="6"/>
        <v>🔴 LOW</v>
      </c>
    </row>
    <row r="392" spans="1:17" ht="207.6" customHeight="1">
      <c r="A392" s="56" t="s">
        <v>402</v>
      </c>
      <c r="E392" s="72">
        <f>SUMIF(History1!B:B, A392, History1!C:C)</f>
        <v>0</v>
      </c>
      <c r="K392" s="72" t="s">
        <v>2517</v>
      </c>
      <c r="L392" s="57" t="s">
        <v>1403</v>
      </c>
      <c r="Q392" s="57" t="str">
        <f t="shared" si="6"/>
        <v>🔴 LOW</v>
      </c>
    </row>
    <row r="393" spans="1:17" ht="207.6" customHeight="1">
      <c r="A393" s="56" t="s">
        <v>403</v>
      </c>
      <c r="E393" s="72">
        <f>SUMIF(History1!B:B, A393, History1!C:C)</f>
        <v>0</v>
      </c>
      <c r="K393" s="72" t="s">
        <v>2518</v>
      </c>
      <c r="L393" s="57" t="s">
        <v>1404</v>
      </c>
      <c r="Q393" s="57" t="str">
        <f t="shared" si="6"/>
        <v>🔴 LOW</v>
      </c>
    </row>
    <row r="394" spans="1:17" ht="207.6" customHeight="1">
      <c r="A394" s="56" t="s">
        <v>404</v>
      </c>
      <c r="E394" s="72">
        <f>SUMIF(History1!B:B, A394, History1!C:C)</f>
        <v>0</v>
      </c>
      <c r="K394" s="72" t="s">
        <v>2519</v>
      </c>
      <c r="L394" s="57" t="s">
        <v>1405</v>
      </c>
      <c r="Q394" s="57" t="str">
        <f t="shared" si="6"/>
        <v>🔴 LOW</v>
      </c>
    </row>
    <row r="395" spans="1:17" ht="207.6" customHeight="1">
      <c r="A395" s="56" t="s">
        <v>405</v>
      </c>
      <c r="E395" s="72">
        <f>SUMIF(History1!B:B, A395, History1!C:C)</f>
        <v>0</v>
      </c>
      <c r="K395" s="72" t="s">
        <v>2520</v>
      </c>
      <c r="L395" s="57" t="s">
        <v>1406</v>
      </c>
      <c r="Q395" s="57" t="str">
        <f t="shared" si="6"/>
        <v>🔴 LOW</v>
      </c>
    </row>
    <row r="396" spans="1:17" ht="207.6" customHeight="1">
      <c r="A396" s="56" t="s">
        <v>406</v>
      </c>
      <c r="E396" s="72">
        <f>SUMIF(History1!B:B, A396, History1!C:C)</f>
        <v>0</v>
      </c>
      <c r="K396" s="72" t="s">
        <v>2521</v>
      </c>
      <c r="L396" s="57" t="s">
        <v>1407</v>
      </c>
      <c r="Q396" s="57" t="str">
        <f t="shared" si="6"/>
        <v>🔴 LOW</v>
      </c>
    </row>
    <row r="397" spans="1:17" ht="207.6" customHeight="1">
      <c r="A397" s="56" t="s">
        <v>407</v>
      </c>
      <c r="E397" s="72">
        <f>SUMIF(History1!B:B, A397, History1!C:C)</f>
        <v>0</v>
      </c>
      <c r="K397" s="72" t="s">
        <v>2522</v>
      </c>
      <c r="L397" s="57" t="s">
        <v>1408</v>
      </c>
      <c r="Q397" s="57" t="str">
        <f t="shared" si="6"/>
        <v>🔴 LOW</v>
      </c>
    </row>
    <row r="398" spans="1:17" ht="207.6" customHeight="1">
      <c r="A398" s="56" t="s">
        <v>408</v>
      </c>
      <c r="E398" s="72">
        <f>SUMIF(History1!B:B, A398, History1!C:C)</f>
        <v>0</v>
      </c>
      <c r="K398" s="72" t="s">
        <v>2523</v>
      </c>
      <c r="L398" s="57" t="s">
        <v>1409</v>
      </c>
      <c r="Q398" s="57" t="str">
        <f t="shared" si="6"/>
        <v>🔴 LOW</v>
      </c>
    </row>
    <row r="399" spans="1:17" ht="207.6" customHeight="1">
      <c r="A399" s="56" t="s">
        <v>409</v>
      </c>
      <c r="E399" s="72">
        <f>SUMIF(History1!B:B, A399, History1!C:C)</f>
        <v>0</v>
      </c>
      <c r="K399" s="72" t="s">
        <v>2524</v>
      </c>
      <c r="L399" s="57" t="s">
        <v>1410</v>
      </c>
      <c r="Q399" s="57" t="str">
        <f t="shared" si="6"/>
        <v>🔴 LOW</v>
      </c>
    </row>
    <row r="400" spans="1:17" ht="207.6" customHeight="1">
      <c r="A400" s="56" t="s">
        <v>410</v>
      </c>
      <c r="E400" s="72">
        <f>SUMIF(History1!B:B, A400, History1!C:C)</f>
        <v>0</v>
      </c>
      <c r="K400" s="72" t="s">
        <v>2525</v>
      </c>
      <c r="L400" s="57" t="s">
        <v>1411</v>
      </c>
      <c r="Q400" s="57" t="str">
        <f t="shared" si="6"/>
        <v>🔴 LOW</v>
      </c>
    </row>
    <row r="401" spans="1:17" ht="207.6" customHeight="1">
      <c r="A401" s="56" t="s">
        <v>411</v>
      </c>
      <c r="E401" s="72">
        <f>SUMIF(History1!B:B, A401, History1!C:C)</f>
        <v>0</v>
      </c>
      <c r="K401" s="72" t="s">
        <v>2526</v>
      </c>
      <c r="L401" s="57" t="s">
        <v>1412</v>
      </c>
      <c r="Q401" s="57" t="str">
        <f t="shared" si="6"/>
        <v>🔴 LOW</v>
      </c>
    </row>
    <row r="402" spans="1:17" ht="207.6" customHeight="1">
      <c r="A402" s="56" t="s">
        <v>412</v>
      </c>
      <c r="E402" s="72">
        <f>SUMIF(History1!B:B, A402, History1!C:C)</f>
        <v>0</v>
      </c>
      <c r="K402" s="72" t="s">
        <v>2527</v>
      </c>
      <c r="L402" s="57" t="s">
        <v>1413</v>
      </c>
      <c r="Q402" s="57" t="str">
        <f t="shared" si="6"/>
        <v>🔴 LOW</v>
      </c>
    </row>
    <row r="403" spans="1:17" ht="207.6" customHeight="1">
      <c r="A403" s="56" t="s">
        <v>413</v>
      </c>
      <c r="E403" s="72">
        <f>SUMIF(History1!B:B, A403, History1!C:C)</f>
        <v>0</v>
      </c>
      <c r="K403" s="72" t="s">
        <v>2528</v>
      </c>
      <c r="L403" s="57" t="s">
        <v>1414</v>
      </c>
      <c r="Q403" s="57" t="str">
        <f t="shared" si="6"/>
        <v>🔴 LOW</v>
      </c>
    </row>
    <row r="404" spans="1:17" ht="207.6" customHeight="1">
      <c r="A404" s="56" t="s">
        <v>414</v>
      </c>
      <c r="E404" s="72">
        <f>SUMIF(History1!B:B, A404, History1!C:C)</f>
        <v>0</v>
      </c>
      <c r="K404" s="72" t="s">
        <v>2529</v>
      </c>
      <c r="L404" s="57" t="s">
        <v>1415</v>
      </c>
      <c r="Q404" s="57" t="str">
        <f t="shared" si="6"/>
        <v>🔴 LOW</v>
      </c>
    </row>
    <row r="405" spans="1:17" ht="207.6" customHeight="1">
      <c r="A405" s="56" t="s">
        <v>415</v>
      </c>
      <c r="E405" s="72">
        <f>SUMIF(History1!B:B, A405, History1!C:C)</f>
        <v>0</v>
      </c>
      <c r="K405" s="72" t="s">
        <v>2530</v>
      </c>
      <c r="L405" s="57" t="s">
        <v>1416</v>
      </c>
      <c r="Q405" s="57" t="str">
        <f t="shared" si="6"/>
        <v>🔴 LOW</v>
      </c>
    </row>
    <row r="406" spans="1:17" ht="207.6" customHeight="1">
      <c r="A406" s="56" t="s">
        <v>416</v>
      </c>
      <c r="E406" s="72">
        <f>SUMIF(History1!B:B, A406, History1!C:C)</f>
        <v>0</v>
      </c>
      <c r="K406" s="72" t="s">
        <v>2531</v>
      </c>
      <c r="L406" s="57" t="s">
        <v>1417</v>
      </c>
      <c r="Q406" s="57" t="str">
        <f t="shared" si="6"/>
        <v>🔴 LOW</v>
      </c>
    </row>
    <row r="407" spans="1:17" ht="207.6" customHeight="1">
      <c r="A407" s="56" t="s">
        <v>417</v>
      </c>
      <c r="E407" s="72">
        <f>SUMIF(History1!B:B, A407, History1!C:C)</f>
        <v>0</v>
      </c>
      <c r="K407" s="72" t="s">
        <v>2532</v>
      </c>
      <c r="L407" s="57" t="s">
        <v>1418</v>
      </c>
      <c r="Q407" s="57" t="str">
        <f t="shared" si="6"/>
        <v>🔴 LOW</v>
      </c>
    </row>
    <row r="408" spans="1:17" ht="207.6" customHeight="1">
      <c r="A408" s="56" t="s">
        <v>418</v>
      </c>
      <c r="E408" s="72">
        <f>SUMIF(History1!B:B, A408, History1!C:C)</f>
        <v>0</v>
      </c>
      <c r="K408" s="72" t="s">
        <v>2533</v>
      </c>
      <c r="L408" s="57" t="s">
        <v>1419</v>
      </c>
      <c r="Q408" s="57" t="str">
        <f t="shared" si="6"/>
        <v>🔴 LOW</v>
      </c>
    </row>
    <row r="409" spans="1:17" ht="207.6" customHeight="1">
      <c r="A409" s="56" t="s">
        <v>419</v>
      </c>
      <c r="E409" s="72">
        <f>SUMIF(History1!B:B, A409, History1!C:C)</f>
        <v>0</v>
      </c>
      <c r="K409" s="72" t="s">
        <v>2534</v>
      </c>
      <c r="L409" s="57" t="s">
        <v>1420</v>
      </c>
      <c r="Q409" s="57" t="str">
        <f t="shared" si="6"/>
        <v>🔴 LOW</v>
      </c>
    </row>
    <row r="410" spans="1:17" ht="207.6" customHeight="1">
      <c r="A410" s="56" t="s">
        <v>420</v>
      </c>
      <c r="E410" s="72">
        <f>SUMIF(History1!B:B, A410, History1!C:C)</f>
        <v>0</v>
      </c>
      <c r="K410" s="72" t="s">
        <v>2535</v>
      </c>
      <c r="L410" s="57" t="s">
        <v>1421</v>
      </c>
      <c r="Q410" s="57" t="str">
        <f t="shared" si="6"/>
        <v>🔴 LOW</v>
      </c>
    </row>
    <row r="411" spans="1:17" ht="207.6" customHeight="1">
      <c r="A411" s="56" t="s">
        <v>421</v>
      </c>
      <c r="E411" s="72">
        <f>SUMIF(History1!B:B, A411, History1!C:C)</f>
        <v>0</v>
      </c>
      <c r="K411" s="72" t="s">
        <v>2536</v>
      </c>
      <c r="L411" s="57" t="s">
        <v>1422</v>
      </c>
      <c r="Q411" s="57" t="str">
        <f t="shared" si="6"/>
        <v>🔴 LOW</v>
      </c>
    </row>
    <row r="412" spans="1:17" ht="207.6" customHeight="1">
      <c r="A412" s="56" t="s">
        <v>422</v>
      </c>
      <c r="E412" s="72">
        <f>SUMIF(History1!B:B, A412, History1!C:C)</f>
        <v>0</v>
      </c>
      <c r="K412" s="72" t="s">
        <v>2537</v>
      </c>
      <c r="L412" s="57" t="s">
        <v>1423</v>
      </c>
      <c r="Q412" s="57" t="str">
        <f t="shared" si="6"/>
        <v>🔴 LOW</v>
      </c>
    </row>
    <row r="413" spans="1:17" ht="207.6" customHeight="1">
      <c r="A413" s="56" t="s">
        <v>423</v>
      </c>
      <c r="E413" s="72">
        <f>SUMIF(History1!B:B, A413, History1!C:C)</f>
        <v>0</v>
      </c>
      <c r="K413" s="72" t="s">
        <v>2538</v>
      </c>
      <c r="L413" s="57" t="s">
        <v>1424</v>
      </c>
      <c r="Q413" s="57" t="str">
        <f t="shared" si="6"/>
        <v>🔴 LOW</v>
      </c>
    </row>
    <row r="414" spans="1:17" ht="207.6" customHeight="1">
      <c r="A414" s="56" t="s">
        <v>424</v>
      </c>
      <c r="E414" s="72">
        <f>SUMIF(History1!B:B, A414, History1!C:C)</f>
        <v>0</v>
      </c>
      <c r="K414" s="72" t="s">
        <v>2539</v>
      </c>
      <c r="L414" s="57" t="s">
        <v>1425</v>
      </c>
      <c r="Q414" s="57" t="str">
        <f t="shared" si="6"/>
        <v>🔴 LOW</v>
      </c>
    </row>
    <row r="415" spans="1:17" ht="207.6" customHeight="1">
      <c r="A415" s="56" t="s">
        <v>425</v>
      </c>
      <c r="E415" s="72">
        <f>SUMIF(History1!B:B, A415, History1!C:C)</f>
        <v>0</v>
      </c>
      <c r="K415" s="72" t="s">
        <v>2540</v>
      </c>
      <c r="L415" s="57" t="s">
        <v>1426</v>
      </c>
      <c r="Q415" s="57" t="str">
        <f t="shared" si="6"/>
        <v>🔴 LOW</v>
      </c>
    </row>
    <row r="416" spans="1:17" ht="207.6" customHeight="1">
      <c r="A416" s="56" t="s">
        <v>426</v>
      </c>
      <c r="E416" s="72">
        <f>SUMIF(History1!B:B, A416, History1!C:C)</f>
        <v>0</v>
      </c>
      <c r="K416" s="72" t="s">
        <v>2541</v>
      </c>
      <c r="L416" s="57" t="s">
        <v>1427</v>
      </c>
      <c r="Q416" s="57" t="str">
        <f t="shared" si="6"/>
        <v>🔴 LOW</v>
      </c>
    </row>
    <row r="417" spans="1:17" ht="207.6" customHeight="1">
      <c r="A417" s="56" t="s">
        <v>427</v>
      </c>
      <c r="E417" s="72">
        <f>SUMIF(History1!B:B, A417, History1!C:C)</f>
        <v>0</v>
      </c>
      <c r="K417" s="72" t="s">
        <v>2542</v>
      </c>
      <c r="L417" s="57" t="s">
        <v>1428</v>
      </c>
      <c r="Q417" s="57" t="str">
        <f t="shared" si="6"/>
        <v>🔴 LOW</v>
      </c>
    </row>
    <row r="418" spans="1:17" ht="207.6" customHeight="1">
      <c r="A418" s="56" t="s">
        <v>428</v>
      </c>
      <c r="E418" s="72">
        <f>SUMIF(History1!B:B, A418, History1!C:C)</f>
        <v>0</v>
      </c>
      <c r="K418" s="72" t="s">
        <v>2543</v>
      </c>
      <c r="L418" s="57" t="s">
        <v>1429</v>
      </c>
      <c r="Q418" s="57" t="str">
        <f t="shared" si="6"/>
        <v>🔴 LOW</v>
      </c>
    </row>
    <row r="419" spans="1:17" ht="207.6" customHeight="1">
      <c r="A419" s="56" t="s">
        <v>429</v>
      </c>
      <c r="E419" s="72">
        <f>SUMIF(History1!B:B, A419, History1!C:C)</f>
        <v>0</v>
      </c>
      <c r="K419" s="72" t="s">
        <v>2544</v>
      </c>
      <c r="L419" s="57" t="s">
        <v>1430</v>
      </c>
      <c r="Q419" s="57" t="str">
        <f t="shared" si="6"/>
        <v>🔴 LOW</v>
      </c>
    </row>
    <row r="420" spans="1:17" ht="207.6" customHeight="1">
      <c r="A420" s="56" t="s">
        <v>430</v>
      </c>
      <c r="E420" s="72">
        <f>SUMIF(History1!B:B, A420, History1!C:C)</f>
        <v>0</v>
      </c>
      <c r="K420" s="72" t="s">
        <v>2545</v>
      </c>
      <c r="L420" s="57" t="s">
        <v>1431</v>
      </c>
      <c r="Q420" s="57" t="str">
        <f t="shared" si="6"/>
        <v>🔴 LOW</v>
      </c>
    </row>
    <row r="421" spans="1:17" ht="207.6" customHeight="1">
      <c r="A421" s="56" t="s">
        <v>431</v>
      </c>
      <c r="E421" s="72">
        <f>SUMIF(History1!B:B, A421, History1!C:C)</f>
        <v>0</v>
      </c>
      <c r="K421" s="72" t="s">
        <v>2546</v>
      </c>
      <c r="L421" s="57" t="s">
        <v>1432</v>
      </c>
      <c r="Q421" s="57" t="str">
        <f t="shared" si="6"/>
        <v>🔴 LOW</v>
      </c>
    </row>
    <row r="422" spans="1:17" ht="207.6" customHeight="1">
      <c r="A422" s="56" t="s">
        <v>432</v>
      </c>
      <c r="E422" s="72">
        <f>SUMIF(History1!B:B, A422, History1!C:C)</f>
        <v>0</v>
      </c>
      <c r="K422" s="72" t="s">
        <v>2547</v>
      </c>
      <c r="L422" s="57" t="s">
        <v>1433</v>
      </c>
      <c r="Q422" s="57" t="str">
        <f t="shared" si="6"/>
        <v>🔴 LOW</v>
      </c>
    </row>
    <row r="423" spans="1:17" ht="207.6" customHeight="1">
      <c r="A423" s="56" t="s">
        <v>433</v>
      </c>
      <c r="E423" s="72">
        <f>SUMIF(History1!B:B, A423, History1!C:C)</f>
        <v>0</v>
      </c>
      <c r="K423" s="72" t="s">
        <v>2548</v>
      </c>
      <c r="L423" s="57" t="s">
        <v>1434</v>
      </c>
      <c r="Q423" s="57" t="str">
        <f t="shared" si="6"/>
        <v>🔴 LOW</v>
      </c>
    </row>
    <row r="424" spans="1:17" ht="207.6" customHeight="1">
      <c r="A424" s="56" t="s">
        <v>434</v>
      </c>
      <c r="E424" s="72">
        <f>SUMIF(History1!B:B, A424, History1!C:C)</f>
        <v>0</v>
      </c>
      <c r="K424" s="72" t="s">
        <v>2549</v>
      </c>
      <c r="L424" s="57" t="s">
        <v>1435</v>
      </c>
      <c r="Q424" s="57" t="str">
        <f t="shared" si="6"/>
        <v>🔴 LOW</v>
      </c>
    </row>
    <row r="425" spans="1:17" ht="207.6" customHeight="1">
      <c r="A425" s="56" t="s">
        <v>435</v>
      </c>
      <c r="E425" s="72">
        <f>SUMIF(History1!B:B, A425, History1!C:C)</f>
        <v>0</v>
      </c>
      <c r="K425" s="72" t="s">
        <v>2550</v>
      </c>
      <c r="L425" s="57" t="s">
        <v>1436</v>
      </c>
      <c r="Q425" s="57" t="str">
        <f t="shared" si="6"/>
        <v>🔴 LOW</v>
      </c>
    </row>
    <row r="426" spans="1:17" ht="207.6" customHeight="1">
      <c r="A426" s="56" t="s">
        <v>436</v>
      </c>
      <c r="E426" s="72">
        <f>SUMIF(History1!B:B, A426, History1!C:C)</f>
        <v>0</v>
      </c>
      <c r="K426" s="72" t="s">
        <v>2551</v>
      </c>
      <c r="L426" s="57" t="s">
        <v>1437</v>
      </c>
      <c r="Q426" s="57" t="str">
        <f t="shared" si="6"/>
        <v>🔴 LOW</v>
      </c>
    </row>
    <row r="427" spans="1:17" ht="207.6" customHeight="1">
      <c r="A427" s="56" t="s">
        <v>437</v>
      </c>
      <c r="E427" s="72">
        <f>SUMIF(History1!B:B, A427, History1!C:C)</f>
        <v>0</v>
      </c>
      <c r="K427" s="72" t="s">
        <v>2552</v>
      </c>
      <c r="L427" s="57" t="s">
        <v>1438</v>
      </c>
      <c r="Q427" s="57" t="str">
        <f t="shared" si="6"/>
        <v>🔴 LOW</v>
      </c>
    </row>
    <row r="428" spans="1:17" ht="207.6" customHeight="1">
      <c r="A428" s="56" t="s">
        <v>438</v>
      </c>
      <c r="E428" s="72">
        <f>SUMIF(History1!B:B, A428, History1!C:C)</f>
        <v>0</v>
      </c>
      <c r="K428" s="72" t="s">
        <v>2553</v>
      </c>
      <c r="L428" s="57" t="s">
        <v>1439</v>
      </c>
      <c r="Q428" s="57" t="str">
        <f t="shared" si="6"/>
        <v>🔴 LOW</v>
      </c>
    </row>
    <row r="429" spans="1:17" ht="207.6" customHeight="1">
      <c r="A429" s="56" t="s">
        <v>439</v>
      </c>
      <c r="E429" s="72">
        <f>SUMIF(History1!B:B, A429, History1!C:C)</f>
        <v>0</v>
      </c>
      <c r="K429" s="72" t="s">
        <v>2554</v>
      </c>
      <c r="L429" s="57" t="s">
        <v>1440</v>
      </c>
      <c r="Q429" s="57" t="str">
        <f t="shared" si="6"/>
        <v>🔴 LOW</v>
      </c>
    </row>
    <row r="430" spans="1:17" ht="207.6" customHeight="1">
      <c r="A430" s="56" t="s">
        <v>440</v>
      </c>
      <c r="E430" s="72">
        <f>SUMIF(History1!B:B, A430, History1!C:C)</f>
        <v>0</v>
      </c>
      <c r="K430" s="72" t="s">
        <v>2555</v>
      </c>
      <c r="L430" s="57" t="s">
        <v>1441</v>
      </c>
      <c r="Q430" s="57" t="str">
        <f t="shared" si="6"/>
        <v>🔴 LOW</v>
      </c>
    </row>
    <row r="431" spans="1:17" ht="207.6" customHeight="1">
      <c r="A431" s="56" t="s">
        <v>441</v>
      </c>
      <c r="E431" s="72">
        <f>SUMIF(History1!B:B, A431, History1!C:C)</f>
        <v>0</v>
      </c>
      <c r="K431" s="72" t="s">
        <v>2556</v>
      </c>
      <c r="L431" s="57" t="s">
        <v>1442</v>
      </c>
      <c r="Q431" s="57" t="str">
        <f t="shared" si="6"/>
        <v>🔴 LOW</v>
      </c>
    </row>
    <row r="432" spans="1:17" ht="207.6" customHeight="1">
      <c r="A432" s="56" t="s">
        <v>442</v>
      </c>
      <c r="E432" s="72">
        <f>SUMIF(History1!B:B, A432, History1!C:C)</f>
        <v>0</v>
      </c>
      <c r="K432" s="72" t="s">
        <v>2557</v>
      </c>
      <c r="L432" s="57" t="s">
        <v>1443</v>
      </c>
      <c r="Q432" s="57" t="str">
        <f t="shared" si="6"/>
        <v>🔴 LOW</v>
      </c>
    </row>
    <row r="433" spans="1:17" ht="207.6" customHeight="1">
      <c r="A433" s="56" t="s">
        <v>443</v>
      </c>
      <c r="E433" s="72">
        <f>SUMIF(History1!B:B, A433, History1!C:C)</f>
        <v>0</v>
      </c>
      <c r="K433" s="72" t="s">
        <v>2558</v>
      </c>
      <c r="L433" s="57" t="s">
        <v>1444</v>
      </c>
      <c r="Q433" s="57" t="str">
        <f t="shared" si="6"/>
        <v>🔴 LOW</v>
      </c>
    </row>
    <row r="434" spans="1:17" ht="207.6" customHeight="1">
      <c r="A434" s="56" t="s">
        <v>444</v>
      </c>
      <c r="E434" s="72">
        <f>SUMIF(History1!B:B, A434, History1!C:C)</f>
        <v>0</v>
      </c>
      <c r="K434" s="72" t="s">
        <v>2559</v>
      </c>
      <c r="L434" s="57" t="s">
        <v>1445</v>
      </c>
      <c r="Q434" s="57" t="str">
        <f t="shared" si="6"/>
        <v>🔴 LOW</v>
      </c>
    </row>
    <row r="435" spans="1:17" ht="207.6" customHeight="1">
      <c r="A435" s="56" t="s">
        <v>445</v>
      </c>
      <c r="E435" s="72">
        <f>SUMIF(History1!B:B, A435, History1!C:C)</f>
        <v>0</v>
      </c>
      <c r="K435" s="72" t="s">
        <v>2560</v>
      </c>
      <c r="L435" s="57" t="s">
        <v>1446</v>
      </c>
      <c r="Q435" s="57" t="str">
        <f t="shared" si="6"/>
        <v>🔴 LOW</v>
      </c>
    </row>
    <row r="436" spans="1:17" ht="207.6" customHeight="1">
      <c r="A436" s="56" t="s">
        <v>446</v>
      </c>
      <c r="E436" s="72">
        <f>SUMIF(History1!B:B, A436, History1!C:C)</f>
        <v>0</v>
      </c>
      <c r="K436" s="72" t="s">
        <v>2561</v>
      </c>
      <c r="L436" s="57" t="s">
        <v>1447</v>
      </c>
      <c r="Q436" s="57" t="str">
        <f t="shared" si="6"/>
        <v>🔴 LOW</v>
      </c>
    </row>
    <row r="437" spans="1:17" ht="207.6" customHeight="1">
      <c r="A437" s="56" t="s">
        <v>447</v>
      </c>
      <c r="E437" s="72">
        <f>SUMIF(History1!B:B, A437, History1!C:C)</f>
        <v>0</v>
      </c>
      <c r="K437" s="72" t="s">
        <v>2562</v>
      </c>
      <c r="L437" s="57" t="s">
        <v>1448</v>
      </c>
      <c r="Q437" s="57" t="str">
        <f t="shared" si="6"/>
        <v>🔴 LOW</v>
      </c>
    </row>
    <row r="438" spans="1:17" ht="207.6" customHeight="1">
      <c r="A438" s="56" t="s">
        <v>448</v>
      </c>
      <c r="E438" s="72">
        <f>SUMIF(History1!B:B, A438, History1!C:C)</f>
        <v>0</v>
      </c>
      <c r="K438" s="72" t="s">
        <v>2563</v>
      </c>
      <c r="L438" s="57" t="s">
        <v>1449</v>
      </c>
      <c r="Q438" s="57" t="str">
        <f t="shared" si="6"/>
        <v>🔴 LOW</v>
      </c>
    </row>
    <row r="439" spans="1:17" ht="207.6" customHeight="1">
      <c r="A439" s="56" t="s">
        <v>449</v>
      </c>
      <c r="E439" s="72">
        <f>SUMIF(History1!B:B, A439, History1!C:C)</f>
        <v>0</v>
      </c>
      <c r="K439" s="72" t="s">
        <v>2564</v>
      </c>
      <c r="L439" s="57" t="s">
        <v>1450</v>
      </c>
      <c r="Q439" s="57" t="str">
        <f t="shared" si="6"/>
        <v>🔴 LOW</v>
      </c>
    </row>
    <row r="440" spans="1:17" ht="207.6" customHeight="1">
      <c r="A440" s="56" t="s">
        <v>450</v>
      </c>
      <c r="E440" s="72">
        <f>SUMIF(History1!B:B, A440, History1!C:C)</f>
        <v>0</v>
      </c>
      <c r="K440" s="72" t="s">
        <v>2565</v>
      </c>
      <c r="L440" s="57" t="s">
        <v>1451</v>
      </c>
      <c r="Q440" s="57" t="str">
        <f t="shared" si="6"/>
        <v>🔴 LOW</v>
      </c>
    </row>
    <row r="441" spans="1:17" ht="207.6" customHeight="1">
      <c r="A441" s="56" t="s">
        <v>451</v>
      </c>
      <c r="E441" s="72">
        <f>SUMIF(History1!B:B, A441, History1!C:C)</f>
        <v>0</v>
      </c>
      <c r="K441" s="72" t="s">
        <v>2566</v>
      </c>
      <c r="L441" s="57" t="s">
        <v>1452</v>
      </c>
      <c r="Q441" s="57" t="str">
        <f t="shared" si="6"/>
        <v>🔴 LOW</v>
      </c>
    </row>
    <row r="442" spans="1:17" ht="207.6" customHeight="1">
      <c r="A442" s="56" t="s">
        <v>452</v>
      </c>
      <c r="E442" s="72">
        <f>SUMIF(History1!B:B, A442, History1!C:C)</f>
        <v>0</v>
      </c>
      <c r="K442" s="72" t="s">
        <v>2567</v>
      </c>
      <c r="L442" s="57" t="s">
        <v>1453</v>
      </c>
      <c r="Q442" s="57" t="str">
        <f t="shared" si="6"/>
        <v>🔴 LOW</v>
      </c>
    </row>
    <row r="443" spans="1:17" ht="207.6" customHeight="1">
      <c r="A443" s="56" t="s">
        <v>453</v>
      </c>
      <c r="E443" s="72">
        <f>SUMIF(History1!B:B, A443, History1!C:C)</f>
        <v>0</v>
      </c>
      <c r="K443" s="72" t="s">
        <v>2568</v>
      </c>
      <c r="L443" s="57" t="s">
        <v>1454</v>
      </c>
      <c r="Q443" s="57" t="str">
        <f t="shared" si="6"/>
        <v>🔴 LOW</v>
      </c>
    </row>
    <row r="444" spans="1:17" ht="207.6" customHeight="1">
      <c r="A444" s="56" t="s">
        <v>454</v>
      </c>
      <c r="E444" s="72">
        <f>SUMIF(History1!B:B, A444, History1!C:C)</f>
        <v>0</v>
      </c>
      <c r="K444" s="72" t="s">
        <v>2569</v>
      </c>
      <c r="L444" s="57" t="s">
        <v>1455</v>
      </c>
      <c r="Q444" s="57" t="str">
        <f t="shared" si="6"/>
        <v>🔴 LOW</v>
      </c>
    </row>
    <row r="445" spans="1:17" ht="207.6" customHeight="1">
      <c r="A445" s="56" t="s">
        <v>455</v>
      </c>
      <c r="E445" s="72">
        <f>SUMIF(History1!B:B, A445, History1!C:C)</f>
        <v>0</v>
      </c>
      <c r="K445" s="72" t="s">
        <v>2570</v>
      </c>
      <c r="L445" s="57" t="s">
        <v>1456</v>
      </c>
      <c r="Q445" s="57" t="str">
        <f t="shared" si="6"/>
        <v>🔴 LOW</v>
      </c>
    </row>
    <row r="446" spans="1:17" ht="207.6" customHeight="1">
      <c r="A446" s="56" t="s">
        <v>456</v>
      </c>
      <c r="E446" s="72">
        <f>SUMIF(History1!B:B, A446, History1!C:C)</f>
        <v>0</v>
      </c>
      <c r="K446" s="72" t="s">
        <v>2571</v>
      </c>
      <c r="L446" s="57" t="s">
        <v>1457</v>
      </c>
      <c r="Q446" s="57" t="str">
        <f t="shared" si="6"/>
        <v>🔴 LOW</v>
      </c>
    </row>
    <row r="447" spans="1:17" ht="207.6" customHeight="1">
      <c r="A447" s="56" t="s">
        <v>457</v>
      </c>
      <c r="E447" s="72">
        <f>SUMIF(History1!B:B, A447, History1!C:C)</f>
        <v>0</v>
      </c>
      <c r="K447" s="72" t="s">
        <v>2572</v>
      </c>
      <c r="L447" s="57" t="s">
        <v>1458</v>
      </c>
      <c r="Q447" s="57" t="str">
        <f t="shared" si="6"/>
        <v>🔴 LOW</v>
      </c>
    </row>
    <row r="448" spans="1:17" ht="207.6" customHeight="1">
      <c r="A448" s="56" t="s">
        <v>458</v>
      </c>
      <c r="E448" s="72">
        <f>SUMIF(History1!B:B, A448, History1!C:C)</f>
        <v>0</v>
      </c>
      <c r="K448" s="72" t="s">
        <v>2573</v>
      </c>
      <c r="L448" s="57" t="s">
        <v>1459</v>
      </c>
      <c r="Q448" s="57" t="str">
        <f t="shared" si="6"/>
        <v>🔴 LOW</v>
      </c>
    </row>
    <row r="449" spans="1:17" ht="207.6" customHeight="1">
      <c r="A449" s="56" t="s">
        <v>459</v>
      </c>
      <c r="E449" s="72">
        <f>SUMIF(History1!B:B, A449, History1!C:C)</f>
        <v>0</v>
      </c>
      <c r="K449" s="72" t="s">
        <v>2574</v>
      </c>
      <c r="L449" s="57" t="s">
        <v>1460</v>
      </c>
      <c r="Q449" s="57" t="str">
        <f t="shared" si="6"/>
        <v>🔴 LOW</v>
      </c>
    </row>
    <row r="450" spans="1:17" ht="207.6" customHeight="1">
      <c r="A450" s="56" t="s">
        <v>460</v>
      </c>
      <c r="E450" s="72">
        <f>SUMIF(History1!B:B, A450, History1!C:C)</f>
        <v>0</v>
      </c>
      <c r="K450" s="72" t="s">
        <v>2575</v>
      </c>
      <c r="L450" s="57" t="s">
        <v>1461</v>
      </c>
      <c r="Q450" s="57" t="str">
        <f t="shared" si="6"/>
        <v>🔴 LOW</v>
      </c>
    </row>
    <row r="451" spans="1:17" ht="207.6" customHeight="1">
      <c r="A451" s="56" t="s">
        <v>461</v>
      </c>
      <c r="E451" s="72">
        <f>SUMIF(History1!B:B, A451, History1!C:C)</f>
        <v>0</v>
      </c>
      <c r="K451" s="72" t="s">
        <v>2576</v>
      </c>
      <c r="L451" s="57" t="s">
        <v>1462</v>
      </c>
      <c r="Q451" s="57" t="str">
        <f t="shared" ref="Q451:Q514" si="7">IF(E451&lt;=10,"🔴 LOW",IF(E451&lt;=50,"🟡 MEDIUM","🟢 GOOD"))</f>
        <v>🔴 LOW</v>
      </c>
    </row>
    <row r="452" spans="1:17" ht="207.6" customHeight="1">
      <c r="A452" s="56" t="s">
        <v>462</v>
      </c>
      <c r="E452" s="72">
        <f>SUMIF(History1!B:B, A452, History1!C:C)</f>
        <v>0</v>
      </c>
      <c r="K452" s="72" t="s">
        <v>2577</v>
      </c>
      <c r="L452" s="57" t="s">
        <v>1463</v>
      </c>
      <c r="Q452" s="57" t="str">
        <f t="shared" si="7"/>
        <v>🔴 LOW</v>
      </c>
    </row>
    <row r="453" spans="1:17" ht="207.6" customHeight="1">
      <c r="A453" s="56" t="s">
        <v>463</v>
      </c>
      <c r="E453" s="72">
        <f>SUMIF(History1!B:B, A453, History1!C:C)</f>
        <v>0</v>
      </c>
      <c r="K453" s="72" t="s">
        <v>2578</v>
      </c>
      <c r="L453" s="57" t="s">
        <v>1464</v>
      </c>
      <c r="Q453" s="57" t="str">
        <f t="shared" si="7"/>
        <v>🔴 LOW</v>
      </c>
    </row>
    <row r="454" spans="1:17" ht="207.6" customHeight="1">
      <c r="A454" s="56" t="s">
        <v>464</v>
      </c>
      <c r="E454" s="72">
        <f>SUMIF(History1!B:B, A454, History1!C:C)</f>
        <v>0</v>
      </c>
      <c r="K454" s="72" t="s">
        <v>2579</v>
      </c>
      <c r="L454" s="57" t="s">
        <v>1465</v>
      </c>
      <c r="Q454" s="57" t="str">
        <f t="shared" si="7"/>
        <v>🔴 LOW</v>
      </c>
    </row>
    <row r="455" spans="1:17" ht="207.6" customHeight="1">
      <c r="A455" s="56" t="s">
        <v>465</v>
      </c>
      <c r="E455" s="72">
        <f>SUMIF(History1!B:B, A455, History1!C:C)</f>
        <v>0</v>
      </c>
      <c r="K455" s="72" t="s">
        <v>2580</v>
      </c>
      <c r="L455" s="57" t="s">
        <v>1466</v>
      </c>
      <c r="Q455" s="57" t="str">
        <f t="shared" si="7"/>
        <v>🔴 LOW</v>
      </c>
    </row>
    <row r="456" spans="1:17" ht="207.6" customHeight="1">
      <c r="A456" s="56" t="s">
        <v>466</v>
      </c>
      <c r="E456" s="72">
        <f>SUMIF(History1!B:B, A456, History1!C:C)</f>
        <v>0</v>
      </c>
      <c r="K456" s="72" t="s">
        <v>2581</v>
      </c>
      <c r="L456" s="57" t="s">
        <v>1467</v>
      </c>
      <c r="Q456" s="57" t="str">
        <f t="shared" si="7"/>
        <v>🔴 LOW</v>
      </c>
    </row>
    <row r="457" spans="1:17" ht="207.6" customHeight="1">
      <c r="A457" s="56" t="s">
        <v>467</v>
      </c>
      <c r="E457" s="72">
        <f>SUMIF(History1!B:B, A457, History1!C:C)</f>
        <v>0</v>
      </c>
      <c r="K457" s="72" t="s">
        <v>2582</v>
      </c>
      <c r="L457" s="57" t="s">
        <v>1468</v>
      </c>
      <c r="Q457" s="57" t="str">
        <f t="shared" si="7"/>
        <v>🔴 LOW</v>
      </c>
    </row>
    <row r="458" spans="1:17" ht="207.6" customHeight="1">
      <c r="A458" s="56" t="s">
        <v>468</v>
      </c>
      <c r="E458" s="72">
        <f>SUMIF(History1!B:B, A458, History1!C:C)</f>
        <v>0</v>
      </c>
      <c r="K458" s="72" t="s">
        <v>2583</v>
      </c>
      <c r="L458" s="57" t="s">
        <v>1469</v>
      </c>
      <c r="Q458" s="57" t="str">
        <f t="shared" si="7"/>
        <v>🔴 LOW</v>
      </c>
    </row>
    <row r="459" spans="1:17" ht="207.6" customHeight="1">
      <c r="A459" s="56" t="s">
        <v>469</v>
      </c>
      <c r="E459" s="72">
        <f>SUMIF(History1!B:B, A459, History1!C:C)</f>
        <v>0</v>
      </c>
      <c r="K459" s="72" t="s">
        <v>2584</v>
      </c>
      <c r="L459" s="57" t="s">
        <v>1470</v>
      </c>
      <c r="Q459" s="57" t="str">
        <f t="shared" si="7"/>
        <v>🔴 LOW</v>
      </c>
    </row>
    <row r="460" spans="1:17" ht="207.6" customHeight="1">
      <c r="A460" s="56" t="s">
        <v>470</v>
      </c>
      <c r="E460" s="72">
        <f>SUMIF(History1!B:B, A460, History1!C:C)</f>
        <v>0</v>
      </c>
      <c r="K460" s="72" t="s">
        <v>2585</v>
      </c>
      <c r="L460" s="57" t="s">
        <v>1471</v>
      </c>
      <c r="Q460" s="57" t="str">
        <f t="shared" si="7"/>
        <v>🔴 LOW</v>
      </c>
    </row>
    <row r="461" spans="1:17" ht="207.6" customHeight="1">
      <c r="A461" s="56" t="s">
        <v>471</v>
      </c>
      <c r="E461" s="72">
        <f>SUMIF(History1!B:B, A461, History1!C:C)</f>
        <v>0</v>
      </c>
      <c r="K461" s="72" t="s">
        <v>2586</v>
      </c>
      <c r="L461" s="57" t="s">
        <v>1472</v>
      </c>
      <c r="Q461" s="57" t="str">
        <f t="shared" si="7"/>
        <v>🔴 LOW</v>
      </c>
    </row>
    <row r="462" spans="1:17" ht="207.6" customHeight="1">
      <c r="A462" s="56" t="s">
        <v>472</v>
      </c>
      <c r="E462" s="72">
        <f>SUMIF(History1!B:B, A462, History1!C:C)</f>
        <v>0</v>
      </c>
      <c r="K462" s="72" t="s">
        <v>2587</v>
      </c>
      <c r="L462" s="57" t="s">
        <v>1473</v>
      </c>
      <c r="Q462" s="57" t="str">
        <f t="shared" si="7"/>
        <v>🔴 LOW</v>
      </c>
    </row>
    <row r="463" spans="1:17" ht="207.6" customHeight="1">
      <c r="A463" s="56" t="s">
        <v>473</v>
      </c>
      <c r="E463" s="72">
        <f>SUMIF(History1!B:B, A463, History1!C:C)</f>
        <v>0</v>
      </c>
      <c r="K463" s="72" t="s">
        <v>2588</v>
      </c>
      <c r="L463" s="57" t="s">
        <v>1474</v>
      </c>
      <c r="Q463" s="57" t="str">
        <f t="shared" si="7"/>
        <v>🔴 LOW</v>
      </c>
    </row>
    <row r="464" spans="1:17" ht="207.6" customHeight="1">
      <c r="A464" s="56" t="s">
        <v>474</v>
      </c>
      <c r="E464" s="72">
        <f>SUMIF(History1!B:B, A464, History1!C:C)</f>
        <v>0</v>
      </c>
      <c r="K464" s="72" t="s">
        <v>2589</v>
      </c>
      <c r="L464" s="57" t="s">
        <v>1475</v>
      </c>
      <c r="Q464" s="57" t="str">
        <f t="shared" si="7"/>
        <v>🔴 LOW</v>
      </c>
    </row>
    <row r="465" spans="1:17" ht="207.6" customHeight="1">
      <c r="A465" s="56" t="s">
        <v>475</v>
      </c>
      <c r="E465" s="72">
        <f>SUMIF(History1!B:B, A465, History1!C:C)</f>
        <v>0</v>
      </c>
      <c r="K465" s="72" t="s">
        <v>2590</v>
      </c>
      <c r="L465" s="57" t="s">
        <v>1476</v>
      </c>
      <c r="Q465" s="57" t="str">
        <f t="shared" si="7"/>
        <v>🔴 LOW</v>
      </c>
    </row>
    <row r="466" spans="1:17" ht="207.6" customHeight="1">
      <c r="A466" s="56" t="s">
        <v>476</v>
      </c>
      <c r="E466" s="72">
        <f>SUMIF(History1!B:B, A466, History1!C:C)</f>
        <v>0</v>
      </c>
      <c r="K466" s="72" t="s">
        <v>2591</v>
      </c>
      <c r="L466" s="57" t="s">
        <v>1477</v>
      </c>
      <c r="Q466" s="57" t="str">
        <f t="shared" si="7"/>
        <v>🔴 LOW</v>
      </c>
    </row>
    <row r="467" spans="1:17" ht="207.6" customHeight="1">
      <c r="A467" s="56" t="s">
        <v>477</v>
      </c>
      <c r="E467" s="72">
        <f>SUMIF(History1!B:B, A467, History1!C:C)</f>
        <v>0</v>
      </c>
      <c r="K467" s="72" t="s">
        <v>2592</v>
      </c>
      <c r="L467" s="57" t="s">
        <v>1478</v>
      </c>
      <c r="Q467" s="57" t="str">
        <f t="shared" si="7"/>
        <v>🔴 LOW</v>
      </c>
    </row>
    <row r="468" spans="1:17" ht="207.6" customHeight="1">
      <c r="A468" s="56" t="s">
        <v>478</v>
      </c>
      <c r="E468" s="72">
        <f>SUMIF(History1!B:B, A468, History1!C:C)</f>
        <v>0</v>
      </c>
      <c r="K468" s="72" t="s">
        <v>2593</v>
      </c>
      <c r="L468" s="57" t="s">
        <v>1479</v>
      </c>
      <c r="Q468" s="57" t="str">
        <f t="shared" si="7"/>
        <v>🔴 LOW</v>
      </c>
    </row>
    <row r="469" spans="1:17" ht="207.6" customHeight="1">
      <c r="A469" s="56" t="s">
        <v>479</v>
      </c>
      <c r="E469" s="72">
        <f>SUMIF(History1!B:B, A469, History1!C:C)</f>
        <v>0</v>
      </c>
      <c r="K469" s="72" t="s">
        <v>2594</v>
      </c>
      <c r="L469" s="57" t="s">
        <v>1480</v>
      </c>
      <c r="Q469" s="57" t="str">
        <f t="shared" si="7"/>
        <v>🔴 LOW</v>
      </c>
    </row>
    <row r="470" spans="1:17" ht="207.6" customHeight="1">
      <c r="A470" s="56" t="s">
        <v>480</v>
      </c>
      <c r="E470" s="72">
        <f>SUMIF(History1!B:B, A470, History1!C:C)</f>
        <v>0</v>
      </c>
      <c r="K470" s="72" t="s">
        <v>2595</v>
      </c>
      <c r="L470" s="57" t="s">
        <v>1481</v>
      </c>
      <c r="Q470" s="57" t="str">
        <f t="shared" si="7"/>
        <v>🔴 LOW</v>
      </c>
    </row>
    <row r="471" spans="1:17" ht="207.6" customHeight="1">
      <c r="A471" s="56" t="s">
        <v>481</v>
      </c>
      <c r="E471" s="72">
        <f>SUMIF(History1!B:B, A471, History1!C:C)</f>
        <v>0</v>
      </c>
      <c r="K471" s="72" t="s">
        <v>2596</v>
      </c>
      <c r="L471" s="57" t="s">
        <v>1482</v>
      </c>
      <c r="Q471" s="57" t="str">
        <f t="shared" si="7"/>
        <v>🔴 LOW</v>
      </c>
    </row>
    <row r="472" spans="1:17" ht="207.6" customHeight="1">
      <c r="A472" s="56" t="s">
        <v>482</v>
      </c>
      <c r="E472" s="72">
        <f>SUMIF(History1!B:B, A472, History1!C:C)</f>
        <v>0</v>
      </c>
      <c r="K472" s="72" t="s">
        <v>2597</v>
      </c>
      <c r="L472" s="57" t="s">
        <v>1483</v>
      </c>
      <c r="Q472" s="57" t="str">
        <f t="shared" si="7"/>
        <v>🔴 LOW</v>
      </c>
    </row>
    <row r="473" spans="1:17" ht="207.6" customHeight="1">
      <c r="A473" s="56" t="s">
        <v>483</v>
      </c>
      <c r="E473" s="72">
        <f>SUMIF(History1!B:B, A473, History1!C:C)</f>
        <v>0</v>
      </c>
      <c r="K473" s="72" t="s">
        <v>2598</v>
      </c>
      <c r="L473" s="57" t="s">
        <v>1484</v>
      </c>
      <c r="Q473" s="57" t="str">
        <f t="shared" si="7"/>
        <v>🔴 LOW</v>
      </c>
    </row>
    <row r="474" spans="1:17" ht="207.6" customHeight="1">
      <c r="A474" s="56" t="s">
        <v>484</v>
      </c>
      <c r="E474" s="72">
        <f>SUMIF(History1!B:B, A474, History1!C:C)</f>
        <v>0</v>
      </c>
      <c r="K474" s="72" t="s">
        <v>2599</v>
      </c>
      <c r="L474" s="57" t="s">
        <v>1485</v>
      </c>
      <c r="Q474" s="57" t="str">
        <f t="shared" si="7"/>
        <v>🔴 LOW</v>
      </c>
    </row>
    <row r="475" spans="1:17" ht="207.6" customHeight="1">
      <c r="A475" s="56" t="s">
        <v>485</v>
      </c>
      <c r="E475" s="72">
        <f>SUMIF(History1!B:B, A475, History1!C:C)</f>
        <v>0</v>
      </c>
      <c r="K475" s="72" t="s">
        <v>2600</v>
      </c>
      <c r="L475" s="57" t="s">
        <v>1486</v>
      </c>
      <c r="Q475" s="57" t="str">
        <f t="shared" si="7"/>
        <v>🔴 LOW</v>
      </c>
    </row>
    <row r="476" spans="1:17" ht="207.6" customHeight="1">
      <c r="A476" s="56" t="s">
        <v>486</v>
      </c>
      <c r="E476" s="72">
        <f>SUMIF(History1!B:B, A476, History1!C:C)</f>
        <v>0</v>
      </c>
      <c r="K476" s="72" t="s">
        <v>2601</v>
      </c>
      <c r="L476" s="57" t="s">
        <v>1487</v>
      </c>
      <c r="Q476" s="57" t="str">
        <f t="shared" si="7"/>
        <v>🔴 LOW</v>
      </c>
    </row>
    <row r="477" spans="1:17" ht="207.6" customHeight="1">
      <c r="A477" s="56" t="s">
        <v>487</v>
      </c>
      <c r="E477" s="72">
        <f>SUMIF(History1!B:B, A477, History1!C:C)</f>
        <v>0</v>
      </c>
      <c r="K477" s="72" t="s">
        <v>2602</v>
      </c>
      <c r="L477" s="57" t="s">
        <v>1488</v>
      </c>
      <c r="Q477" s="57" t="str">
        <f t="shared" si="7"/>
        <v>🔴 LOW</v>
      </c>
    </row>
    <row r="478" spans="1:17" ht="207.6" customHeight="1">
      <c r="A478" s="56" t="s">
        <v>488</v>
      </c>
      <c r="E478" s="72">
        <f>SUMIF(History1!B:B, A478, History1!C:C)</f>
        <v>0</v>
      </c>
      <c r="K478" s="72" t="s">
        <v>2603</v>
      </c>
      <c r="L478" s="57" t="s">
        <v>1489</v>
      </c>
      <c r="Q478" s="57" t="str">
        <f t="shared" si="7"/>
        <v>🔴 LOW</v>
      </c>
    </row>
    <row r="479" spans="1:17" ht="207.6" customHeight="1">
      <c r="A479" s="56" t="s">
        <v>489</v>
      </c>
      <c r="E479" s="72">
        <f>SUMIF(History1!B:B, A479, History1!C:C)</f>
        <v>0</v>
      </c>
      <c r="K479" s="72" t="s">
        <v>2604</v>
      </c>
      <c r="L479" s="57" t="s">
        <v>1490</v>
      </c>
      <c r="Q479" s="57" t="str">
        <f t="shared" si="7"/>
        <v>🔴 LOW</v>
      </c>
    </row>
    <row r="480" spans="1:17" ht="207.6" customHeight="1">
      <c r="A480" s="56" t="s">
        <v>490</v>
      </c>
      <c r="E480" s="72">
        <f>SUMIF(History1!B:B, A480, History1!C:C)</f>
        <v>0</v>
      </c>
      <c r="K480" s="72" t="s">
        <v>2605</v>
      </c>
      <c r="L480" s="57" t="s">
        <v>1491</v>
      </c>
      <c r="Q480" s="57" t="str">
        <f t="shared" si="7"/>
        <v>🔴 LOW</v>
      </c>
    </row>
    <row r="481" spans="1:17" ht="207.6" customHeight="1">
      <c r="A481" s="56" t="s">
        <v>491</v>
      </c>
      <c r="E481" s="72">
        <f>SUMIF(History1!B:B, A481, History1!C:C)</f>
        <v>0</v>
      </c>
      <c r="K481" s="72" t="s">
        <v>2606</v>
      </c>
      <c r="L481" s="57" t="s">
        <v>1492</v>
      </c>
      <c r="Q481" s="57" t="str">
        <f t="shared" si="7"/>
        <v>🔴 LOW</v>
      </c>
    </row>
    <row r="482" spans="1:17" ht="207.6" customHeight="1">
      <c r="A482" s="56" t="s">
        <v>492</v>
      </c>
      <c r="E482" s="72">
        <f>SUMIF(History1!B:B, A482, History1!C:C)</f>
        <v>0</v>
      </c>
      <c r="K482" s="72" t="s">
        <v>2607</v>
      </c>
      <c r="L482" s="57" t="s">
        <v>1493</v>
      </c>
      <c r="Q482" s="57" t="str">
        <f t="shared" si="7"/>
        <v>🔴 LOW</v>
      </c>
    </row>
    <row r="483" spans="1:17" ht="207.6" customHeight="1">
      <c r="A483" s="56" t="s">
        <v>493</v>
      </c>
      <c r="E483" s="72">
        <f>SUMIF(History1!B:B, A483, History1!C:C)</f>
        <v>0</v>
      </c>
      <c r="K483" s="72" t="s">
        <v>2608</v>
      </c>
      <c r="L483" s="57" t="s">
        <v>1494</v>
      </c>
      <c r="Q483" s="57" t="str">
        <f t="shared" si="7"/>
        <v>🔴 LOW</v>
      </c>
    </row>
    <row r="484" spans="1:17" ht="207.6" customHeight="1">
      <c r="A484" s="56" t="s">
        <v>494</v>
      </c>
      <c r="E484" s="72">
        <f>SUMIF(History1!B:B, A484, History1!C:C)</f>
        <v>0</v>
      </c>
      <c r="K484" s="72" t="s">
        <v>2609</v>
      </c>
      <c r="L484" s="57" t="s">
        <v>1495</v>
      </c>
      <c r="Q484" s="57" t="str">
        <f t="shared" si="7"/>
        <v>🔴 LOW</v>
      </c>
    </row>
    <row r="485" spans="1:17" ht="207.6" customHeight="1">
      <c r="A485" s="56" t="s">
        <v>495</v>
      </c>
      <c r="E485" s="72">
        <f>SUMIF(History1!B:B, A485, History1!C:C)</f>
        <v>0</v>
      </c>
      <c r="K485" s="72" t="s">
        <v>2610</v>
      </c>
      <c r="L485" s="57" t="s">
        <v>1496</v>
      </c>
      <c r="Q485" s="57" t="str">
        <f t="shared" si="7"/>
        <v>🔴 LOW</v>
      </c>
    </row>
    <row r="486" spans="1:17" ht="207.6" customHeight="1">
      <c r="A486" s="56" t="s">
        <v>496</v>
      </c>
      <c r="E486" s="72">
        <f>SUMIF(History1!B:B, A486, History1!C:C)</f>
        <v>0</v>
      </c>
      <c r="K486" s="72" t="s">
        <v>2611</v>
      </c>
      <c r="L486" s="57" t="s">
        <v>1497</v>
      </c>
      <c r="Q486" s="57" t="str">
        <f t="shared" si="7"/>
        <v>🔴 LOW</v>
      </c>
    </row>
    <row r="487" spans="1:17" ht="207.6" customHeight="1">
      <c r="A487" s="56" t="s">
        <v>497</v>
      </c>
      <c r="E487" s="72">
        <f>SUMIF(History1!B:B, A487, History1!C:C)</f>
        <v>0</v>
      </c>
      <c r="K487" s="72" t="s">
        <v>2612</v>
      </c>
      <c r="L487" s="57" t="s">
        <v>1498</v>
      </c>
      <c r="Q487" s="57" t="str">
        <f t="shared" si="7"/>
        <v>🔴 LOW</v>
      </c>
    </row>
    <row r="488" spans="1:17" ht="207.6" customHeight="1">
      <c r="A488" s="56" t="s">
        <v>498</v>
      </c>
      <c r="E488" s="72">
        <f>SUMIF(History1!B:B, A488, History1!C:C)</f>
        <v>0</v>
      </c>
      <c r="K488" s="72" t="s">
        <v>2613</v>
      </c>
      <c r="L488" s="57" t="s">
        <v>1499</v>
      </c>
      <c r="Q488" s="57" t="str">
        <f t="shared" si="7"/>
        <v>🔴 LOW</v>
      </c>
    </row>
    <row r="489" spans="1:17" ht="207.6" customHeight="1">
      <c r="A489" s="56" t="s">
        <v>499</v>
      </c>
      <c r="E489" s="72">
        <f>SUMIF(History1!B:B, A489, History1!C:C)</f>
        <v>0</v>
      </c>
      <c r="K489" s="72" t="s">
        <v>2614</v>
      </c>
      <c r="L489" s="57" t="s">
        <v>1500</v>
      </c>
      <c r="Q489" s="57" t="str">
        <f t="shared" si="7"/>
        <v>🔴 LOW</v>
      </c>
    </row>
    <row r="490" spans="1:17" ht="207.6" customHeight="1">
      <c r="A490" s="56" t="s">
        <v>500</v>
      </c>
      <c r="E490" s="72">
        <f>SUMIF(History1!B:B, A490, History1!C:C)</f>
        <v>0</v>
      </c>
      <c r="K490" s="72" t="s">
        <v>2615</v>
      </c>
      <c r="L490" s="57" t="s">
        <v>1501</v>
      </c>
      <c r="Q490" s="57" t="str">
        <f t="shared" si="7"/>
        <v>🔴 LOW</v>
      </c>
    </row>
    <row r="491" spans="1:17" ht="207.6" customHeight="1">
      <c r="A491" s="56" t="s">
        <v>501</v>
      </c>
      <c r="E491" s="72">
        <f>SUMIF(History1!B:B, A491, History1!C:C)</f>
        <v>0</v>
      </c>
      <c r="K491" s="72" t="s">
        <v>2616</v>
      </c>
      <c r="L491" s="57" t="s">
        <v>1502</v>
      </c>
      <c r="Q491" s="57" t="str">
        <f t="shared" si="7"/>
        <v>🔴 LOW</v>
      </c>
    </row>
    <row r="492" spans="1:17" ht="207.6" customHeight="1">
      <c r="A492" s="56" t="s">
        <v>502</v>
      </c>
      <c r="E492" s="72">
        <f>SUMIF(History1!B:B, A492, History1!C:C)</f>
        <v>0</v>
      </c>
      <c r="K492" s="72" t="s">
        <v>2617</v>
      </c>
      <c r="L492" s="57" t="s">
        <v>1503</v>
      </c>
      <c r="Q492" s="57" t="str">
        <f t="shared" si="7"/>
        <v>🔴 LOW</v>
      </c>
    </row>
    <row r="493" spans="1:17" ht="207.6" customHeight="1">
      <c r="A493" s="56" t="s">
        <v>503</v>
      </c>
      <c r="E493" s="72">
        <f>SUMIF(History1!B:B, A493, History1!C:C)</f>
        <v>0</v>
      </c>
      <c r="K493" s="72" t="s">
        <v>2618</v>
      </c>
      <c r="L493" s="57" t="s">
        <v>1504</v>
      </c>
      <c r="Q493" s="57" t="str">
        <f t="shared" si="7"/>
        <v>🔴 LOW</v>
      </c>
    </row>
    <row r="494" spans="1:17" ht="207.6" customHeight="1">
      <c r="A494" s="56" t="s">
        <v>504</v>
      </c>
      <c r="E494" s="72">
        <f>SUMIF(History1!B:B, A494, History1!C:C)</f>
        <v>0</v>
      </c>
      <c r="K494" s="72" t="s">
        <v>2619</v>
      </c>
      <c r="L494" s="57" t="s">
        <v>1505</v>
      </c>
      <c r="Q494" s="57" t="str">
        <f t="shared" si="7"/>
        <v>🔴 LOW</v>
      </c>
    </row>
    <row r="495" spans="1:17" ht="207.6" customHeight="1">
      <c r="A495" s="56" t="s">
        <v>505</v>
      </c>
      <c r="E495" s="72">
        <f>SUMIF(History1!B:B, A495, History1!C:C)</f>
        <v>0</v>
      </c>
      <c r="K495" s="72" t="s">
        <v>2620</v>
      </c>
      <c r="L495" s="57" t="s">
        <v>1506</v>
      </c>
      <c r="Q495" s="57" t="str">
        <f t="shared" si="7"/>
        <v>🔴 LOW</v>
      </c>
    </row>
    <row r="496" spans="1:17" ht="207.6" customHeight="1">
      <c r="A496" s="56" t="s">
        <v>506</v>
      </c>
      <c r="E496" s="72">
        <f>SUMIF(History1!B:B, A496, History1!C:C)</f>
        <v>0</v>
      </c>
      <c r="K496" s="72" t="s">
        <v>2621</v>
      </c>
      <c r="L496" s="57" t="s">
        <v>1507</v>
      </c>
      <c r="Q496" s="57" t="str">
        <f t="shared" si="7"/>
        <v>🔴 LOW</v>
      </c>
    </row>
    <row r="497" spans="1:17" ht="207.6" customHeight="1">
      <c r="A497" s="56" t="s">
        <v>507</v>
      </c>
      <c r="E497" s="72">
        <f>SUMIF(History1!B:B, A497, History1!C:C)</f>
        <v>0</v>
      </c>
      <c r="K497" s="72" t="s">
        <v>2622</v>
      </c>
      <c r="L497" s="57" t="s">
        <v>1508</v>
      </c>
      <c r="Q497" s="57" t="str">
        <f t="shared" si="7"/>
        <v>🔴 LOW</v>
      </c>
    </row>
    <row r="498" spans="1:17" ht="207.6" customHeight="1">
      <c r="A498" s="56" t="s">
        <v>508</v>
      </c>
      <c r="E498" s="72">
        <f>SUMIF(History1!B:B, A498, History1!C:C)</f>
        <v>0</v>
      </c>
      <c r="K498" s="72" t="s">
        <v>2623</v>
      </c>
      <c r="L498" s="57" t="s">
        <v>1509</v>
      </c>
      <c r="Q498" s="57" t="str">
        <f t="shared" si="7"/>
        <v>🔴 LOW</v>
      </c>
    </row>
    <row r="499" spans="1:17" ht="207.6" customHeight="1">
      <c r="A499" s="56" t="s">
        <v>509</v>
      </c>
      <c r="E499" s="72">
        <f>SUMIF(History1!B:B, A499, History1!C:C)</f>
        <v>0</v>
      </c>
      <c r="K499" s="72" t="s">
        <v>2624</v>
      </c>
      <c r="L499" s="57" t="s">
        <v>1510</v>
      </c>
      <c r="Q499" s="57" t="str">
        <f t="shared" si="7"/>
        <v>🔴 LOW</v>
      </c>
    </row>
    <row r="500" spans="1:17" ht="207.6" customHeight="1">
      <c r="A500" s="56" t="s">
        <v>510</v>
      </c>
      <c r="E500" s="72">
        <f>SUMIF(History1!B:B, A500, History1!C:C)</f>
        <v>0</v>
      </c>
      <c r="K500" s="72" t="s">
        <v>2625</v>
      </c>
      <c r="L500" s="57" t="s">
        <v>1511</v>
      </c>
      <c r="Q500" s="57" t="str">
        <f t="shared" si="7"/>
        <v>🔴 LOW</v>
      </c>
    </row>
    <row r="501" spans="1:17" ht="207.6" customHeight="1">
      <c r="A501" s="56" t="s">
        <v>511</v>
      </c>
      <c r="E501" s="72">
        <f>SUMIF(History1!B:B, A501, History1!C:C)</f>
        <v>0</v>
      </c>
      <c r="K501" s="72" t="s">
        <v>2626</v>
      </c>
      <c r="L501" s="57" t="s">
        <v>1512</v>
      </c>
      <c r="Q501" s="57" t="str">
        <f t="shared" si="7"/>
        <v>🔴 LOW</v>
      </c>
    </row>
    <row r="502" spans="1:17" ht="207.6" customHeight="1">
      <c r="A502" s="56" t="s">
        <v>512</v>
      </c>
      <c r="E502" s="72">
        <f>SUMIF(History1!B:B, A502, History1!C:C)</f>
        <v>0</v>
      </c>
      <c r="K502" s="72" t="s">
        <v>2627</v>
      </c>
      <c r="L502" s="57" t="s">
        <v>1513</v>
      </c>
      <c r="Q502" s="57" t="str">
        <f t="shared" si="7"/>
        <v>🔴 LOW</v>
      </c>
    </row>
    <row r="503" spans="1:17" ht="207.6" customHeight="1">
      <c r="A503" s="56" t="s">
        <v>513</v>
      </c>
      <c r="E503" s="72">
        <f>SUMIF(History1!B:B, A503, History1!C:C)</f>
        <v>0</v>
      </c>
      <c r="K503" s="72" t="s">
        <v>2628</v>
      </c>
      <c r="L503" s="57" t="s">
        <v>1514</v>
      </c>
      <c r="Q503" s="57" t="str">
        <f t="shared" si="7"/>
        <v>🔴 LOW</v>
      </c>
    </row>
    <row r="504" spans="1:17" ht="207.6" customHeight="1">
      <c r="A504" s="56" t="s">
        <v>514</v>
      </c>
      <c r="E504" s="72">
        <f>SUMIF(History1!B:B, A504, History1!C:C)</f>
        <v>0</v>
      </c>
      <c r="K504" s="72" t="s">
        <v>2629</v>
      </c>
      <c r="L504" s="57" t="s">
        <v>1515</v>
      </c>
      <c r="Q504" s="57" t="str">
        <f t="shared" si="7"/>
        <v>🔴 LOW</v>
      </c>
    </row>
    <row r="505" spans="1:17" ht="207.6" customHeight="1">
      <c r="A505" s="56" t="s">
        <v>515</v>
      </c>
      <c r="E505" s="72">
        <f>SUMIF(History1!B:B, A505, History1!C:C)</f>
        <v>0</v>
      </c>
      <c r="K505" s="72" t="s">
        <v>2630</v>
      </c>
      <c r="L505" s="57" t="s">
        <v>1516</v>
      </c>
      <c r="Q505" s="57" t="str">
        <f t="shared" si="7"/>
        <v>🔴 LOW</v>
      </c>
    </row>
    <row r="506" spans="1:17" ht="207.6" customHeight="1">
      <c r="A506" s="56" t="s">
        <v>516</v>
      </c>
      <c r="E506" s="72">
        <f>SUMIF(History1!B:B, A506, History1!C:C)</f>
        <v>0</v>
      </c>
      <c r="K506" s="72" t="s">
        <v>2631</v>
      </c>
      <c r="L506" s="57" t="s">
        <v>1517</v>
      </c>
      <c r="Q506" s="57" t="str">
        <f t="shared" si="7"/>
        <v>🔴 LOW</v>
      </c>
    </row>
    <row r="507" spans="1:17" ht="207.6" customHeight="1">
      <c r="A507" s="56" t="s">
        <v>517</v>
      </c>
      <c r="E507" s="72">
        <f>SUMIF(History1!B:B, A507, History1!C:C)</f>
        <v>0</v>
      </c>
      <c r="K507" s="72" t="s">
        <v>2632</v>
      </c>
      <c r="L507" s="57" t="s">
        <v>1518</v>
      </c>
      <c r="Q507" s="57" t="str">
        <f t="shared" si="7"/>
        <v>🔴 LOW</v>
      </c>
    </row>
    <row r="508" spans="1:17" ht="207.6" customHeight="1">
      <c r="A508" s="56" t="s">
        <v>518</v>
      </c>
      <c r="E508" s="72">
        <f>SUMIF(History1!B:B, A508, History1!C:C)</f>
        <v>0</v>
      </c>
      <c r="K508" s="72" t="s">
        <v>2633</v>
      </c>
      <c r="L508" s="57" t="s">
        <v>1519</v>
      </c>
      <c r="Q508" s="57" t="str">
        <f t="shared" si="7"/>
        <v>🔴 LOW</v>
      </c>
    </row>
    <row r="509" spans="1:17" ht="207.6" customHeight="1">
      <c r="A509" s="56" t="s">
        <v>519</v>
      </c>
      <c r="E509" s="72">
        <f>SUMIF(History1!B:B, A509, History1!C:C)</f>
        <v>0</v>
      </c>
      <c r="K509" s="72" t="s">
        <v>2634</v>
      </c>
      <c r="L509" s="57" t="s">
        <v>1520</v>
      </c>
      <c r="Q509" s="57" t="str">
        <f t="shared" si="7"/>
        <v>🔴 LOW</v>
      </c>
    </row>
    <row r="510" spans="1:17" ht="207.6" customHeight="1">
      <c r="A510" s="56" t="s">
        <v>520</v>
      </c>
      <c r="E510" s="72">
        <f>SUMIF(History1!B:B, A510, History1!C:C)</f>
        <v>0</v>
      </c>
      <c r="K510" s="72" t="s">
        <v>2635</v>
      </c>
      <c r="L510" s="57" t="s">
        <v>1521</v>
      </c>
      <c r="Q510" s="57" t="str">
        <f t="shared" si="7"/>
        <v>🔴 LOW</v>
      </c>
    </row>
    <row r="511" spans="1:17" ht="207.6" customHeight="1">
      <c r="A511" s="56" t="s">
        <v>521</v>
      </c>
      <c r="E511" s="72">
        <f>SUMIF(History1!B:B, A511, History1!C:C)</f>
        <v>0</v>
      </c>
      <c r="K511" s="72" t="s">
        <v>2636</v>
      </c>
      <c r="L511" s="57" t="s">
        <v>1522</v>
      </c>
      <c r="Q511" s="57" t="str">
        <f t="shared" si="7"/>
        <v>🔴 LOW</v>
      </c>
    </row>
    <row r="512" spans="1:17" ht="207.6" customHeight="1">
      <c r="A512" s="56" t="s">
        <v>522</v>
      </c>
      <c r="E512" s="72">
        <f>SUMIF(History1!B:B, A512, History1!C:C)</f>
        <v>0</v>
      </c>
      <c r="K512" s="72" t="s">
        <v>2637</v>
      </c>
      <c r="L512" s="57" t="s">
        <v>1523</v>
      </c>
      <c r="Q512" s="57" t="str">
        <f t="shared" si="7"/>
        <v>🔴 LOW</v>
      </c>
    </row>
    <row r="513" spans="1:17" ht="207.6" customHeight="1">
      <c r="A513" s="56" t="s">
        <v>523</v>
      </c>
      <c r="E513" s="72">
        <f>SUMIF(History1!B:B, A513, History1!C:C)</f>
        <v>0</v>
      </c>
      <c r="K513" s="72" t="s">
        <v>2638</v>
      </c>
      <c r="L513" s="57" t="s">
        <v>1524</v>
      </c>
      <c r="Q513" s="57" t="str">
        <f t="shared" si="7"/>
        <v>🔴 LOW</v>
      </c>
    </row>
    <row r="514" spans="1:17" ht="207.6" customHeight="1">
      <c r="A514" s="56" t="s">
        <v>524</v>
      </c>
      <c r="E514" s="72">
        <f>SUMIF(History1!B:B, A514, History1!C:C)</f>
        <v>0</v>
      </c>
      <c r="K514" s="72" t="s">
        <v>2639</v>
      </c>
      <c r="L514" s="57" t="s">
        <v>1525</v>
      </c>
      <c r="Q514" s="57" t="str">
        <f t="shared" si="7"/>
        <v>🔴 LOW</v>
      </c>
    </row>
    <row r="515" spans="1:17" ht="207.6" customHeight="1">
      <c r="A515" s="56" t="s">
        <v>525</v>
      </c>
      <c r="E515" s="72">
        <f>SUMIF(History1!B:B, A515, History1!C:C)</f>
        <v>0</v>
      </c>
      <c r="K515" s="72" t="s">
        <v>2640</v>
      </c>
      <c r="L515" s="57" t="s">
        <v>1526</v>
      </c>
      <c r="Q515" s="57" t="str">
        <f t="shared" ref="Q515:Q578" si="8">IF(E515&lt;=10,"🔴 LOW",IF(E515&lt;=50,"🟡 MEDIUM","🟢 GOOD"))</f>
        <v>🔴 LOW</v>
      </c>
    </row>
    <row r="516" spans="1:17" ht="207.6" customHeight="1">
      <c r="A516" s="56" t="s">
        <v>526</v>
      </c>
      <c r="E516" s="72">
        <f>SUMIF(History1!B:B, A516, History1!C:C)</f>
        <v>0</v>
      </c>
      <c r="K516" s="72" t="s">
        <v>2641</v>
      </c>
      <c r="L516" s="57" t="s">
        <v>1527</v>
      </c>
      <c r="Q516" s="57" t="str">
        <f t="shared" si="8"/>
        <v>🔴 LOW</v>
      </c>
    </row>
    <row r="517" spans="1:17" ht="207.6" customHeight="1">
      <c r="A517" s="56" t="s">
        <v>527</v>
      </c>
      <c r="E517" s="72">
        <f>SUMIF(History1!B:B, A517, History1!C:C)</f>
        <v>0</v>
      </c>
      <c r="K517" s="72" t="s">
        <v>2642</v>
      </c>
      <c r="L517" s="57" t="s">
        <v>1528</v>
      </c>
      <c r="Q517" s="57" t="str">
        <f t="shared" si="8"/>
        <v>🔴 LOW</v>
      </c>
    </row>
    <row r="518" spans="1:17" ht="207.6" customHeight="1">
      <c r="A518" s="56" t="s">
        <v>528</v>
      </c>
      <c r="E518" s="72">
        <f>SUMIF(History1!B:B, A518, History1!C:C)</f>
        <v>0</v>
      </c>
      <c r="K518" s="72" t="s">
        <v>2643</v>
      </c>
      <c r="L518" s="57" t="s">
        <v>1529</v>
      </c>
      <c r="Q518" s="57" t="str">
        <f t="shared" si="8"/>
        <v>🔴 LOW</v>
      </c>
    </row>
    <row r="519" spans="1:17" ht="207.6" customHeight="1">
      <c r="A519" s="56" t="s">
        <v>529</v>
      </c>
      <c r="E519" s="72">
        <f>SUMIF(History1!B:B, A519, History1!C:C)</f>
        <v>0</v>
      </c>
      <c r="K519" s="72" t="s">
        <v>2644</v>
      </c>
      <c r="L519" s="57" t="s">
        <v>1530</v>
      </c>
      <c r="Q519" s="57" t="str">
        <f t="shared" si="8"/>
        <v>🔴 LOW</v>
      </c>
    </row>
    <row r="520" spans="1:17" ht="207.6" customHeight="1">
      <c r="A520" s="56" t="s">
        <v>530</v>
      </c>
      <c r="E520" s="72">
        <f>SUMIF(History1!B:B, A520, History1!C:C)</f>
        <v>0</v>
      </c>
      <c r="K520" s="72" t="s">
        <v>2645</v>
      </c>
      <c r="L520" s="57" t="s">
        <v>1531</v>
      </c>
      <c r="Q520" s="57" t="str">
        <f t="shared" si="8"/>
        <v>🔴 LOW</v>
      </c>
    </row>
    <row r="521" spans="1:17" ht="207.6" customHeight="1">
      <c r="A521" s="56" t="s">
        <v>531</v>
      </c>
      <c r="E521" s="72">
        <f>SUMIF(History1!B:B, A521, History1!C:C)</f>
        <v>0</v>
      </c>
      <c r="K521" s="72" t="s">
        <v>2646</v>
      </c>
      <c r="L521" s="57" t="s">
        <v>1532</v>
      </c>
      <c r="Q521" s="57" t="str">
        <f t="shared" si="8"/>
        <v>🔴 LOW</v>
      </c>
    </row>
    <row r="522" spans="1:17" ht="207.6" customHeight="1">
      <c r="A522" s="56" t="s">
        <v>532</v>
      </c>
      <c r="E522" s="72">
        <f>SUMIF(History1!B:B, A522, History1!C:C)</f>
        <v>0</v>
      </c>
      <c r="K522" s="72" t="s">
        <v>2647</v>
      </c>
      <c r="L522" s="57" t="s">
        <v>1533</v>
      </c>
      <c r="Q522" s="57" t="str">
        <f t="shared" si="8"/>
        <v>🔴 LOW</v>
      </c>
    </row>
    <row r="523" spans="1:17" ht="207.6" customHeight="1">
      <c r="A523" s="56" t="s">
        <v>533</v>
      </c>
      <c r="E523" s="72">
        <f>SUMIF(History1!B:B, A523, History1!C:C)</f>
        <v>0</v>
      </c>
      <c r="K523" s="72" t="s">
        <v>2648</v>
      </c>
      <c r="L523" s="57" t="s">
        <v>1534</v>
      </c>
      <c r="Q523" s="57" t="str">
        <f t="shared" si="8"/>
        <v>🔴 LOW</v>
      </c>
    </row>
    <row r="524" spans="1:17" ht="207.6" customHeight="1">
      <c r="A524" s="56" t="s">
        <v>534</v>
      </c>
      <c r="E524" s="72">
        <f>SUMIF(History1!B:B, A524, History1!C:C)</f>
        <v>0</v>
      </c>
      <c r="K524" s="72" t="s">
        <v>2649</v>
      </c>
      <c r="L524" s="57" t="s">
        <v>1535</v>
      </c>
      <c r="Q524" s="57" t="str">
        <f t="shared" si="8"/>
        <v>🔴 LOW</v>
      </c>
    </row>
    <row r="525" spans="1:17" ht="207.6" customHeight="1">
      <c r="A525" s="56" t="s">
        <v>535</v>
      </c>
      <c r="E525" s="72">
        <f>SUMIF(History1!B:B, A525, History1!C:C)</f>
        <v>0</v>
      </c>
      <c r="K525" s="72" t="s">
        <v>2650</v>
      </c>
      <c r="L525" s="57" t="s">
        <v>1536</v>
      </c>
      <c r="Q525" s="57" t="str">
        <f t="shared" si="8"/>
        <v>🔴 LOW</v>
      </c>
    </row>
    <row r="526" spans="1:17" ht="207.6" customHeight="1">
      <c r="A526" s="56" t="s">
        <v>536</v>
      </c>
      <c r="E526" s="72">
        <f>SUMIF(History1!B:B, A526, History1!C:C)</f>
        <v>0</v>
      </c>
      <c r="K526" s="72" t="s">
        <v>2651</v>
      </c>
      <c r="L526" s="57" t="s">
        <v>1537</v>
      </c>
      <c r="Q526" s="57" t="str">
        <f t="shared" si="8"/>
        <v>🔴 LOW</v>
      </c>
    </row>
    <row r="527" spans="1:17" ht="207.6" customHeight="1">
      <c r="A527" s="56" t="s">
        <v>537</v>
      </c>
      <c r="E527" s="72">
        <f>SUMIF(History1!B:B, A527, History1!C:C)</f>
        <v>0</v>
      </c>
      <c r="K527" s="72" t="s">
        <v>2652</v>
      </c>
      <c r="L527" s="57" t="s">
        <v>1538</v>
      </c>
      <c r="Q527" s="57" t="str">
        <f t="shared" si="8"/>
        <v>🔴 LOW</v>
      </c>
    </row>
    <row r="528" spans="1:17" ht="207.6" customHeight="1">
      <c r="A528" s="56" t="s">
        <v>538</v>
      </c>
      <c r="E528" s="72">
        <f>SUMIF(History1!B:B, A528, History1!C:C)</f>
        <v>0</v>
      </c>
      <c r="K528" s="72" t="s">
        <v>2653</v>
      </c>
      <c r="L528" s="57" t="s">
        <v>1539</v>
      </c>
      <c r="Q528" s="57" t="str">
        <f t="shared" si="8"/>
        <v>🔴 LOW</v>
      </c>
    </row>
    <row r="529" spans="1:17" ht="207.6" customHeight="1">
      <c r="A529" s="56" t="s">
        <v>539</v>
      </c>
      <c r="E529" s="72">
        <f>SUMIF(History1!B:B, A529, History1!C:C)</f>
        <v>0</v>
      </c>
      <c r="K529" s="72" t="s">
        <v>2654</v>
      </c>
      <c r="L529" s="57" t="s">
        <v>1540</v>
      </c>
      <c r="Q529" s="57" t="str">
        <f t="shared" si="8"/>
        <v>🔴 LOW</v>
      </c>
    </row>
    <row r="530" spans="1:17" ht="207.6" customHeight="1">
      <c r="A530" s="56" t="s">
        <v>540</v>
      </c>
      <c r="E530" s="72">
        <f>SUMIF(History1!B:B, A530, History1!C:C)</f>
        <v>0</v>
      </c>
      <c r="K530" s="72" t="s">
        <v>2655</v>
      </c>
      <c r="L530" s="57" t="s">
        <v>1541</v>
      </c>
      <c r="Q530" s="57" t="str">
        <f t="shared" si="8"/>
        <v>🔴 LOW</v>
      </c>
    </row>
    <row r="531" spans="1:17" ht="207.6" customHeight="1">
      <c r="A531" s="56" t="s">
        <v>541</v>
      </c>
      <c r="E531" s="72">
        <f>SUMIF(History1!B:B, A531, History1!C:C)</f>
        <v>0</v>
      </c>
      <c r="K531" s="72" t="s">
        <v>2656</v>
      </c>
      <c r="L531" s="57" t="s">
        <v>1542</v>
      </c>
      <c r="Q531" s="57" t="str">
        <f t="shared" si="8"/>
        <v>🔴 LOW</v>
      </c>
    </row>
    <row r="532" spans="1:17" ht="207.6" customHeight="1">
      <c r="A532" s="56" t="s">
        <v>542</v>
      </c>
      <c r="E532" s="72">
        <f>SUMIF(History1!B:B, A532, History1!C:C)</f>
        <v>0</v>
      </c>
      <c r="K532" s="72" t="s">
        <v>2657</v>
      </c>
      <c r="L532" s="57" t="s">
        <v>1543</v>
      </c>
      <c r="Q532" s="57" t="str">
        <f t="shared" si="8"/>
        <v>🔴 LOW</v>
      </c>
    </row>
    <row r="533" spans="1:17" ht="207.6" customHeight="1">
      <c r="A533" s="56" t="s">
        <v>543</v>
      </c>
      <c r="E533" s="72">
        <f>SUMIF(History1!B:B, A533, History1!C:C)</f>
        <v>0</v>
      </c>
      <c r="K533" s="72" t="s">
        <v>2658</v>
      </c>
      <c r="L533" s="57" t="s">
        <v>1544</v>
      </c>
      <c r="Q533" s="57" t="str">
        <f t="shared" si="8"/>
        <v>🔴 LOW</v>
      </c>
    </row>
    <row r="534" spans="1:17" ht="207.6" customHeight="1">
      <c r="A534" s="56" t="s">
        <v>544</v>
      </c>
      <c r="E534" s="72">
        <f>SUMIF(History1!B:B, A534, History1!C:C)</f>
        <v>0</v>
      </c>
      <c r="K534" s="72" t="s">
        <v>2659</v>
      </c>
      <c r="L534" s="57" t="s">
        <v>1545</v>
      </c>
      <c r="Q534" s="57" t="str">
        <f t="shared" si="8"/>
        <v>🔴 LOW</v>
      </c>
    </row>
    <row r="535" spans="1:17" ht="207.6" customHeight="1">
      <c r="A535" s="56" t="s">
        <v>545</v>
      </c>
      <c r="E535" s="72">
        <f>SUMIF(History1!B:B, A535, History1!C:C)</f>
        <v>0</v>
      </c>
      <c r="K535" s="72" t="s">
        <v>2660</v>
      </c>
      <c r="L535" s="57" t="s">
        <v>1546</v>
      </c>
      <c r="Q535" s="57" t="str">
        <f t="shared" si="8"/>
        <v>🔴 LOW</v>
      </c>
    </row>
    <row r="536" spans="1:17" ht="207.6" customHeight="1">
      <c r="A536" s="56" t="s">
        <v>546</v>
      </c>
      <c r="E536" s="72">
        <f>SUMIF(History1!B:B, A536, History1!C:C)</f>
        <v>0</v>
      </c>
      <c r="K536" s="72" t="s">
        <v>2661</v>
      </c>
      <c r="L536" s="57" t="s">
        <v>1547</v>
      </c>
      <c r="Q536" s="57" t="str">
        <f t="shared" si="8"/>
        <v>🔴 LOW</v>
      </c>
    </row>
    <row r="537" spans="1:17" ht="207.6" customHeight="1">
      <c r="A537" s="56" t="s">
        <v>547</v>
      </c>
      <c r="E537" s="72">
        <f>SUMIF(History1!B:B, A537, History1!C:C)</f>
        <v>0</v>
      </c>
      <c r="K537" s="72" t="s">
        <v>2662</v>
      </c>
      <c r="L537" s="57" t="s">
        <v>1548</v>
      </c>
      <c r="Q537" s="57" t="str">
        <f t="shared" si="8"/>
        <v>🔴 LOW</v>
      </c>
    </row>
    <row r="538" spans="1:17" ht="207.6" customHeight="1">
      <c r="A538" s="56" t="s">
        <v>548</v>
      </c>
      <c r="E538" s="72">
        <f>SUMIF(History1!B:B, A538, History1!C:C)</f>
        <v>0</v>
      </c>
      <c r="K538" s="72" t="s">
        <v>2663</v>
      </c>
      <c r="L538" s="57" t="s">
        <v>1549</v>
      </c>
      <c r="Q538" s="57" t="str">
        <f t="shared" si="8"/>
        <v>🔴 LOW</v>
      </c>
    </row>
    <row r="539" spans="1:17" ht="207.6" customHeight="1">
      <c r="A539" s="56" t="s">
        <v>549</v>
      </c>
      <c r="E539" s="72">
        <f>SUMIF(History1!B:B, A539, History1!C:C)</f>
        <v>0</v>
      </c>
      <c r="K539" s="72" t="s">
        <v>2664</v>
      </c>
      <c r="L539" s="57" t="s">
        <v>1550</v>
      </c>
      <c r="Q539" s="57" t="str">
        <f t="shared" si="8"/>
        <v>🔴 LOW</v>
      </c>
    </row>
    <row r="540" spans="1:17" ht="207.6" customHeight="1">
      <c r="A540" s="56" t="s">
        <v>550</v>
      </c>
      <c r="E540" s="72">
        <f>SUMIF(History1!B:B, A540, History1!C:C)</f>
        <v>0</v>
      </c>
      <c r="K540" s="72" t="s">
        <v>2665</v>
      </c>
      <c r="L540" s="57" t="s">
        <v>1551</v>
      </c>
      <c r="Q540" s="57" t="str">
        <f t="shared" si="8"/>
        <v>🔴 LOW</v>
      </c>
    </row>
    <row r="541" spans="1:17" ht="207.6" customHeight="1">
      <c r="A541" s="56" t="s">
        <v>551</v>
      </c>
      <c r="E541" s="72">
        <f>SUMIF(History1!B:B, A541, History1!C:C)</f>
        <v>0</v>
      </c>
      <c r="K541" s="72" t="s">
        <v>2666</v>
      </c>
      <c r="L541" s="57" t="s">
        <v>1552</v>
      </c>
      <c r="Q541" s="57" t="str">
        <f t="shared" si="8"/>
        <v>🔴 LOW</v>
      </c>
    </row>
    <row r="542" spans="1:17" ht="207.6" customHeight="1">
      <c r="A542" s="56" t="s">
        <v>552</v>
      </c>
      <c r="E542" s="72">
        <f>SUMIF(History1!B:B, A542, History1!C:C)</f>
        <v>0</v>
      </c>
      <c r="K542" s="72" t="s">
        <v>2667</v>
      </c>
      <c r="L542" s="57" t="s">
        <v>1553</v>
      </c>
      <c r="Q542" s="57" t="str">
        <f t="shared" si="8"/>
        <v>🔴 LOW</v>
      </c>
    </row>
    <row r="543" spans="1:17" ht="207.6" customHeight="1">
      <c r="A543" s="56" t="s">
        <v>553</v>
      </c>
      <c r="E543" s="72">
        <f>SUMIF(History1!B:B, A543, History1!C:C)</f>
        <v>0</v>
      </c>
      <c r="K543" s="72" t="s">
        <v>2668</v>
      </c>
      <c r="L543" s="57" t="s">
        <v>1554</v>
      </c>
      <c r="Q543" s="57" t="str">
        <f t="shared" si="8"/>
        <v>🔴 LOW</v>
      </c>
    </row>
    <row r="544" spans="1:17" ht="207.6" customHeight="1">
      <c r="A544" s="56" t="s">
        <v>554</v>
      </c>
      <c r="E544" s="72">
        <f>SUMIF(History1!B:B, A544, History1!C:C)</f>
        <v>0</v>
      </c>
      <c r="K544" s="72" t="s">
        <v>2669</v>
      </c>
      <c r="L544" s="57" t="s">
        <v>1555</v>
      </c>
      <c r="Q544" s="57" t="str">
        <f t="shared" si="8"/>
        <v>🔴 LOW</v>
      </c>
    </row>
    <row r="545" spans="1:17" ht="207.6" customHeight="1">
      <c r="A545" s="56" t="s">
        <v>555</v>
      </c>
      <c r="E545" s="72">
        <f>SUMIF(History1!B:B, A545, History1!C:C)</f>
        <v>0</v>
      </c>
      <c r="K545" s="72" t="s">
        <v>2670</v>
      </c>
      <c r="L545" s="57" t="s">
        <v>1556</v>
      </c>
      <c r="Q545" s="57" t="str">
        <f t="shared" si="8"/>
        <v>🔴 LOW</v>
      </c>
    </row>
    <row r="546" spans="1:17" ht="207.6" customHeight="1">
      <c r="A546" s="56" t="s">
        <v>556</v>
      </c>
      <c r="E546" s="72">
        <f>SUMIF(History1!B:B, A546, History1!C:C)</f>
        <v>0</v>
      </c>
      <c r="K546" s="72" t="s">
        <v>2671</v>
      </c>
      <c r="L546" s="57" t="s">
        <v>1557</v>
      </c>
      <c r="Q546" s="57" t="str">
        <f t="shared" si="8"/>
        <v>🔴 LOW</v>
      </c>
    </row>
    <row r="547" spans="1:17" ht="207.6" customHeight="1">
      <c r="A547" s="56" t="s">
        <v>557</v>
      </c>
      <c r="E547" s="72">
        <f>SUMIF(History1!B:B, A547, History1!C:C)</f>
        <v>0</v>
      </c>
      <c r="K547" s="72" t="s">
        <v>2672</v>
      </c>
      <c r="L547" s="57" t="s">
        <v>1558</v>
      </c>
      <c r="Q547" s="57" t="str">
        <f t="shared" si="8"/>
        <v>🔴 LOW</v>
      </c>
    </row>
    <row r="548" spans="1:17" ht="207.6" customHeight="1">
      <c r="A548" s="56" t="s">
        <v>558</v>
      </c>
      <c r="E548" s="72">
        <f>SUMIF(History1!B:B, A548, History1!C:C)</f>
        <v>0</v>
      </c>
      <c r="K548" s="72" t="s">
        <v>2673</v>
      </c>
      <c r="L548" s="57" t="s">
        <v>1559</v>
      </c>
      <c r="Q548" s="57" t="str">
        <f t="shared" si="8"/>
        <v>🔴 LOW</v>
      </c>
    </row>
    <row r="549" spans="1:17" ht="207.6" customHeight="1">
      <c r="A549" s="56" t="s">
        <v>559</v>
      </c>
      <c r="E549" s="72">
        <f>SUMIF(History1!B:B, A549, History1!C:C)</f>
        <v>0</v>
      </c>
      <c r="K549" s="72" t="s">
        <v>2674</v>
      </c>
      <c r="L549" s="57" t="s">
        <v>1560</v>
      </c>
      <c r="Q549" s="57" t="str">
        <f t="shared" si="8"/>
        <v>🔴 LOW</v>
      </c>
    </row>
    <row r="550" spans="1:17" ht="207.6" customHeight="1">
      <c r="A550" s="56" t="s">
        <v>560</v>
      </c>
      <c r="E550" s="72">
        <f>SUMIF(History1!B:B, A550, History1!C:C)</f>
        <v>0</v>
      </c>
      <c r="K550" s="72" t="s">
        <v>2675</v>
      </c>
      <c r="L550" s="57" t="s">
        <v>1561</v>
      </c>
      <c r="Q550" s="57" t="str">
        <f t="shared" si="8"/>
        <v>🔴 LOW</v>
      </c>
    </row>
    <row r="551" spans="1:17" ht="207.6" customHeight="1">
      <c r="A551" s="56" t="s">
        <v>561</v>
      </c>
      <c r="E551" s="72">
        <f>SUMIF(History1!B:B, A551, History1!C:C)</f>
        <v>0</v>
      </c>
      <c r="K551" s="72" t="s">
        <v>2676</v>
      </c>
      <c r="L551" s="57" t="s">
        <v>1562</v>
      </c>
      <c r="Q551" s="57" t="str">
        <f t="shared" si="8"/>
        <v>🔴 LOW</v>
      </c>
    </row>
    <row r="552" spans="1:17" ht="207.6" customHeight="1">
      <c r="A552" s="56" t="s">
        <v>562</v>
      </c>
      <c r="E552" s="72">
        <f>SUMIF(History1!B:B, A552, History1!C:C)</f>
        <v>0</v>
      </c>
      <c r="K552" s="72" t="s">
        <v>2677</v>
      </c>
      <c r="L552" s="57" t="s">
        <v>1563</v>
      </c>
      <c r="Q552" s="57" t="str">
        <f t="shared" si="8"/>
        <v>🔴 LOW</v>
      </c>
    </row>
    <row r="553" spans="1:17" ht="207.6" customHeight="1">
      <c r="A553" s="56" t="s">
        <v>563</v>
      </c>
      <c r="E553" s="72">
        <f>SUMIF(History1!B:B, A553, History1!C:C)</f>
        <v>0</v>
      </c>
      <c r="K553" s="72" t="s">
        <v>2678</v>
      </c>
      <c r="L553" s="57" t="s">
        <v>1564</v>
      </c>
      <c r="Q553" s="57" t="str">
        <f t="shared" si="8"/>
        <v>🔴 LOW</v>
      </c>
    </row>
    <row r="554" spans="1:17" ht="207.6" customHeight="1">
      <c r="A554" s="56" t="s">
        <v>564</v>
      </c>
      <c r="E554" s="72">
        <f>SUMIF(History1!B:B, A554, History1!C:C)</f>
        <v>0</v>
      </c>
      <c r="K554" s="72" t="s">
        <v>2679</v>
      </c>
      <c r="L554" s="57" t="s">
        <v>1565</v>
      </c>
      <c r="Q554" s="57" t="str">
        <f t="shared" si="8"/>
        <v>🔴 LOW</v>
      </c>
    </row>
    <row r="555" spans="1:17" ht="207.6" customHeight="1">
      <c r="A555" s="56" t="s">
        <v>565</v>
      </c>
      <c r="E555" s="72">
        <f>SUMIF(History1!B:B, A555, History1!C:C)</f>
        <v>0</v>
      </c>
      <c r="K555" s="72" t="s">
        <v>2680</v>
      </c>
      <c r="L555" s="57" t="s">
        <v>1566</v>
      </c>
      <c r="Q555" s="57" t="str">
        <f t="shared" si="8"/>
        <v>🔴 LOW</v>
      </c>
    </row>
    <row r="556" spans="1:17" ht="207.6" customHeight="1">
      <c r="A556" s="56" t="s">
        <v>566</v>
      </c>
      <c r="E556" s="72">
        <f>SUMIF(History1!B:B, A556, History1!C:C)</f>
        <v>0</v>
      </c>
      <c r="K556" s="72" t="s">
        <v>2681</v>
      </c>
      <c r="L556" s="57" t="s">
        <v>1567</v>
      </c>
      <c r="Q556" s="57" t="str">
        <f t="shared" si="8"/>
        <v>🔴 LOW</v>
      </c>
    </row>
    <row r="557" spans="1:17" ht="207.6" customHeight="1">
      <c r="A557" s="56" t="s">
        <v>567</v>
      </c>
      <c r="E557" s="72">
        <f>SUMIF(History1!B:B, A557, History1!C:C)</f>
        <v>0</v>
      </c>
      <c r="K557" s="72" t="s">
        <v>2682</v>
      </c>
      <c r="L557" s="57" t="s">
        <v>1568</v>
      </c>
      <c r="Q557" s="57" t="str">
        <f t="shared" si="8"/>
        <v>🔴 LOW</v>
      </c>
    </row>
    <row r="558" spans="1:17" ht="207.6" customHeight="1">
      <c r="A558" s="56" t="s">
        <v>568</v>
      </c>
      <c r="E558" s="72">
        <f>SUMIF(History1!B:B, A558, History1!C:C)</f>
        <v>0</v>
      </c>
      <c r="K558" s="72" t="s">
        <v>2683</v>
      </c>
      <c r="L558" s="57" t="s">
        <v>1569</v>
      </c>
      <c r="Q558" s="57" t="str">
        <f t="shared" si="8"/>
        <v>🔴 LOW</v>
      </c>
    </row>
    <row r="559" spans="1:17" ht="207.6" customHeight="1">
      <c r="A559" s="56" t="s">
        <v>569</v>
      </c>
      <c r="E559" s="72">
        <f>SUMIF(History1!B:B, A559, History1!C:C)</f>
        <v>0</v>
      </c>
      <c r="K559" s="72" t="s">
        <v>2684</v>
      </c>
      <c r="L559" s="57" t="s">
        <v>1570</v>
      </c>
      <c r="Q559" s="57" t="str">
        <f t="shared" si="8"/>
        <v>🔴 LOW</v>
      </c>
    </row>
    <row r="560" spans="1:17" ht="207.6" customHeight="1">
      <c r="A560" s="56" t="s">
        <v>570</v>
      </c>
      <c r="E560" s="72">
        <f>SUMIF(History1!B:B, A560, History1!C:C)</f>
        <v>0</v>
      </c>
      <c r="K560" s="72" t="s">
        <v>2685</v>
      </c>
      <c r="L560" s="57" t="s">
        <v>1571</v>
      </c>
      <c r="Q560" s="57" t="str">
        <f t="shared" si="8"/>
        <v>🔴 LOW</v>
      </c>
    </row>
    <row r="561" spans="1:17" ht="207.6" customHeight="1">
      <c r="A561" s="56" t="s">
        <v>571</v>
      </c>
      <c r="E561" s="72">
        <f>SUMIF(History1!B:B, A561, History1!C:C)</f>
        <v>0</v>
      </c>
      <c r="K561" s="72" t="s">
        <v>2686</v>
      </c>
      <c r="L561" s="57" t="s">
        <v>1572</v>
      </c>
      <c r="Q561" s="57" t="str">
        <f t="shared" si="8"/>
        <v>🔴 LOW</v>
      </c>
    </row>
    <row r="562" spans="1:17" ht="207.6" customHeight="1">
      <c r="A562" s="56" t="s">
        <v>572</v>
      </c>
      <c r="E562" s="72">
        <f>SUMIF(History1!B:B, A562, History1!C:C)</f>
        <v>0</v>
      </c>
      <c r="K562" s="72" t="s">
        <v>2687</v>
      </c>
      <c r="L562" s="57" t="s">
        <v>1573</v>
      </c>
      <c r="Q562" s="57" t="str">
        <f t="shared" si="8"/>
        <v>🔴 LOW</v>
      </c>
    </row>
    <row r="563" spans="1:17" ht="207.6" customHeight="1">
      <c r="A563" s="56" t="s">
        <v>573</v>
      </c>
      <c r="E563" s="72">
        <f>SUMIF(History1!B:B, A563, History1!C:C)</f>
        <v>0</v>
      </c>
      <c r="K563" s="72" t="s">
        <v>2688</v>
      </c>
      <c r="L563" s="57" t="s">
        <v>1574</v>
      </c>
      <c r="Q563" s="57" t="str">
        <f t="shared" si="8"/>
        <v>🔴 LOW</v>
      </c>
    </row>
    <row r="564" spans="1:17" ht="207.6" customHeight="1">
      <c r="A564" s="56" t="s">
        <v>574</v>
      </c>
      <c r="E564" s="72">
        <f>SUMIF(History1!B:B, A564, History1!C:C)</f>
        <v>0</v>
      </c>
      <c r="K564" s="72" t="s">
        <v>2689</v>
      </c>
      <c r="L564" s="57" t="s">
        <v>1575</v>
      </c>
      <c r="Q564" s="57" t="str">
        <f t="shared" si="8"/>
        <v>🔴 LOW</v>
      </c>
    </row>
    <row r="565" spans="1:17" ht="207.6" customHeight="1">
      <c r="A565" s="56" t="s">
        <v>575</v>
      </c>
      <c r="E565" s="72">
        <f>SUMIF(History1!B:B, A565, History1!C:C)</f>
        <v>0</v>
      </c>
      <c r="K565" s="72" t="s">
        <v>2690</v>
      </c>
      <c r="L565" s="57" t="s">
        <v>1576</v>
      </c>
      <c r="Q565" s="57" t="str">
        <f t="shared" si="8"/>
        <v>🔴 LOW</v>
      </c>
    </row>
    <row r="566" spans="1:17" ht="207.6" customHeight="1">
      <c r="A566" s="56" t="s">
        <v>576</v>
      </c>
      <c r="E566" s="72">
        <f>SUMIF(History1!B:B, A566, History1!C:C)</f>
        <v>0</v>
      </c>
      <c r="K566" s="72" t="s">
        <v>2691</v>
      </c>
      <c r="L566" s="57" t="s">
        <v>1577</v>
      </c>
      <c r="Q566" s="57" t="str">
        <f t="shared" si="8"/>
        <v>🔴 LOW</v>
      </c>
    </row>
    <row r="567" spans="1:17" ht="207.6" customHeight="1">
      <c r="A567" s="56" t="s">
        <v>577</v>
      </c>
      <c r="E567" s="72">
        <f>SUMIF(History1!B:B, A567, History1!C:C)</f>
        <v>0</v>
      </c>
      <c r="K567" s="72" t="s">
        <v>2692</v>
      </c>
      <c r="L567" s="57" t="s">
        <v>1578</v>
      </c>
      <c r="Q567" s="57" t="str">
        <f t="shared" si="8"/>
        <v>🔴 LOW</v>
      </c>
    </row>
    <row r="568" spans="1:17" ht="207.6" customHeight="1">
      <c r="A568" s="56" t="s">
        <v>578</v>
      </c>
      <c r="E568" s="72">
        <f>SUMIF(History1!B:B, A568, History1!C:C)</f>
        <v>0</v>
      </c>
      <c r="K568" s="72" t="s">
        <v>2693</v>
      </c>
      <c r="L568" s="57" t="s">
        <v>1579</v>
      </c>
      <c r="Q568" s="57" t="str">
        <f t="shared" si="8"/>
        <v>🔴 LOW</v>
      </c>
    </row>
    <row r="569" spans="1:17" ht="207.6" customHeight="1">
      <c r="A569" s="56" t="s">
        <v>579</v>
      </c>
      <c r="E569" s="72">
        <f>SUMIF(History1!B:B, A569, History1!C:C)</f>
        <v>0</v>
      </c>
      <c r="K569" s="72" t="s">
        <v>2694</v>
      </c>
      <c r="L569" s="57" t="s">
        <v>1580</v>
      </c>
      <c r="Q569" s="57" t="str">
        <f t="shared" si="8"/>
        <v>🔴 LOW</v>
      </c>
    </row>
    <row r="570" spans="1:17" ht="207.6" customHeight="1">
      <c r="A570" s="56" t="s">
        <v>580</v>
      </c>
      <c r="E570" s="72">
        <f>SUMIF(History1!B:B, A570, History1!C:C)</f>
        <v>0</v>
      </c>
      <c r="K570" s="72" t="s">
        <v>2695</v>
      </c>
      <c r="L570" s="57" t="s">
        <v>1581</v>
      </c>
      <c r="Q570" s="57" t="str">
        <f t="shared" si="8"/>
        <v>🔴 LOW</v>
      </c>
    </row>
    <row r="571" spans="1:17" ht="207.6" customHeight="1">
      <c r="A571" s="56" t="s">
        <v>581</v>
      </c>
      <c r="E571" s="72">
        <f>SUMIF(History1!B:B, A571, History1!C:C)</f>
        <v>0</v>
      </c>
      <c r="K571" s="72" t="s">
        <v>2696</v>
      </c>
      <c r="L571" s="57" t="s">
        <v>1582</v>
      </c>
      <c r="Q571" s="57" t="str">
        <f t="shared" si="8"/>
        <v>🔴 LOW</v>
      </c>
    </row>
    <row r="572" spans="1:17" ht="207.6" customHeight="1">
      <c r="A572" s="56" t="s">
        <v>582</v>
      </c>
      <c r="E572" s="72">
        <f>SUMIF(History1!B:B, A572, History1!C:C)</f>
        <v>0</v>
      </c>
      <c r="K572" s="72" t="s">
        <v>2697</v>
      </c>
      <c r="L572" s="57" t="s">
        <v>1583</v>
      </c>
      <c r="Q572" s="57" t="str">
        <f t="shared" si="8"/>
        <v>🔴 LOW</v>
      </c>
    </row>
    <row r="573" spans="1:17" ht="207.6" customHeight="1">
      <c r="A573" s="56" t="s">
        <v>583</v>
      </c>
      <c r="E573" s="72">
        <f>SUMIF(History1!B:B, A573, History1!C:C)</f>
        <v>0</v>
      </c>
      <c r="K573" s="72" t="s">
        <v>2698</v>
      </c>
      <c r="L573" s="57" t="s">
        <v>1584</v>
      </c>
      <c r="Q573" s="57" t="str">
        <f t="shared" si="8"/>
        <v>🔴 LOW</v>
      </c>
    </row>
    <row r="574" spans="1:17" ht="207.6" customHeight="1">
      <c r="A574" s="56" t="s">
        <v>584</v>
      </c>
      <c r="E574" s="72">
        <f>SUMIF(History1!B:B, A574, History1!C:C)</f>
        <v>0</v>
      </c>
      <c r="K574" s="72" t="s">
        <v>2699</v>
      </c>
      <c r="L574" s="57" t="s">
        <v>1585</v>
      </c>
      <c r="Q574" s="57" t="str">
        <f t="shared" si="8"/>
        <v>🔴 LOW</v>
      </c>
    </row>
    <row r="575" spans="1:17" ht="207.6" customHeight="1">
      <c r="A575" s="56" t="s">
        <v>585</v>
      </c>
      <c r="E575" s="72">
        <f>SUMIF(History1!B:B, A575, History1!C:C)</f>
        <v>0</v>
      </c>
      <c r="K575" s="72" t="s">
        <v>2700</v>
      </c>
      <c r="L575" s="57" t="s">
        <v>1586</v>
      </c>
      <c r="Q575" s="57" t="str">
        <f t="shared" si="8"/>
        <v>🔴 LOW</v>
      </c>
    </row>
    <row r="576" spans="1:17" ht="207.6" customHeight="1">
      <c r="A576" s="56" t="s">
        <v>586</v>
      </c>
      <c r="E576" s="72">
        <f>SUMIF(History1!B:B, A576, History1!C:C)</f>
        <v>0</v>
      </c>
      <c r="K576" s="72" t="s">
        <v>2701</v>
      </c>
      <c r="L576" s="57" t="s">
        <v>1587</v>
      </c>
      <c r="Q576" s="57" t="str">
        <f t="shared" si="8"/>
        <v>🔴 LOW</v>
      </c>
    </row>
    <row r="577" spans="1:17" ht="207.6" customHeight="1">
      <c r="A577" s="56" t="s">
        <v>587</v>
      </c>
      <c r="E577" s="72">
        <f>SUMIF(History1!B:B, A577, History1!C:C)</f>
        <v>0</v>
      </c>
      <c r="K577" s="72" t="s">
        <v>2702</v>
      </c>
      <c r="L577" s="57" t="s">
        <v>1588</v>
      </c>
      <c r="Q577" s="57" t="str">
        <f t="shared" si="8"/>
        <v>🔴 LOW</v>
      </c>
    </row>
    <row r="578" spans="1:17" ht="207.6" customHeight="1">
      <c r="A578" s="56" t="s">
        <v>588</v>
      </c>
      <c r="E578" s="72">
        <f>SUMIF(History1!B:B, A578, History1!C:C)</f>
        <v>0</v>
      </c>
      <c r="K578" s="72" t="s">
        <v>2703</v>
      </c>
      <c r="L578" s="57" t="s">
        <v>1589</v>
      </c>
      <c r="Q578" s="57" t="str">
        <f t="shared" si="8"/>
        <v>🔴 LOW</v>
      </c>
    </row>
    <row r="579" spans="1:17" ht="207.6" customHeight="1">
      <c r="A579" s="56" t="s">
        <v>589</v>
      </c>
      <c r="E579" s="72">
        <f>SUMIF(History1!B:B, A579, History1!C:C)</f>
        <v>0</v>
      </c>
      <c r="K579" s="72" t="s">
        <v>2704</v>
      </c>
      <c r="L579" s="57" t="s">
        <v>1590</v>
      </c>
      <c r="Q579" s="57" t="str">
        <f t="shared" ref="Q579:Q642" si="9">IF(E579&lt;=10,"🔴 LOW",IF(E579&lt;=50,"🟡 MEDIUM","🟢 GOOD"))</f>
        <v>🔴 LOW</v>
      </c>
    </row>
    <row r="580" spans="1:17" ht="207.6" customHeight="1">
      <c r="A580" s="56" t="s">
        <v>590</v>
      </c>
      <c r="E580" s="72">
        <f>SUMIF(History1!B:B, A580, History1!C:C)</f>
        <v>0</v>
      </c>
      <c r="K580" s="72" t="s">
        <v>2705</v>
      </c>
      <c r="L580" s="57" t="s">
        <v>1591</v>
      </c>
      <c r="Q580" s="57" t="str">
        <f t="shared" si="9"/>
        <v>🔴 LOW</v>
      </c>
    </row>
    <row r="581" spans="1:17" ht="207.6" customHeight="1">
      <c r="A581" s="56" t="s">
        <v>591</v>
      </c>
      <c r="E581" s="72">
        <f>SUMIF(History1!B:B, A581, History1!C:C)</f>
        <v>0</v>
      </c>
      <c r="K581" s="72" t="s">
        <v>2706</v>
      </c>
      <c r="L581" s="57" t="s">
        <v>1592</v>
      </c>
      <c r="Q581" s="57" t="str">
        <f t="shared" si="9"/>
        <v>🔴 LOW</v>
      </c>
    </row>
    <row r="582" spans="1:17" ht="207.6" customHeight="1">
      <c r="A582" s="56" t="s">
        <v>592</v>
      </c>
      <c r="E582" s="72">
        <f>SUMIF(History1!B:B, A582, History1!C:C)</f>
        <v>0</v>
      </c>
      <c r="K582" s="72" t="s">
        <v>2707</v>
      </c>
      <c r="L582" s="57" t="s">
        <v>1593</v>
      </c>
      <c r="Q582" s="57" t="str">
        <f t="shared" si="9"/>
        <v>🔴 LOW</v>
      </c>
    </row>
    <row r="583" spans="1:17" ht="207.6" customHeight="1">
      <c r="A583" s="56" t="s">
        <v>593</v>
      </c>
      <c r="E583" s="72">
        <f>SUMIF(History1!B:B, A583, History1!C:C)</f>
        <v>0</v>
      </c>
      <c r="K583" s="72" t="s">
        <v>2708</v>
      </c>
      <c r="L583" s="57" t="s">
        <v>1594</v>
      </c>
      <c r="Q583" s="57" t="str">
        <f t="shared" si="9"/>
        <v>🔴 LOW</v>
      </c>
    </row>
    <row r="584" spans="1:17" ht="207.6" customHeight="1">
      <c r="A584" s="56" t="s">
        <v>594</v>
      </c>
      <c r="E584" s="72">
        <f>SUMIF(History1!B:B, A584, History1!C:C)</f>
        <v>0</v>
      </c>
      <c r="K584" s="72" t="s">
        <v>2709</v>
      </c>
      <c r="L584" s="57" t="s">
        <v>1595</v>
      </c>
      <c r="Q584" s="57" t="str">
        <f t="shared" si="9"/>
        <v>🔴 LOW</v>
      </c>
    </row>
    <row r="585" spans="1:17" ht="207.6" customHeight="1">
      <c r="A585" s="56" t="s">
        <v>595</v>
      </c>
      <c r="E585" s="72">
        <f>SUMIF(History1!B:B, A585, History1!C:C)</f>
        <v>0</v>
      </c>
      <c r="K585" s="72" t="s">
        <v>2710</v>
      </c>
      <c r="L585" s="57" t="s">
        <v>1596</v>
      </c>
      <c r="Q585" s="57" t="str">
        <f t="shared" si="9"/>
        <v>🔴 LOW</v>
      </c>
    </row>
    <row r="586" spans="1:17" ht="207.6" customHeight="1">
      <c r="A586" s="56" t="s">
        <v>596</v>
      </c>
      <c r="E586" s="72">
        <f>SUMIF(History1!B:B, A586, History1!C:C)</f>
        <v>0</v>
      </c>
      <c r="K586" s="72" t="s">
        <v>2711</v>
      </c>
      <c r="L586" s="57" t="s">
        <v>1597</v>
      </c>
      <c r="Q586" s="57" t="str">
        <f t="shared" si="9"/>
        <v>🔴 LOW</v>
      </c>
    </row>
    <row r="587" spans="1:17" ht="207.6" customHeight="1">
      <c r="A587" s="56" t="s">
        <v>597</v>
      </c>
      <c r="E587" s="72">
        <f>SUMIF(History1!B:B, A587, History1!C:C)</f>
        <v>0</v>
      </c>
      <c r="K587" s="72" t="s">
        <v>2712</v>
      </c>
      <c r="L587" s="57" t="s">
        <v>1598</v>
      </c>
      <c r="Q587" s="57" t="str">
        <f t="shared" si="9"/>
        <v>🔴 LOW</v>
      </c>
    </row>
    <row r="588" spans="1:17" ht="207.6" customHeight="1">
      <c r="A588" s="56" t="s">
        <v>598</v>
      </c>
      <c r="E588" s="72">
        <f>SUMIF(History1!B:B, A588, History1!C:C)</f>
        <v>0</v>
      </c>
      <c r="K588" s="72" t="s">
        <v>2713</v>
      </c>
      <c r="L588" s="57" t="s">
        <v>1599</v>
      </c>
      <c r="Q588" s="57" t="str">
        <f t="shared" si="9"/>
        <v>🔴 LOW</v>
      </c>
    </row>
    <row r="589" spans="1:17" ht="207.6" customHeight="1">
      <c r="A589" s="56" t="s">
        <v>599</v>
      </c>
      <c r="E589" s="72">
        <f>SUMIF(History1!B:B, A589, History1!C:C)</f>
        <v>0</v>
      </c>
      <c r="K589" s="72" t="s">
        <v>2714</v>
      </c>
      <c r="L589" s="57" t="s">
        <v>1600</v>
      </c>
      <c r="Q589" s="57" t="str">
        <f t="shared" si="9"/>
        <v>🔴 LOW</v>
      </c>
    </row>
    <row r="590" spans="1:17" ht="207.6" customHeight="1">
      <c r="A590" s="56" t="s">
        <v>600</v>
      </c>
      <c r="E590" s="72">
        <f>SUMIF(History1!B:B, A590, History1!C:C)</f>
        <v>0</v>
      </c>
      <c r="K590" s="72" t="s">
        <v>2715</v>
      </c>
      <c r="L590" s="57" t="s">
        <v>1601</v>
      </c>
      <c r="Q590" s="57" t="str">
        <f t="shared" si="9"/>
        <v>🔴 LOW</v>
      </c>
    </row>
    <row r="591" spans="1:17" ht="207.6" customHeight="1">
      <c r="A591" s="56" t="s">
        <v>601</v>
      </c>
      <c r="E591" s="72">
        <f>SUMIF(History1!B:B, A591, History1!C:C)</f>
        <v>0</v>
      </c>
      <c r="K591" s="72" t="s">
        <v>2716</v>
      </c>
      <c r="L591" s="57" t="s">
        <v>1602</v>
      </c>
      <c r="Q591" s="57" t="str">
        <f t="shared" si="9"/>
        <v>🔴 LOW</v>
      </c>
    </row>
    <row r="592" spans="1:17" ht="207.6" customHeight="1">
      <c r="A592" s="56" t="s">
        <v>602</v>
      </c>
      <c r="E592" s="72">
        <f>SUMIF(History1!B:B, A592, History1!C:C)</f>
        <v>0</v>
      </c>
      <c r="K592" s="72" t="s">
        <v>2717</v>
      </c>
      <c r="L592" s="57" t="s">
        <v>1603</v>
      </c>
      <c r="Q592" s="57" t="str">
        <f t="shared" si="9"/>
        <v>🔴 LOW</v>
      </c>
    </row>
    <row r="593" spans="1:17" ht="207.6" customHeight="1">
      <c r="A593" s="56" t="s">
        <v>603</v>
      </c>
      <c r="E593" s="72">
        <f>SUMIF(History1!B:B, A593, History1!C:C)</f>
        <v>0</v>
      </c>
      <c r="K593" s="72" t="s">
        <v>2718</v>
      </c>
      <c r="L593" s="57" t="s">
        <v>1604</v>
      </c>
      <c r="Q593" s="57" t="str">
        <f t="shared" si="9"/>
        <v>🔴 LOW</v>
      </c>
    </row>
    <row r="594" spans="1:17" ht="207.6" customHeight="1">
      <c r="A594" s="56" t="s">
        <v>604</v>
      </c>
      <c r="E594" s="72">
        <f>SUMIF(History1!B:B, A594, History1!C:C)</f>
        <v>0</v>
      </c>
      <c r="K594" s="72" t="s">
        <v>2719</v>
      </c>
      <c r="L594" s="57" t="s">
        <v>1605</v>
      </c>
      <c r="Q594" s="57" t="str">
        <f t="shared" si="9"/>
        <v>🔴 LOW</v>
      </c>
    </row>
    <row r="595" spans="1:17" ht="207.6" customHeight="1">
      <c r="A595" s="56" t="s">
        <v>605</v>
      </c>
      <c r="E595" s="72">
        <f>SUMIF(History1!B:B, A595, History1!C:C)</f>
        <v>0</v>
      </c>
      <c r="K595" s="72" t="s">
        <v>2720</v>
      </c>
      <c r="L595" s="57" t="s">
        <v>1606</v>
      </c>
      <c r="Q595" s="57" t="str">
        <f t="shared" si="9"/>
        <v>🔴 LOW</v>
      </c>
    </row>
    <row r="596" spans="1:17" ht="207.6" customHeight="1">
      <c r="A596" s="56" t="s">
        <v>606</v>
      </c>
      <c r="E596" s="72">
        <f>SUMIF(History1!B:B, A596, History1!C:C)</f>
        <v>0</v>
      </c>
      <c r="K596" s="72" t="s">
        <v>2721</v>
      </c>
      <c r="L596" s="57" t="s">
        <v>1607</v>
      </c>
      <c r="Q596" s="57" t="str">
        <f t="shared" si="9"/>
        <v>🔴 LOW</v>
      </c>
    </row>
    <row r="597" spans="1:17" ht="207.6" customHeight="1">
      <c r="A597" s="56" t="s">
        <v>607</v>
      </c>
      <c r="E597" s="72">
        <f>SUMIF(History1!B:B, A597, History1!C:C)</f>
        <v>0</v>
      </c>
      <c r="K597" s="72" t="s">
        <v>2722</v>
      </c>
      <c r="L597" s="57" t="s">
        <v>1608</v>
      </c>
      <c r="Q597" s="57" t="str">
        <f t="shared" si="9"/>
        <v>🔴 LOW</v>
      </c>
    </row>
    <row r="598" spans="1:17" ht="207.6" customHeight="1">
      <c r="A598" s="56" t="s">
        <v>608</v>
      </c>
      <c r="E598" s="72">
        <f>SUMIF(History1!B:B, A598, History1!C:C)</f>
        <v>0</v>
      </c>
      <c r="K598" s="72" t="s">
        <v>2723</v>
      </c>
      <c r="L598" s="57" t="s">
        <v>1609</v>
      </c>
      <c r="Q598" s="57" t="str">
        <f t="shared" si="9"/>
        <v>🔴 LOW</v>
      </c>
    </row>
    <row r="599" spans="1:17" ht="207.6" customHeight="1">
      <c r="A599" s="56" t="s">
        <v>609</v>
      </c>
      <c r="E599" s="72">
        <f>SUMIF(History1!B:B, A599, History1!C:C)</f>
        <v>0</v>
      </c>
      <c r="K599" s="72" t="s">
        <v>2724</v>
      </c>
      <c r="L599" s="57" t="s">
        <v>1610</v>
      </c>
      <c r="Q599" s="57" t="str">
        <f t="shared" si="9"/>
        <v>🔴 LOW</v>
      </c>
    </row>
    <row r="600" spans="1:17" ht="207.6" customHeight="1">
      <c r="A600" s="56" t="s">
        <v>610</v>
      </c>
      <c r="E600" s="72">
        <f>SUMIF(History1!B:B, A600, History1!C:C)</f>
        <v>0</v>
      </c>
      <c r="K600" s="72" t="s">
        <v>2725</v>
      </c>
      <c r="L600" s="57" t="s">
        <v>1611</v>
      </c>
      <c r="Q600" s="57" t="str">
        <f t="shared" si="9"/>
        <v>🔴 LOW</v>
      </c>
    </row>
    <row r="601" spans="1:17" ht="207.6" customHeight="1">
      <c r="A601" s="56" t="s">
        <v>611</v>
      </c>
      <c r="E601" s="72">
        <f>SUMIF(History1!B:B, A601, History1!C:C)</f>
        <v>0</v>
      </c>
      <c r="K601" s="72" t="s">
        <v>2726</v>
      </c>
      <c r="L601" s="57" t="s">
        <v>1612</v>
      </c>
      <c r="Q601" s="57" t="str">
        <f t="shared" si="9"/>
        <v>🔴 LOW</v>
      </c>
    </row>
    <row r="602" spans="1:17" ht="207.6" customHeight="1">
      <c r="A602" s="56" t="s">
        <v>612</v>
      </c>
      <c r="E602" s="72">
        <f>SUMIF(History1!B:B, A602, History1!C:C)</f>
        <v>0</v>
      </c>
      <c r="K602" s="72" t="s">
        <v>2727</v>
      </c>
      <c r="L602" s="57" t="s">
        <v>1613</v>
      </c>
      <c r="Q602" s="57" t="str">
        <f t="shared" si="9"/>
        <v>🔴 LOW</v>
      </c>
    </row>
    <row r="603" spans="1:17" ht="207.6" customHeight="1">
      <c r="A603" s="56" t="s">
        <v>613</v>
      </c>
      <c r="E603" s="72">
        <f>SUMIF(History1!B:B, A603, History1!C:C)</f>
        <v>0</v>
      </c>
      <c r="K603" s="72" t="s">
        <v>2728</v>
      </c>
      <c r="L603" s="57" t="s">
        <v>1614</v>
      </c>
      <c r="Q603" s="57" t="str">
        <f t="shared" si="9"/>
        <v>🔴 LOW</v>
      </c>
    </row>
    <row r="604" spans="1:17" ht="207.6" customHeight="1">
      <c r="A604" s="56" t="s">
        <v>614</v>
      </c>
      <c r="E604" s="72">
        <f>SUMIF(History1!B:B, A604, History1!C:C)</f>
        <v>0</v>
      </c>
      <c r="K604" s="72" t="s">
        <v>2729</v>
      </c>
      <c r="L604" s="57" t="s">
        <v>1615</v>
      </c>
      <c r="Q604" s="57" t="str">
        <f t="shared" si="9"/>
        <v>🔴 LOW</v>
      </c>
    </row>
    <row r="605" spans="1:17" ht="207.6" customHeight="1">
      <c r="A605" s="56" t="s">
        <v>615</v>
      </c>
      <c r="E605" s="72">
        <f>SUMIF(History1!B:B, A605, History1!C:C)</f>
        <v>0</v>
      </c>
      <c r="K605" s="72" t="s">
        <v>2730</v>
      </c>
      <c r="L605" s="57" t="s">
        <v>1616</v>
      </c>
      <c r="Q605" s="57" t="str">
        <f t="shared" si="9"/>
        <v>🔴 LOW</v>
      </c>
    </row>
    <row r="606" spans="1:17" ht="207.6" customHeight="1">
      <c r="A606" s="56" t="s">
        <v>616</v>
      </c>
      <c r="E606" s="72">
        <f>SUMIF(History1!B:B, A606, History1!C:C)</f>
        <v>0</v>
      </c>
      <c r="K606" s="72" t="s">
        <v>2731</v>
      </c>
      <c r="L606" s="57" t="s">
        <v>1617</v>
      </c>
      <c r="Q606" s="57" t="str">
        <f t="shared" si="9"/>
        <v>🔴 LOW</v>
      </c>
    </row>
    <row r="607" spans="1:17" ht="207.6" customHeight="1">
      <c r="A607" s="56" t="s">
        <v>617</v>
      </c>
      <c r="E607" s="72">
        <f>SUMIF(History1!B:B, A607, History1!C:C)</f>
        <v>0</v>
      </c>
      <c r="K607" s="72" t="s">
        <v>2732</v>
      </c>
      <c r="L607" s="57" t="s">
        <v>1618</v>
      </c>
      <c r="Q607" s="57" t="str">
        <f t="shared" si="9"/>
        <v>🔴 LOW</v>
      </c>
    </row>
    <row r="608" spans="1:17" ht="207.6" customHeight="1">
      <c r="A608" s="56" t="s">
        <v>618</v>
      </c>
      <c r="E608" s="72">
        <f>SUMIF(History1!B:B, A608, History1!C:C)</f>
        <v>0</v>
      </c>
      <c r="K608" s="72" t="s">
        <v>2733</v>
      </c>
      <c r="L608" s="57" t="s">
        <v>1619</v>
      </c>
      <c r="Q608" s="57" t="str">
        <f t="shared" si="9"/>
        <v>🔴 LOW</v>
      </c>
    </row>
    <row r="609" spans="1:17" ht="207.6" customHeight="1">
      <c r="A609" s="56" t="s">
        <v>619</v>
      </c>
      <c r="E609" s="72">
        <f>SUMIF(History1!B:B, A609, History1!C:C)</f>
        <v>0</v>
      </c>
      <c r="K609" s="72" t="s">
        <v>2734</v>
      </c>
      <c r="L609" s="57" t="s">
        <v>1620</v>
      </c>
      <c r="Q609" s="57" t="str">
        <f t="shared" si="9"/>
        <v>🔴 LOW</v>
      </c>
    </row>
    <row r="610" spans="1:17" ht="207.6" customHeight="1">
      <c r="A610" s="56" t="s">
        <v>620</v>
      </c>
      <c r="E610" s="72">
        <f>SUMIF(History1!B:B, A610, History1!C:C)</f>
        <v>0</v>
      </c>
      <c r="K610" s="72" t="s">
        <v>2735</v>
      </c>
      <c r="L610" s="57" t="s">
        <v>1621</v>
      </c>
      <c r="Q610" s="57" t="str">
        <f t="shared" si="9"/>
        <v>🔴 LOW</v>
      </c>
    </row>
    <row r="611" spans="1:17" ht="207.6" customHeight="1">
      <c r="A611" s="56" t="s">
        <v>621</v>
      </c>
      <c r="E611" s="72">
        <f>SUMIF(History1!B:B, A611, History1!C:C)</f>
        <v>0</v>
      </c>
      <c r="K611" s="72" t="s">
        <v>2736</v>
      </c>
      <c r="L611" s="57" t="s">
        <v>1622</v>
      </c>
      <c r="Q611" s="57" t="str">
        <f t="shared" si="9"/>
        <v>🔴 LOW</v>
      </c>
    </row>
    <row r="612" spans="1:17" ht="207.6" customHeight="1">
      <c r="A612" s="56" t="s">
        <v>622</v>
      </c>
      <c r="E612" s="72">
        <f>SUMIF(History1!B:B, A612, History1!C:C)</f>
        <v>0</v>
      </c>
      <c r="K612" s="72" t="s">
        <v>2737</v>
      </c>
      <c r="L612" s="57" t="s">
        <v>1623</v>
      </c>
      <c r="Q612" s="57" t="str">
        <f t="shared" si="9"/>
        <v>🔴 LOW</v>
      </c>
    </row>
    <row r="613" spans="1:17" ht="207.6" customHeight="1">
      <c r="A613" s="56" t="s">
        <v>623</v>
      </c>
      <c r="E613" s="72">
        <f>SUMIF(History1!B:B, A613, History1!C:C)</f>
        <v>0</v>
      </c>
      <c r="K613" s="72" t="s">
        <v>2738</v>
      </c>
      <c r="L613" s="57" t="s">
        <v>1624</v>
      </c>
      <c r="Q613" s="57" t="str">
        <f t="shared" si="9"/>
        <v>🔴 LOW</v>
      </c>
    </row>
    <row r="614" spans="1:17" ht="207.6" customHeight="1">
      <c r="A614" s="56" t="s">
        <v>624</v>
      </c>
      <c r="E614" s="72">
        <f>SUMIF(History1!B:B, A614, History1!C:C)</f>
        <v>0</v>
      </c>
      <c r="K614" s="72" t="s">
        <v>2739</v>
      </c>
      <c r="L614" s="57" t="s">
        <v>1625</v>
      </c>
      <c r="Q614" s="57" t="str">
        <f t="shared" si="9"/>
        <v>🔴 LOW</v>
      </c>
    </row>
    <row r="615" spans="1:17" ht="207.6" customHeight="1">
      <c r="A615" s="56" t="s">
        <v>625</v>
      </c>
      <c r="E615" s="72">
        <f>SUMIF(History1!B:B, A615, History1!C:C)</f>
        <v>0</v>
      </c>
      <c r="K615" s="72" t="s">
        <v>2740</v>
      </c>
      <c r="L615" s="57" t="s">
        <v>1626</v>
      </c>
      <c r="Q615" s="57" t="str">
        <f t="shared" si="9"/>
        <v>🔴 LOW</v>
      </c>
    </row>
    <row r="616" spans="1:17" ht="207.6" customHeight="1">
      <c r="A616" s="56" t="s">
        <v>626</v>
      </c>
      <c r="E616" s="72">
        <f>SUMIF(History1!B:B, A616, History1!C:C)</f>
        <v>0</v>
      </c>
      <c r="K616" s="72" t="s">
        <v>2741</v>
      </c>
      <c r="L616" s="57" t="s">
        <v>1627</v>
      </c>
      <c r="Q616" s="57" t="str">
        <f t="shared" si="9"/>
        <v>🔴 LOW</v>
      </c>
    </row>
    <row r="617" spans="1:17" ht="207.6" customHeight="1">
      <c r="A617" s="56" t="s">
        <v>627</v>
      </c>
      <c r="E617" s="72">
        <f>SUMIF(History1!B:B, A617, History1!C:C)</f>
        <v>0</v>
      </c>
      <c r="K617" s="72" t="s">
        <v>2742</v>
      </c>
      <c r="L617" s="57" t="s">
        <v>1628</v>
      </c>
      <c r="Q617" s="57" t="str">
        <f t="shared" si="9"/>
        <v>🔴 LOW</v>
      </c>
    </row>
    <row r="618" spans="1:17" ht="207.6" customHeight="1">
      <c r="A618" s="56" t="s">
        <v>628</v>
      </c>
      <c r="E618" s="72">
        <f>SUMIF(History1!B:B, A618, History1!C:C)</f>
        <v>0</v>
      </c>
      <c r="K618" s="72" t="s">
        <v>2743</v>
      </c>
      <c r="L618" s="57" t="s">
        <v>1629</v>
      </c>
      <c r="Q618" s="57" t="str">
        <f t="shared" si="9"/>
        <v>🔴 LOW</v>
      </c>
    </row>
    <row r="619" spans="1:17" ht="207.6" customHeight="1">
      <c r="A619" s="56" t="s">
        <v>629</v>
      </c>
      <c r="E619" s="72">
        <f>SUMIF(History1!B:B, A619, History1!C:C)</f>
        <v>0</v>
      </c>
      <c r="K619" s="72" t="s">
        <v>2744</v>
      </c>
      <c r="L619" s="57" t="s">
        <v>1630</v>
      </c>
      <c r="Q619" s="57" t="str">
        <f t="shared" si="9"/>
        <v>🔴 LOW</v>
      </c>
    </row>
    <row r="620" spans="1:17" ht="207.6" customHeight="1">
      <c r="A620" s="56" t="s">
        <v>630</v>
      </c>
      <c r="E620" s="72">
        <f>SUMIF(History1!B:B, A620, History1!C:C)</f>
        <v>0</v>
      </c>
      <c r="K620" s="72" t="s">
        <v>2745</v>
      </c>
      <c r="L620" s="57" t="s">
        <v>1631</v>
      </c>
      <c r="Q620" s="57" t="str">
        <f t="shared" si="9"/>
        <v>🔴 LOW</v>
      </c>
    </row>
    <row r="621" spans="1:17" ht="207.6" customHeight="1">
      <c r="A621" s="56" t="s">
        <v>631</v>
      </c>
      <c r="E621" s="72">
        <f>SUMIF(History1!B:B, A621, History1!C:C)</f>
        <v>0</v>
      </c>
      <c r="K621" s="72" t="s">
        <v>2746</v>
      </c>
      <c r="L621" s="57" t="s">
        <v>1632</v>
      </c>
      <c r="Q621" s="57" t="str">
        <f t="shared" si="9"/>
        <v>🔴 LOW</v>
      </c>
    </row>
    <row r="622" spans="1:17" ht="207.6" customHeight="1">
      <c r="A622" s="56" t="s">
        <v>632</v>
      </c>
      <c r="E622" s="72">
        <f>SUMIF(History1!B:B, A622, History1!C:C)</f>
        <v>0</v>
      </c>
      <c r="K622" s="72" t="s">
        <v>2747</v>
      </c>
      <c r="L622" s="57" t="s">
        <v>1633</v>
      </c>
      <c r="Q622" s="57" t="str">
        <f t="shared" si="9"/>
        <v>🔴 LOW</v>
      </c>
    </row>
    <row r="623" spans="1:17" ht="207.6" customHeight="1">
      <c r="A623" s="56" t="s">
        <v>633</v>
      </c>
      <c r="E623" s="72">
        <f>SUMIF(History1!B:B, A623, History1!C:C)</f>
        <v>0</v>
      </c>
      <c r="K623" s="72" t="s">
        <v>2748</v>
      </c>
      <c r="L623" s="57" t="s">
        <v>1634</v>
      </c>
      <c r="Q623" s="57" t="str">
        <f t="shared" si="9"/>
        <v>🔴 LOW</v>
      </c>
    </row>
    <row r="624" spans="1:17" ht="207.6" customHeight="1">
      <c r="A624" s="56" t="s">
        <v>634</v>
      </c>
      <c r="E624" s="72">
        <f>SUMIF(History1!B:B, A624, History1!C:C)</f>
        <v>0</v>
      </c>
      <c r="K624" s="72" t="s">
        <v>2749</v>
      </c>
      <c r="L624" s="57" t="s">
        <v>1635</v>
      </c>
      <c r="Q624" s="57" t="str">
        <f t="shared" si="9"/>
        <v>🔴 LOW</v>
      </c>
    </row>
    <row r="625" spans="1:17" ht="207.6" customHeight="1">
      <c r="A625" s="56" t="s">
        <v>635</v>
      </c>
      <c r="E625" s="72">
        <f>SUMIF(History1!B:B, A625, History1!C:C)</f>
        <v>0</v>
      </c>
      <c r="K625" s="72" t="s">
        <v>2750</v>
      </c>
      <c r="L625" s="57" t="s">
        <v>1636</v>
      </c>
      <c r="Q625" s="57" t="str">
        <f t="shared" si="9"/>
        <v>🔴 LOW</v>
      </c>
    </row>
    <row r="626" spans="1:17" ht="207.6" customHeight="1">
      <c r="A626" s="56" t="s">
        <v>636</v>
      </c>
      <c r="E626" s="72">
        <f>SUMIF(History1!B:B, A626, History1!C:C)</f>
        <v>0</v>
      </c>
      <c r="K626" s="72" t="s">
        <v>2751</v>
      </c>
      <c r="L626" s="57" t="s">
        <v>1637</v>
      </c>
      <c r="Q626" s="57" t="str">
        <f t="shared" si="9"/>
        <v>🔴 LOW</v>
      </c>
    </row>
    <row r="627" spans="1:17" ht="207.6" customHeight="1">
      <c r="A627" s="56" t="s">
        <v>637</v>
      </c>
      <c r="E627" s="72">
        <f>SUMIF(History1!B:B, A627, History1!C:C)</f>
        <v>0</v>
      </c>
      <c r="K627" s="72" t="s">
        <v>2752</v>
      </c>
      <c r="L627" s="57" t="s">
        <v>1638</v>
      </c>
      <c r="Q627" s="57" t="str">
        <f t="shared" si="9"/>
        <v>🔴 LOW</v>
      </c>
    </row>
    <row r="628" spans="1:17" ht="207.6" customHeight="1">
      <c r="A628" s="56" t="s">
        <v>638</v>
      </c>
      <c r="E628" s="72">
        <f>SUMIF(History1!B:B, A628, History1!C:C)</f>
        <v>0</v>
      </c>
      <c r="K628" s="72" t="s">
        <v>2753</v>
      </c>
      <c r="L628" s="57" t="s">
        <v>1639</v>
      </c>
      <c r="Q628" s="57" t="str">
        <f t="shared" si="9"/>
        <v>🔴 LOW</v>
      </c>
    </row>
    <row r="629" spans="1:17" ht="207.6" customHeight="1">
      <c r="A629" s="56" t="s">
        <v>639</v>
      </c>
      <c r="E629" s="72">
        <f>SUMIF(History1!B:B, A629, History1!C:C)</f>
        <v>0</v>
      </c>
      <c r="K629" s="72" t="s">
        <v>2754</v>
      </c>
      <c r="L629" s="57" t="s">
        <v>1640</v>
      </c>
      <c r="Q629" s="57" t="str">
        <f t="shared" si="9"/>
        <v>🔴 LOW</v>
      </c>
    </row>
    <row r="630" spans="1:17" ht="207.6" customHeight="1">
      <c r="A630" s="56" t="s">
        <v>640</v>
      </c>
      <c r="E630" s="72">
        <f>SUMIF(History1!B:B, A630, History1!C:C)</f>
        <v>0</v>
      </c>
      <c r="K630" s="72" t="s">
        <v>2755</v>
      </c>
      <c r="L630" s="57" t="s">
        <v>1641</v>
      </c>
      <c r="Q630" s="57" t="str">
        <f t="shared" si="9"/>
        <v>🔴 LOW</v>
      </c>
    </row>
    <row r="631" spans="1:17" ht="207.6" customHeight="1">
      <c r="A631" s="56" t="s">
        <v>641</v>
      </c>
      <c r="E631" s="72">
        <f>SUMIF(History1!B:B, A631, History1!C:C)</f>
        <v>0</v>
      </c>
      <c r="K631" s="72" t="s">
        <v>2756</v>
      </c>
      <c r="L631" s="57" t="s">
        <v>1642</v>
      </c>
      <c r="Q631" s="57" t="str">
        <f t="shared" si="9"/>
        <v>🔴 LOW</v>
      </c>
    </row>
    <row r="632" spans="1:17" ht="207.6" customHeight="1">
      <c r="A632" s="56" t="s">
        <v>642</v>
      </c>
      <c r="E632" s="72">
        <f>SUMIF(History1!B:B, A632, History1!C:C)</f>
        <v>0</v>
      </c>
      <c r="K632" s="72" t="s">
        <v>2757</v>
      </c>
      <c r="L632" s="57" t="s">
        <v>1643</v>
      </c>
      <c r="Q632" s="57" t="str">
        <f t="shared" si="9"/>
        <v>🔴 LOW</v>
      </c>
    </row>
    <row r="633" spans="1:17" ht="207.6" customHeight="1">
      <c r="A633" s="56" t="s">
        <v>643</v>
      </c>
      <c r="E633" s="72">
        <f>SUMIF(History1!B:B, A633, History1!C:C)</f>
        <v>0</v>
      </c>
      <c r="K633" s="72" t="s">
        <v>2758</v>
      </c>
      <c r="L633" s="57" t="s">
        <v>1644</v>
      </c>
      <c r="Q633" s="57" t="str">
        <f t="shared" si="9"/>
        <v>🔴 LOW</v>
      </c>
    </row>
    <row r="634" spans="1:17" ht="207.6" customHeight="1">
      <c r="A634" s="56" t="s">
        <v>644</v>
      </c>
      <c r="E634" s="72">
        <f>SUMIF(History1!B:B, A634, History1!C:C)</f>
        <v>0</v>
      </c>
      <c r="K634" s="72" t="s">
        <v>2759</v>
      </c>
      <c r="L634" s="57" t="s">
        <v>1645</v>
      </c>
      <c r="Q634" s="57" t="str">
        <f t="shared" si="9"/>
        <v>🔴 LOW</v>
      </c>
    </row>
    <row r="635" spans="1:17" ht="207.6" customHeight="1">
      <c r="A635" s="56" t="s">
        <v>645</v>
      </c>
      <c r="E635" s="72">
        <f>SUMIF(History1!B:B, A635, History1!C:C)</f>
        <v>0</v>
      </c>
      <c r="K635" s="72" t="s">
        <v>2760</v>
      </c>
      <c r="L635" s="57" t="s">
        <v>1646</v>
      </c>
      <c r="Q635" s="57" t="str">
        <f t="shared" si="9"/>
        <v>🔴 LOW</v>
      </c>
    </row>
    <row r="636" spans="1:17" ht="207.6" customHeight="1">
      <c r="A636" s="56" t="s">
        <v>646</v>
      </c>
      <c r="E636" s="72">
        <f>SUMIF(History1!B:B, A636, History1!C:C)</f>
        <v>0</v>
      </c>
      <c r="K636" s="72" t="s">
        <v>2761</v>
      </c>
      <c r="L636" s="57" t="s">
        <v>1647</v>
      </c>
      <c r="Q636" s="57" t="str">
        <f t="shared" si="9"/>
        <v>🔴 LOW</v>
      </c>
    </row>
    <row r="637" spans="1:17" ht="207.6" customHeight="1">
      <c r="A637" s="56" t="s">
        <v>647</v>
      </c>
      <c r="E637" s="72">
        <f>SUMIF(History1!B:B, A637, History1!C:C)</f>
        <v>0</v>
      </c>
      <c r="K637" s="72" t="s">
        <v>2762</v>
      </c>
      <c r="L637" s="57" t="s">
        <v>1648</v>
      </c>
      <c r="Q637" s="57" t="str">
        <f t="shared" si="9"/>
        <v>🔴 LOW</v>
      </c>
    </row>
    <row r="638" spans="1:17" ht="207.6" customHeight="1">
      <c r="A638" s="56" t="s">
        <v>648</v>
      </c>
      <c r="E638" s="72">
        <f>SUMIF(History1!B:B, A638, History1!C:C)</f>
        <v>0</v>
      </c>
      <c r="K638" s="72" t="s">
        <v>2763</v>
      </c>
      <c r="L638" s="57" t="s">
        <v>1649</v>
      </c>
      <c r="Q638" s="57" t="str">
        <f t="shared" si="9"/>
        <v>🔴 LOW</v>
      </c>
    </row>
    <row r="639" spans="1:17" ht="207.6" customHeight="1">
      <c r="A639" s="56" t="s">
        <v>649</v>
      </c>
      <c r="E639" s="72">
        <f>SUMIF(History1!B:B, A639, History1!C:C)</f>
        <v>0</v>
      </c>
      <c r="K639" s="72" t="s">
        <v>2764</v>
      </c>
      <c r="L639" s="57" t="s">
        <v>1650</v>
      </c>
      <c r="Q639" s="57" t="str">
        <f t="shared" si="9"/>
        <v>🔴 LOW</v>
      </c>
    </row>
    <row r="640" spans="1:17" ht="207.6" customHeight="1">
      <c r="A640" s="56" t="s">
        <v>650</v>
      </c>
      <c r="E640" s="72">
        <f>SUMIF(History1!B:B, A640, History1!C:C)</f>
        <v>0</v>
      </c>
      <c r="K640" s="72" t="s">
        <v>2765</v>
      </c>
      <c r="L640" s="57" t="s">
        <v>1651</v>
      </c>
      <c r="Q640" s="57" t="str">
        <f t="shared" si="9"/>
        <v>🔴 LOW</v>
      </c>
    </row>
    <row r="641" spans="1:17" ht="207.6" customHeight="1">
      <c r="A641" s="56" t="s">
        <v>651</v>
      </c>
      <c r="E641" s="72">
        <f>SUMIF(History1!B:B, A641, History1!C:C)</f>
        <v>0</v>
      </c>
      <c r="K641" s="72" t="s">
        <v>2766</v>
      </c>
      <c r="L641" s="57" t="s">
        <v>1652</v>
      </c>
      <c r="Q641" s="57" t="str">
        <f t="shared" si="9"/>
        <v>🔴 LOW</v>
      </c>
    </row>
    <row r="642" spans="1:17" ht="207.6" customHeight="1">
      <c r="A642" s="56" t="s">
        <v>652</v>
      </c>
      <c r="E642" s="72">
        <f>SUMIF(History1!B:B, A642, History1!C:C)</f>
        <v>0</v>
      </c>
      <c r="K642" s="72" t="s">
        <v>2767</v>
      </c>
      <c r="L642" s="57" t="s">
        <v>1653</v>
      </c>
      <c r="Q642" s="57" t="str">
        <f t="shared" si="9"/>
        <v>🔴 LOW</v>
      </c>
    </row>
    <row r="643" spans="1:17" ht="207.6" customHeight="1">
      <c r="A643" s="56" t="s">
        <v>653</v>
      </c>
      <c r="E643" s="72">
        <f>SUMIF(History1!B:B, A643, History1!C:C)</f>
        <v>0</v>
      </c>
      <c r="K643" s="72" t="s">
        <v>2768</v>
      </c>
      <c r="L643" s="57" t="s">
        <v>1654</v>
      </c>
      <c r="Q643" s="57" t="str">
        <f t="shared" ref="Q643:Q706" si="10">IF(E643&lt;=10,"🔴 LOW",IF(E643&lt;=50,"🟡 MEDIUM","🟢 GOOD"))</f>
        <v>🔴 LOW</v>
      </c>
    </row>
    <row r="644" spans="1:17" ht="207.6" customHeight="1">
      <c r="A644" s="56" t="s">
        <v>654</v>
      </c>
      <c r="E644" s="72">
        <f>SUMIF(History1!B:B, A644, History1!C:C)</f>
        <v>0</v>
      </c>
      <c r="K644" s="72" t="s">
        <v>2769</v>
      </c>
      <c r="L644" s="57" t="s">
        <v>1655</v>
      </c>
      <c r="Q644" s="57" t="str">
        <f t="shared" si="10"/>
        <v>🔴 LOW</v>
      </c>
    </row>
    <row r="645" spans="1:17" ht="207.6" customHeight="1">
      <c r="A645" s="56" t="s">
        <v>655</v>
      </c>
      <c r="E645" s="72">
        <f>SUMIF(History1!B:B, A645, History1!C:C)</f>
        <v>0</v>
      </c>
      <c r="K645" s="72" t="s">
        <v>2770</v>
      </c>
      <c r="L645" s="57" t="s">
        <v>1656</v>
      </c>
      <c r="Q645" s="57" t="str">
        <f t="shared" si="10"/>
        <v>🔴 LOW</v>
      </c>
    </row>
    <row r="646" spans="1:17" ht="207.6" customHeight="1">
      <c r="A646" s="56" t="s">
        <v>656</v>
      </c>
      <c r="E646" s="72">
        <f>SUMIF(History1!B:B, A646, History1!C:C)</f>
        <v>0</v>
      </c>
      <c r="K646" s="72" t="s">
        <v>2771</v>
      </c>
      <c r="L646" s="57" t="s">
        <v>1657</v>
      </c>
      <c r="Q646" s="57" t="str">
        <f t="shared" si="10"/>
        <v>🔴 LOW</v>
      </c>
    </row>
    <row r="647" spans="1:17" ht="207.6" customHeight="1">
      <c r="A647" s="56" t="s">
        <v>657</v>
      </c>
      <c r="E647" s="72">
        <f>SUMIF(History1!B:B, A647, History1!C:C)</f>
        <v>0</v>
      </c>
      <c r="K647" s="72" t="s">
        <v>2772</v>
      </c>
      <c r="L647" s="57" t="s">
        <v>1658</v>
      </c>
      <c r="Q647" s="57" t="str">
        <f t="shared" si="10"/>
        <v>🔴 LOW</v>
      </c>
    </row>
    <row r="648" spans="1:17" ht="207.6" customHeight="1">
      <c r="A648" s="56" t="s">
        <v>658</v>
      </c>
      <c r="E648" s="72">
        <f>SUMIF(History1!B:B, A648, History1!C:C)</f>
        <v>0</v>
      </c>
      <c r="K648" s="72" t="s">
        <v>2773</v>
      </c>
      <c r="L648" s="57" t="s">
        <v>1659</v>
      </c>
      <c r="Q648" s="57" t="str">
        <f t="shared" si="10"/>
        <v>🔴 LOW</v>
      </c>
    </row>
    <row r="649" spans="1:17" ht="207.6" customHeight="1">
      <c r="A649" s="56" t="s">
        <v>659</v>
      </c>
      <c r="E649" s="72">
        <f>SUMIF(History1!B:B, A649, History1!C:C)</f>
        <v>0</v>
      </c>
      <c r="K649" s="72" t="s">
        <v>2774</v>
      </c>
      <c r="L649" s="57" t="s">
        <v>1660</v>
      </c>
      <c r="Q649" s="57" t="str">
        <f t="shared" si="10"/>
        <v>🔴 LOW</v>
      </c>
    </row>
    <row r="650" spans="1:17" ht="207.6" customHeight="1">
      <c r="A650" s="56" t="s">
        <v>660</v>
      </c>
      <c r="E650" s="72">
        <f>SUMIF(History1!B:B, A650, History1!C:C)</f>
        <v>0</v>
      </c>
      <c r="K650" s="72" t="s">
        <v>2775</v>
      </c>
      <c r="L650" s="57" t="s">
        <v>1661</v>
      </c>
      <c r="Q650" s="57" t="str">
        <f t="shared" si="10"/>
        <v>🔴 LOW</v>
      </c>
    </row>
    <row r="651" spans="1:17" ht="207.6" customHeight="1">
      <c r="A651" s="56" t="s">
        <v>661</v>
      </c>
      <c r="E651" s="72">
        <f>SUMIF(History1!B:B, A651, History1!C:C)</f>
        <v>0</v>
      </c>
      <c r="K651" s="72" t="s">
        <v>2776</v>
      </c>
      <c r="L651" s="57" t="s">
        <v>1662</v>
      </c>
      <c r="Q651" s="57" t="str">
        <f t="shared" si="10"/>
        <v>🔴 LOW</v>
      </c>
    </row>
    <row r="652" spans="1:17" ht="207.6" customHeight="1">
      <c r="A652" s="56" t="s">
        <v>662</v>
      </c>
      <c r="E652" s="72">
        <f>SUMIF(History1!B:B, A652, History1!C:C)</f>
        <v>0</v>
      </c>
      <c r="K652" s="72" t="s">
        <v>2777</v>
      </c>
      <c r="L652" s="57" t="s">
        <v>1663</v>
      </c>
      <c r="Q652" s="57" t="str">
        <f t="shared" si="10"/>
        <v>🔴 LOW</v>
      </c>
    </row>
    <row r="653" spans="1:17" ht="207.6" customHeight="1">
      <c r="A653" s="56" t="s">
        <v>663</v>
      </c>
      <c r="E653" s="72">
        <f>SUMIF(History1!B:B, A653, History1!C:C)</f>
        <v>0</v>
      </c>
      <c r="K653" s="72" t="s">
        <v>2778</v>
      </c>
      <c r="L653" s="57" t="s">
        <v>1664</v>
      </c>
      <c r="Q653" s="57" t="str">
        <f t="shared" si="10"/>
        <v>🔴 LOW</v>
      </c>
    </row>
    <row r="654" spans="1:17" ht="207.6" customHeight="1">
      <c r="A654" s="56" t="s">
        <v>664</v>
      </c>
      <c r="E654" s="72">
        <f>SUMIF(History1!B:B, A654, History1!C:C)</f>
        <v>0</v>
      </c>
      <c r="K654" s="72" t="s">
        <v>2779</v>
      </c>
      <c r="L654" s="57" t="s">
        <v>1665</v>
      </c>
      <c r="Q654" s="57" t="str">
        <f t="shared" si="10"/>
        <v>🔴 LOW</v>
      </c>
    </row>
    <row r="655" spans="1:17" ht="207.6" customHeight="1">
      <c r="A655" s="56" t="s">
        <v>665</v>
      </c>
      <c r="E655" s="72">
        <f>SUMIF(History1!B:B, A655, History1!C:C)</f>
        <v>0</v>
      </c>
      <c r="K655" s="72" t="s">
        <v>2780</v>
      </c>
      <c r="L655" s="57" t="s">
        <v>1666</v>
      </c>
      <c r="Q655" s="57" t="str">
        <f t="shared" si="10"/>
        <v>🔴 LOW</v>
      </c>
    </row>
    <row r="656" spans="1:17" ht="207.6" customHeight="1">
      <c r="A656" s="56" t="s">
        <v>666</v>
      </c>
      <c r="E656" s="72">
        <f>SUMIF(History1!B:B, A656, History1!C:C)</f>
        <v>0</v>
      </c>
      <c r="K656" s="72" t="s">
        <v>2781</v>
      </c>
      <c r="L656" s="57" t="s">
        <v>1667</v>
      </c>
      <c r="Q656" s="57" t="str">
        <f t="shared" si="10"/>
        <v>🔴 LOW</v>
      </c>
    </row>
    <row r="657" spans="1:17" ht="207.6" customHeight="1">
      <c r="A657" s="56" t="s">
        <v>667</v>
      </c>
      <c r="E657" s="72">
        <f>SUMIF(History1!B:B, A657, History1!C:C)</f>
        <v>0</v>
      </c>
      <c r="K657" s="72" t="s">
        <v>2782</v>
      </c>
      <c r="L657" s="57" t="s">
        <v>1668</v>
      </c>
      <c r="Q657" s="57" t="str">
        <f t="shared" si="10"/>
        <v>🔴 LOW</v>
      </c>
    </row>
    <row r="658" spans="1:17" ht="207.6" customHeight="1">
      <c r="A658" s="56" t="s">
        <v>668</v>
      </c>
      <c r="E658" s="72">
        <f>SUMIF(History1!B:B, A658, History1!C:C)</f>
        <v>0</v>
      </c>
      <c r="K658" s="72" t="s">
        <v>2783</v>
      </c>
      <c r="L658" s="57" t="s">
        <v>1669</v>
      </c>
      <c r="Q658" s="57" t="str">
        <f t="shared" si="10"/>
        <v>🔴 LOW</v>
      </c>
    </row>
    <row r="659" spans="1:17" ht="207.6" customHeight="1">
      <c r="A659" s="56" t="s">
        <v>669</v>
      </c>
      <c r="E659" s="72">
        <f>SUMIF(History1!B:B, A659, History1!C:C)</f>
        <v>0</v>
      </c>
      <c r="K659" s="72" t="s">
        <v>2784</v>
      </c>
      <c r="L659" s="57" t="s">
        <v>1670</v>
      </c>
      <c r="Q659" s="57" t="str">
        <f t="shared" si="10"/>
        <v>🔴 LOW</v>
      </c>
    </row>
    <row r="660" spans="1:17" ht="207.6" customHeight="1">
      <c r="A660" s="56" t="s">
        <v>670</v>
      </c>
      <c r="E660" s="72">
        <f>SUMIF(History1!B:B, A660, History1!C:C)</f>
        <v>0</v>
      </c>
      <c r="K660" s="72" t="s">
        <v>2785</v>
      </c>
      <c r="L660" s="57" t="s">
        <v>1671</v>
      </c>
      <c r="Q660" s="57" t="str">
        <f t="shared" si="10"/>
        <v>🔴 LOW</v>
      </c>
    </row>
    <row r="661" spans="1:17" ht="207.6" customHeight="1">
      <c r="A661" s="56" t="s">
        <v>671</v>
      </c>
      <c r="E661" s="72">
        <f>SUMIF(History1!B:B, A661, History1!C:C)</f>
        <v>0</v>
      </c>
      <c r="K661" s="72" t="s">
        <v>2786</v>
      </c>
      <c r="L661" s="57" t="s">
        <v>1672</v>
      </c>
      <c r="Q661" s="57" t="str">
        <f t="shared" si="10"/>
        <v>🔴 LOW</v>
      </c>
    </row>
    <row r="662" spans="1:17" ht="207.6" customHeight="1">
      <c r="A662" s="56" t="s">
        <v>672</v>
      </c>
      <c r="E662" s="72">
        <f>SUMIF(History1!B:B, A662, History1!C:C)</f>
        <v>0</v>
      </c>
      <c r="K662" s="72" t="s">
        <v>2787</v>
      </c>
      <c r="L662" s="57" t="s">
        <v>1673</v>
      </c>
      <c r="Q662" s="57" t="str">
        <f t="shared" si="10"/>
        <v>🔴 LOW</v>
      </c>
    </row>
    <row r="663" spans="1:17" ht="207.6" customHeight="1">
      <c r="A663" s="56" t="s">
        <v>673</v>
      </c>
      <c r="E663" s="72">
        <f>SUMIF(History1!B:B, A663, History1!C:C)</f>
        <v>0</v>
      </c>
      <c r="K663" s="72" t="s">
        <v>2788</v>
      </c>
      <c r="L663" s="57" t="s">
        <v>1674</v>
      </c>
      <c r="Q663" s="57" t="str">
        <f t="shared" si="10"/>
        <v>🔴 LOW</v>
      </c>
    </row>
    <row r="664" spans="1:17" ht="207.6" customHeight="1">
      <c r="A664" s="56" t="s">
        <v>674</v>
      </c>
      <c r="E664" s="72">
        <f>SUMIF(History1!B:B, A664, History1!C:C)</f>
        <v>0</v>
      </c>
      <c r="K664" s="72" t="s">
        <v>2789</v>
      </c>
      <c r="L664" s="57" t="s">
        <v>1675</v>
      </c>
      <c r="Q664" s="57" t="str">
        <f t="shared" si="10"/>
        <v>🔴 LOW</v>
      </c>
    </row>
    <row r="665" spans="1:17" ht="207.6" customHeight="1">
      <c r="A665" s="56" t="s">
        <v>675</v>
      </c>
      <c r="E665" s="72">
        <f>SUMIF(History1!B:B, A665, History1!C:C)</f>
        <v>0</v>
      </c>
      <c r="K665" s="72" t="s">
        <v>2790</v>
      </c>
      <c r="L665" s="57" t="s">
        <v>1676</v>
      </c>
      <c r="Q665" s="57" t="str">
        <f t="shared" si="10"/>
        <v>🔴 LOW</v>
      </c>
    </row>
    <row r="666" spans="1:17" ht="207.6" customHeight="1">
      <c r="A666" s="56" t="s">
        <v>676</v>
      </c>
      <c r="E666" s="72">
        <f>SUMIF(History1!B:B, A666, History1!C:C)</f>
        <v>0</v>
      </c>
      <c r="K666" s="72" t="s">
        <v>2791</v>
      </c>
      <c r="L666" s="57" t="s">
        <v>1677</v>
      </c>
      <c r="Q666" s="57" t="str">
        <f t="shared" si="10"/>
        <v>🔴 LOW</v>
      </c>
    </row>
    <row r="667" spans="1:17" ht="207.6" customHeight="1">
      <c r="A667" s="56" t="s">
        <v>677</v>
      </c>
      <c r="E667" s="72">
        <f>SUMIF(History1!B:B, A667, History1!C:C)</f>
        <v>0</v>
      </c>
      <c r="K667" s="72" t="s">
        <v>2792</v>
      </c>
      <c r="L667" s="57" t="s">
        <v>1678</v>
      </c>
      <c r="Q667" s="57" t="str">
        <f t="shared" si="10"/>
        <v>🔴 LOW</v>
      </c>
    </row>
    <row r="668" spans="1:17" ht="207.6" customHeight="1">
      <c r="A668" s="56" t="s">
        <v>678</v>
      </c>
      <c r="E668" s="72">
        <f>SUMIF(History1!B:B, A668, History1!C:C)</f>
        <v>0</v>
      </c>
      <c r="K668" s="72" t="s">
        <v>2793</v>
      </c>
      <c r="L668" s="57" t="s">
        <v>1679</v>
      </c>
      <c r="Q668" s="57" t="str">
        <f t="shared" si="10"/>
        <v>🔴 LOW</v>
      </c>
    </row>
    <row r="669" spans="1:17" ht="207.6" customHeight="1">
      <c r="A669" s="56" t="s">
        <v>679</v>
      </c>
      <c r="E669" s="72">
        <f>SUMIF(History1!B:B, A669, History1!C:C)</f>
        <v>0</v>
      </c>
      <c r="K669" s="72" t="s">
        <v>2794</v>
      </c>
      <c r="L669" s="57" t="s">
        <v>1680</v>
      </c>
      <c r="Q669" s="57" t="str">
        <f t="shared" si="10"/>
        <v>🔴 LOW</v>
      </c>
    </row>
    <row r="670" spans="1:17" ht="207.6" customHeight="1">
      <c r="A670" s="56" t="s">
        <v>680</v>
      </c>
      <c r="E670" s="72">
        <f>SUMIF(History1!B:B, A670, History1!C:C)</f>
        <v>0</v>
      </c>
      <c r="K670" s="72" t="s">
        <v>2795</v>
      </c>
      <c r="L670" s="57" t="s">
        <v>1681</v>
      </c>
      <c r="Q670" s="57" t="str">
        <f t="shared" si="10"/>
        <v>🔴 LOW</v>
      </c>
    </row>
    <row r="671" spans="1:17" ht="207.6" customHeight="1">
      <c r="A671" s="56" t="s">
        <v>681</v>
      </c>
      <c r="E671" s="72">
        <f>SUMIF(History1!B:B, A671, History1!C:C)</f>
        <v>0</v>
      </c>
      <c r="K671" s="72" t="s">
        <v>2796</v>
      </c>
      <c r="L671" s="57" t="s">
        <v>1682</v>
      </c>
      <c r="Q671" s="57" t="str">
        <f t="shared" si="10"/>
        <v>🔴 LOW</v>
      </c>
    </row>
    <row r="672" spans="1:17" ht="207.6" customHeight="1">
      <c r="A672" s="56" t="s">
        <v>682</v>
      </c>
      <c r="E672" s="72">
        <f>SUMIF(History1!B:B, A672, History1!C:C)</f>
        <v>0</v>
      </c>
      <c r="K672" s="72" t="s">
        <v>2797</v>
      </c>
      <c r="L672" s="57" t="s">
        <v>1683</v>
      </c>
      <c r="Q672" s="57" t="str">
        <f t="shared" si="10"/>
        <v>🔴 LOW</v>
      </c>
    </row>
    <row r="673" spans="1:17" ht="207.6" customHeight="1">
      <c r="A673" s="56" t="s">
        <v>683</v>
      </c>
      <c r="E673" s="72">
        <f>SUMIF(History1!B:B, A673, History1!C:C)</f>
        <v>0</v>
      </c>
      <c r="K673" s="72" t="s">
        <v>2798</v>
      </c>
      <c r="L673" s="57" t="s">
        <v>1684</v>
      </c>
      <c r="Q673" s="57" t="str">
        <f t="shared" si="10"/>
        <v>🔴 LOW</v>
      </c>
    </row>
    <row r="674" spans="1:17" ht="207.6" customHeight="1">
      <c r="A674" s="56" t="s">
        <v>684</v>
      </c>
      <c r="E674" s="72">
        <f>SUMIF(History1!B:B, A674, History1!C:C)</f>
        <v>0</v>
      </c>
      <c r="K674" s="72" t="s">
        <v>2799</v>
      </c>
      <c r="L674" s="57" t="s">
        <v>1685</v>
      </c>
      <c r="Q674" s="57" t="str">
        <f t="shared" si="10"/>
        <v>🔴 LOW</v>
      </c>
    </row>
    <row r="675" spans="1:17" ht="207.6" customHeight="1">
      <c r="A675" s="56" t="s">
        <v>685</v>
      </c>
      <c r="E675" s="72">
        <f>SUMIF(History1!B:B, A675, History1!C:C)</f>
        <v>0</v>
      </c>
      <c r="K675" s="72" t="s">
        <v>2800</v>
      </c>
      <c r="L675" s="57" t="s">
        <v>1686</v>
      </c>
      <c r="Q675" s="57" t="str">
        <f t="shared" si="10"/>
        <v>🔴 LOW</v>
      </c>
    </row>
    <row r="676" spans="1:17" ht="207.6" customHeight="1">
      <c r="A676" s="56" t="s">
        <v>686</v>
      </c>
      <c r="E676" s="72">
        <f>SUMIF(History1!B:B, A676, History1!C:C)</f>
        <v>0</v>
      </c>
      <c r="K676" s="72" t="s">
        <v>2801</v>
      </c>
      <c r="L676" s="57" t="s">
        <v>1687</v>
      </c>
      <c r="Q676" s="57" t="str">
        <f t="shared" si="10"/>
        <v>🔴 LOW</v>
      </c>
    </row>
    <row r="677" spans="1:17" ht="207.6" customHeight="1">
      <c r="A677" s="56" t="s">
        <v>687</v>
      </c>
      <c r="E677" s="72">
        <f>SUMIF(History1!B:B, A677, History1!C:C)</f>
        <v>0</v>
      </c>
      <c r="K677" s="72" t="s">
        <v>2802</v>
      </c>
      <c r="L677" s="57" t="s">
        <v>1688</v>
      </c>
      <c r="Q677" s="57" t="str">
        <f t="shared" si="10"/>
        <v>🔴 LOW</v>
      </c>
    </row>
    <row r="678" spans="1:17" ht="207.6" customHeight="1">
      <c r="A678" s="56" t="s">
        <v>688</v>
      </c>
      <c r="E678" s="72">
        <f>SUMIF(History1!B:B, A678, History1!C:C)</f>
        <v>0</v>
      </c>
      <c r="K678" s="72" t="s">
        <v>2803</v>
      </c>
      <c r="L678" s="57" t="s">
        <v>1689</v>
      </c>
      <c r="Q678" s="57" t="str">
        <f t="shared" si="10"/>
        <v>🔴 LOW</v>
      </c>
    </row>
    <row r="679" spans="1:17" ht="207.6" customHeight="1">
      <c r="A679" s="56" t="s">
        <v>689</v>
      </c>
      <c r="E679" s="72">
        <f>SUMIF(History1!B:B, A679, History1!C:C)</f>
        <v>0</v>
      </c>
      <c r="K679" s="72" t="s">
        <v>2804</v>
      </c>
      <c r="L679" s="57" t="s">
        <v>1690</v>
      </c>
      <c r="Q679" s="57" t="str">
        <f t="shared" si="10"/>
        <v>🔴 LOW</v>
      </c>
    </row>
    <row r="680" spans="1:17" ht="207.6" customHeight="1">
      <c r="A680" s="56" t="s">
        <v>690</v>
      </c>
      <c r="E680" s="72">
        <f>SUMIF(History1!B:B, A680, History1!C:C)</f>
        <v>0</v>
      </c>
      <c r="K680" s="72" t="s">
        <v>2805</v>
      </c>
      <c r="L680" s="57" t="s">
        <v>1691</v>
      </c>
      <c r="Q680" s="57" t="str">
        <f t="shared" si="10"/>
        <v>🔴 LOW</v>
      </c>
    </row>
    <row r="681" spans="1:17" ht="207.6" customHeight="1">
      <c r="A681" s="56" t="s">
        <v>691</v>
      </c>
      <c r="E681" s="72">
        <f>SUMIF(History1!B:B, A681, History1!C:C)</f>
        <v>0</v>
      </c>
      <c r="K681" s="72" t="s">
        <v>2806</v>
      </c>
      <c r="L681" s="57" t="s">
        <v>1692</v>
      </c>
      <c r="Q681" s="57" t="str">
        <f t="shared" si="10"/>
        <v>🔴 LOW</v>
      </c>
    </row>
    <row r="682" spans="1:17" ht="207.6" customHeight="1">
      <c r="A682" s="56" t="s">
        <v>692</v>
      </c>
      <c r="E682" s="72">
        <f>SUMIF(History1!B:B, A682, History1!C:C)</f>
        <v>0</v>
      </c>
      <c r="K682" s="72" t="s">
        <v>2807</v>
      </c>
      <c r="L682" s="57" t="s">
        <v>1693</v>
      </c>
      <c r="Q682" s="57" t="str">
        <f t="shared" si="10"/>
        <v>🔴 LOW</v>
      </c>
    </row>
    <row r="683" spans="1:17" ht="207.6" customHeight="1">
      <c r="A683" s="56" t="s">
        <v>693</v>
      </c>
      <c r="E683" s="72">
        <f>SUMIF(History1!B:B, A683, History1!C:C)</f>
        <v>0</v>
      </c>
      <c r="K683" s="72" t="s">
        <v>2808</v>
      </c>
      <c r="L683" s="57" t="s">
        <v>1694</v>
      </c>
      <c r="Q683" s="57" t="str">
        <f t="shared" si="10"/>
        <v>🔴 LOW</v>
      </c>
    </row>
    <row r="684" spans="1:17" ht="207.6" customHeight="1">
      <c r="A684" s="56" t="s">
        <v>694</v>
      </c>
      <c r="E684" s="72">
        <f>SUMIF(History1!B:B, A684, History1!C:C)</f>
        <v>0</v>
      </c>
      <c r="K684" s="72" t="s">
        <v>2809</v>
      </c>
      <c r="L684" s="57" t="s">
        <v>1695</v>
      </c>
      <c r="Q684" s="57" t="str">
        <f t="shared" si="10"/>
        <v>🔴 LOW</v>
      </c>
    </row>
    <row r="685" spans="1:17" ht="207.6" customHeight="1">
      <c r="A685" s="56" t="s">
        <v>695</v>
      </c>
      <c r="E685" s="72">
        <f>SUMIF(History1!B:B, A685, History1!C:C)</f>
        <v>0</v>
      </c>
      <c r="K685" s="72" t="s">
        <v>2810</v>
      </c>
      <c r="L685" s="57" t="s">
        <v>1696</v>
      </c>
      <c r="Q685" s="57" t="str">
        <f t="shared" si="10"/>
        <v>🔴 LOW</v>
      </c>
    </row>
    <row r="686" spans="1:17" ht="207.6" customHeight="1">
      <c r="A686" s="56" t="s">
        <v>696</v>
      </c>
      <c r="E686" s="72">
        <f>SUMIF(History1!B:B, A686, History1!C:C)</f>
        <v>0</v>
      </c>
      <c r="K686" s="72" t="s">
        <v>2811</v>
      </c>
      <c r="L686" s="57" t="s">
        <v>1697</v>
      </c>
      <c r="Q686" s="57" t="str">
        <f t="shared" si="10"/>
        <v>🔴 LOW</v>
      </c>
    </row>
    <row r="687" spans="1:17" ht="207.6" customHeight="1">
      <c r="A687" s="56" t="s">
        <v>697</v>
      </c>
      <c r="E687" s="72">
        <f>SUMIF(History1!B:B, A687, History1!C:C)</f>
        <v>0</v>
      </c>
      <c r="K687" s="72" t="s">
        <v>2812</v>
      </c>
      <c r="L687" s="57" t="s">
        <v>1698</v>
      </c>
      <c r="Q687" s="57" t="str">
        <f t="shared" si="10"/>
        <v>🔴 LOW</v>
      </c>
    </row>
    <row r="688" spans="1:17" ht="207.6" customHeight="1">
      <c r="A688" s="56" t="s">
        <v>698</v>
      </c>
      <c r="E688" s="72">
        <f>SUMIF(History1!B:B, A688, History1!C:C)</f>
        <v>0</v>
      </c>
      <c r="K688" s="72" t="s">
        <v>2813</v>
      </c>
      <c r="L688" s="57" t="s">
        <v>1699</v>
      </c>
      <c r="Q688" s="57" t="str">
        <f t="shared" si="10"/>
        <v>🔴 LOW</v>
      </c>
    </row>
    <row r="689" spans="1:17" ht="207.6" customHeight="1">
      <c r="A689" s="56" t="s">
        <v>699</v>
      </c>
      <c r="E689" s="72">
        <f>SUMIF(History1!B:B, A689, History1!C:C)</f>
        <v>0</v>
      </c>
      <c r="K689" s="72" t="s">
        <v>2814</v>
      </c>
      <c r="L689" s="57" t="s">
        <v>1700</v>
      </c>
      <c r="Q689" s="57" t="str">
        <f t="shared" si="10"/>
        <v>🔴 LOW</v>
      </c>
    </row>
    <row r="690" spans="1:17" ht="207.6" customHeight="1">
      <c r="A690" s="56" t="s">
        <v>700</v>
      </c>
      <c r="E690" s="72">
        <f>SUMIF(History1!B:B, A690, History1!C:C)</f>
        <v>0</v>
      </c>
      <c r="K690" s="72" t="s">
        <v>2815</v>
      </c>
      <c r="L690" s="57" t="s">
        <v>1701</v>
      </c>
      <c r="Q690" s="57" t="str">
        <f t="shared" si="10"/>
        <v>🔴 LOW</v>
      </c>
    </row>
    <row r="691" spans="1:17" ht="207.6" customHeight="1">
      <c r="A691" s="56" t="s">
        <v>701</v>
      </c>
      <c r="E691" s="72">
        <f>SUMIF(History1!B:B, A691, History1!C:C)</f>
        <v>0</v>
      </c>
      <c r="K691" s="72" t="s">
        <v>2816</v>
      </c>
      <c r="L691" s="57" t="s">
        <v>1702</v>
      </c>
      <c r="Q691" s="57" t="str">
        <f t="shared" si="10"/>
        <v>🔴 LOW</v>
      </c>
    </row>
    <row r="692" spans="1:17" ht="207.6" customHeight="1">
      <c r="A692" s="56" t="s">
        <v>702</v>
      </c>
      <c r="E692" s="72">
        <f>SUMIF(History1!B:B, A692, History1!C:C)</f>
        <v>0</v>
      </c>
      <c r="K692" s="72" t="s">
        <v>2817</v>
      </c>
      <c r="L692" s="57" t="s">
        <v>1703</v>
      </c>
      <c r="Q692" s="57" t="str">
        <f t="shared" si="10"/>
        <v>🔴 LOW</v>
      </c>
    </row>
    <row r="693" spans="1:17" ht="207.6" customHeight="1">
      <c r="A693" s="56" t="s">
        <v>703</v>
      </c>
      <c r="E693" s="72">
        <f>SUMIF(History1!B:B, A693, History1!C:C)</f>
        <v>0</v>
      </c>
      <c r="K693" s="72" t="s">
        <v>2818</v>
      </c>
      <c r="L693" s="57" t="s">
        <v>1704</v>
      </c>
      <c r="Q693" s="57" t="str">
        <f t="shared" si="10"/>
        <v>🔴 LOW</v>
      </c>
    </row>
    <row r="694" spans="1:17" ht="207.6" customHeight="1">
      <c r="A694" s="56" t="s">
        <v>704</v>
      </c>
      <c r="E694" s="72">
        <f>SUMIF(History1!B:B, A694, History1!C:C)</f>
        <v>0</v>
      </c>
      <c r="K694" s="72" t="s">
        <v>2819</v>
      </c>
      <c r="L694" s="57" t="s">
        <v>1705</v>
      </c>
      <c r="Q694" s="57" t="str">
        <f t="shared" si="10"/>
        <v>🔴 LOW</v>
      </c>
    </row>
    <row r="695" spans="1:17" ht="207.6" customHeight="1">
      <c r="A695" s="56" t="s">
        <v>705</v>
      </c>
      <c r="E695" s="72">
        <f>SUMIF(History1!B:B, A695, History1!C:C)</f>
        <v>0</v>
      </c>
      <c r="K695" s="72" t="s">
        <v>2820</v>
      </c>
      <c r="L695" s="57" t="s">
        <v>1706</v>
      </c>
      <c r="Q695" s="57" t="str">
        <f t="shared" si="10"/>
        <v>🔴 LOW</v>
      </c>
    </row>
    <row r="696" spans="1:17" ht="207.6" customHeight="1">
      <c r="A696" s="56" t="s">
        <v>706</v>
      </c>
      <c r="E696" s="72">
        <f>SUMIF(History1!B:B, A696, History1!C:C)</f>
        <v>0</v>
      </c>
      <c r="K696" s="72" t="s">
        <v>2821</v>
      </c>
      <c r="L696" s="57" t="s">
        <v>1707</v>
      </c>
      <c r="Q696" s="57" t="str">
        <f t="shared" si="10"/>
        <v>🔴 LOW</v>
      </c>
    </row>
    <row r="697" spans="1:17" ht="207.6" customHeight="1">
      <c r="A697" s="56" t="s">
        <v>707</v>
      </c>
      <c r="E697" s="72">
        <f>SUMIF(History1!B:B, A697, History1!C:C)</f>
        <v>0</v>
      </c>
      <c r="K697" s="72" t="s">
        <v>2822</v>
      </c>
      <c r="L697" s="57" t="s">
        <v>1708</v>
      </c>
      <c r="Q697" s="57" t="str">
        <f t="shared" si="10"/>
        <v>🔴 LOW</v>
      </c>
    </row>
    <row r="698" spans="1:17" ht="207.6" customHeight="1">
      <c r="A698" s="56" t="s">
        <v>708</v>
      </c>
      <c r="E698" s="72">
        <f>SUMIF(History1!B:B, A698, History1!C:C)</f>
        <v>0</v>
      </c>
      <c r="K698" s="72" t="s">
        <v>2823</v>
      </c>
      <c r="L698" s="57" t="s">
        <v>1709</v>
      </c>
      <c r="Q698" s="57" t="str">
        <f t="shared" si="10"/>
        <v>🔴 LOW</v>
      </c>
    </row>
    <row r="699" spans="1:17" ht="207.6" customHeight="1">
      <c r="A699" s="56" t="s">
        <v>709</v>
      </c>
      <c r="E699" s="72">
        <f>SUMIF(History1!B:B, A699, History1!C:C)</f>
        <v>0</v>
      </c>
      <c r="K699" s="72" t="s">
        <v>2824</v>
      </c>
      <c r="L699" s="57" t="s">
        <v>1710</v>
      </c>
      <c r="Q699" s="57" t="str">
        <f t="shared" si="10"/>
        <v>🔴 LOW</v>
      </c>
    </row>
    <row r="700" spans="1:17" ht="207.6" customHeight="1">
      <c r="A700" s="56" t="s">
        <v>710</v>
      </c>
      <c r="E700" s="72">
        <f>SUMIF(History1!B:B, A700, History1!C:C)</f>
        <v>0</v>
      </c>
      <c r="K700" s="72" t="s">
        <v>2825</v>
      </c>
      <c r="L700" s="57" t="s">
        <v>1711</v>
      </c>
      <c r="Q700" s="57" t="str">
        <f t="shared" si="10"/>
        <v>🔴 LOW</v>
      </c>
    </row>
    <row r="701" spans="1:17" ht="207.6" customHeight="1">
      <c r="A701" s="56" t="s">
        <v>711</v>
      </c>
      <c r="E701" s="72">
        <f>SUMIF(History1!B:B, A701, History1!C:C)</f>
        <v>0</v>
      </c>
      <c r="K701" s="72" t="s">
        <v>2826</v>
      </c>
      <c r="L701" s="57" t="s">
        <v>1712</v>
      </c>
      <c r="Q701" s="57" t="str">
        <f t="shared" si="10"/>
        <v>🔴 LOW</v>
      </c>
    </row>
    <row r="702" spans="1:17" ht="207.6" customHeight="1">
      <c r="A702" s="56" t="s">
        <v>712</v>
      </c>
      <c r="E702" s="72">
        <f>SUMIF(History1!B:B, A702, History1!C:C)</f>
        <v>0</v>
      </c>
      <c r="K702" s="72" t="s">
        <v>2827</v>
      </c>
      <c r="L702" s="57" t="s">
        <v>1713</v>
      </c>
      <c r="Q702" s="57" t="str">
        <f t="shared" si="10"/>
        <v>🔴 LOW</v>
      </c>
    </row>
    <row r="703" spans="1:17" ht="207.6" customHeight="1">
      <c r="A703" s="56" t="s">
        <v>713</v>
      </c>
      <c r="E703" s="72">
        <f>SUMIF(History1!B:B, A703, History1!C:C)</f>
        <v>0</v>
      </c>
      <c r="K703" s="72" t="s">
        <v>2828</v>
      </c>
      <c r="L703" s="57" t="s">
        <v>1714</v>
      </c>
      <c r="Q703" s="57" t="str">
        <f t="shared" si="10"/>
        <v>🔴 LOW</v>
      </c>
    </row>
    <row r="704" spans="1:17" ht="207.6" customHeight="1">
      <c r="A704" s="56" t="s">
        <v>714</v>
      </c>
      <c r="E704" s="72">
        <f>SUMIF(History1!B:B, A704, History1!C:C)</f>
        <v>0</v>
      </c>
      <c r="K704" s="72" t="s">
        <v>2829</v>
      </c>
      <c r="L704" s="57" t="s">
        <v>1715</v>
      </c>
      <c r="Q704" s="57" t="str">
        <f t="shared" si="10"/>
        <v>🔴 LOW</v>
      </c>
    </row>
    <row r="705" spans="1:17" ht="207.6" customHeight="1">
      <c r="A705" s="56" t="s">
        <v>715</v>
      </c>
      <c r="E705" s="72">
        <f>SUMIF(History1!B:B, A705, History1!C:C)</f>
        <v>0</v>
      </c>
      <c r="K705" s="72" t="s">
        <v>2830</v>
      </c>
      <c r="L705" s="57" t="s">
        <v>1716</v>
      </c>
      <c r="Q705" s="57" t="str">
        <f t="shared" si="10"/>
        <v>🔴 LOW</v>
      </c>
    </row>
    <row r="706" spans="1:17" ht="207.6" customHeight="1">
      <c r="A706" s="56" t="s">
        <v>716</v>
      </c>
      <c r="E706" s="72">
        <f>SUMIF(History1!B:B, A706, History1!C:C)</f>
        <v>0</v>
      </c>
      <c r="K706" s="72" t="s">
        <v>2831</v>
      </c>
      <c r="L706" s="57" t="s">
        <v>1717</v>
      </c>
      <c r="Q706" s="57" t="str">
        <f t="shared" si="10"/>
        <v>🔴 LOW</v>
      </c>
    </row>
    <row r="707" spans="1:17" ht="207.6" customHeight="1">
      <c r="A707" s="56" t="s">
        <v>717</v>
      </c>
      <c r="E707" s="72">
        <f>SUMIF(History1!B:B, A707, History1!C:C)</f>
        <v>0</v>
      </c>
      <c r="K707" s="72" t="s">
        <v>2832</v>
      </c>
      <c r="L707" s="57" t="s">
        <v>1718</v>
      </c>
      <c r="Q707" s="57" t="str">
        <f t="shared" ref="Q707:Q770" si="11">IF(E707&lt;=10,"🔴 LOW",IF(E707&lt;=50,"🟡 MEDIUM","🟢 GOOD"))</f>
        <v>🔴 LOW</v>
      </c>
    </row>
    <row r="708" spans="1:17" ht="207.6" customHeight="1">
      <c r="A708" s="56" t="s">
        <v>718</v>
      </c>
      <c r="E708" s="72">
        <f>SUMIF(History1!B:B, A708, History1!C:C)</f>
        <v>0</v>
      </c>
      <c r="K708" s="72" t="s">
        <v>2833</v>
      </c>
      <c r="L708" s="57" t="s">
        <v>1719</v>
      </c>
      <c r="Q708" s="57" t="str">
        <f t="shared" si="11"/>
        <v>🔴 LOW</v>
      </c>
    </row>
    <row r="709" spans="1:17" ht="207.6" customHeight="1">
      <c r="A709" s="56" t="s">
        <v>719</v>
      </c>
      <c r="E709" s="72">
        <f>SUMIF(History1!B:B, A709, History1!C:C)</f>
        <v>0</v>
      </c>
      <c r="K709" s="72" t="s">
        <v>2834</v>
      </c>
      <c r="L709" s="57" t="s">
        <v>1720</v>
      </c>
      <c r="Q709" s="57" t="str">
        <f t="shared" si="11"/>
        <v>🔴 LOW</v>
      </c>
    </row>
    <row r="710" spans="1:17" ht="207.6" customHeight="1">
      <c r="A710" s="56" t="s">
        <v>720</v>
      </c>
      <c r="E710" s="72">
        <f>SUMIF(History1!B:B, A710, History1!C:C)</f>
        <v>0</v>
      </c>
      <c r="K710" s="72" t="s">
        <v>2835</v>
      </c>
      <c r="L710" s="57" t="s">
        <v>1721</v>
      </c>
      <c r="Q710" s="57" t="str">
        <f t="shared" si="11"/>
        <v>🔴 LOW</v>
      </c>
    </row>
    <row r="711" spans="1:17" ht="207.6" customHeight="1">
      <c r="A711" s="56" t="s">
        <v>721</v>
      </c>
      <c r="E711" s="72">
        <f>SUMIF(History1!B:B, A711, History1!C:C)</f>
        <v>0</v>
      </c>
      <c r="K711" s="72" t="s">
        <v>2836</v>
      </c>
      <c r="L711" s="57" t="s">
        <v>1722</v>
      </c>
      <c r="Q711" s="57" t="str">
        <f t="shared" si="11"/>
        <v>🔴 LOW</v>
      </c>
    </row>
    <row r="712" spans="1:17" ht="207.6" customHeight="1">
      <c r="A712" s="56" t="s">
        <v>722</v>
      </c>
      <c r="E712" s="72">
        <f>SUMIF(History1!B:B, A712, History1!C:C)</f>
        <v>0</v>
      </c>
      <c r="K712" s="72" t="s">
        <v>2837</v>
      </c>
      <c r="L712" s="57" t="s">
        <v>1723</v>
      </c>
      <c r="Q712" s="57" t="str">
        <f t="shared" si="11"/>
        <v>🔴 LOW</v>
      </c>
    </row>
    <row r="713" spans="1:17" ht="207.6" customHeight="1">
      <c r="A713" s="56" t="s">
        <v>723</v>
      </c>
      <c r="E713" s="72">
        <f>SUMIF(History1!B:B, A713, History1!C:C)</f>
        <v>0</v>
      </c>
      <c r="K713" s="72" t="s">
        <v>2838</v>
      </c>
      <c r="L713" s="57" t="s">
        <v>1724</v>
      </c>
      <c r="Q713" s="57" t="str">
        <f t="shared" si="11"/>
        <v>🔴 LOW</v>
      </c>
    </row>
    <row r="714" spans="1:17" ht="207.6" customHeight="1">
      <c r="A714" s="56" t="s">
        <v>724</v>
      </c>
      <c r="E714" s="72">
        <f>SUMIF(History1!B:B, A714, History1!C:C)</f>
        <v>0</v>
      </c>
      <c r="K714" s="72" t="s">
        <v>2839</v>
      </c>
      <c r="L714" s="57" t="s">
        <v>1725</v>
      </c>
      <c r="Q714" s="57" t="str">
        <f t="shared" si="11"/>
        <v>🔴 LOW</v>
      </c>
    </row>
    <row r="715" spans="1:17" ht="207.6" customHeight="1">
      <c r="A715" s="56" t="s">
        <v>725</v>
      </c>
      <c r="E715" s="72">
        <f>SUMIF(History1!B:B, A715, History1!C:C)</f>
        <v>0</v>
      </c>
      <c r="K715" s="72" t="s">
        <v>2840</v>
      </c>
      <c r="L715" s="57" t="s">
        <v>1726</v>
      </c>
      <c r="Q715" s="57" t="str">
        <f t="shared" si="11"/>
        <v>🔴 LOW</v>
      </c>
    </row>
    <row r="716" spans="1:17" ht="207.6" customHeight="1">
      <c r="A716" s="56" t="s">
        <v>726</v>
      </c>
      <c r="E716" s="72">
        <f>SUMIF(History1!B:B, A716, History1!C:C)</f>
        <v>0</v>
      </c>
      <c r="K716" s="72" t="s">
        <v>2841</v>
      </c>
      <c r="L716" s="57" t="s">
        <v>1727</v>
      </c>
      <c r="Q716" s="57" t="str">
        <f t="shared" si="11"/>
        <v>🔴 LOW</v>
      </c>
    </row>
    <row r="717" spans="1:17" ht="207.6" customHeight="1">
      <c r="A717" s="56" t="s">
        <v>727</v>
      </c>
      <c r="E717" s="72">
        <f>SUMIF(History1!B:B, A717, History1!C:C)</f>
        <v>0</v>
      </c>
      <c r="K717" s="72" t="s">
        <v>2842</v>
      </c>
      <c r="L717" s="57" t="s">
        <v>1728</v>
      </c>
      <c r="Q717" s="57" t="str">
        <f t="shared" si="11"/>
        <v>🔴 LOW</v>
      </c>
    </row>
    <row r="718" spans="1:17" ht="207.6" customHeight="1">
      <c r="A718" s="56" t="s">
        <v>728</v>
      </c>
      <c r="E718" s="72">
        <f>SUMIF(History1!B:B, A718, History1!C:C)</f>
        <v>0</v>
      </c>
      <c r="K718" s="72" t="s">
        <v>2843</v>
      </c>
      <c r="L718" s="57" t="s">
        <v>1729</v>
      </c>
      <c r="Q718" s="57" t="str">
        <f t="shared" si="11"/>
        <v>🔴 LOW</v>
      </c>
    </row>
    <row r="719" spans="1:17" ht="207.6" customHeight="1">
      <c r="A719" s="56" t="s">
        <v>729</v>
      </c>
      <c r="E719" s="72">
        <f>SUMIF(History1!B:B, A719, History1!C:C)</f>
        <v>0</v>
      </c>
      <c r="K719" s="72" t="s">
        <v>2844</v>
      </c>
      <c r="L719" s="57" t="s">
        <v>1730</v>
      </c>
      <c r="Q719" s="57" t="str">
        <f t="shared" si="11"/>
        <v>🔴 LOW</v>
      </c>
    </row>
    <row r="720" spans="1:17" ht="207.6" customHeight="1">
      <c r="A720" s="56" t="s">
        <v>730</v>
      </c>
      <c r="E720" s="72">
        <f>SUMIF(History1!B:B, A720, History1!C:C)</f>
        <v>0</v>
      </c>
      <c r="K720" s="72" t="s">
        <v>2845</v>
      </c>
      <c r="L720" s="57" t="s">
        <v>1731</v>
      </c>
      <c r="Q720" s="57" t="str">
        <f t="shared" si="11"/>
        <v>🔴 LOW</v>
      </c>
    </row>
    <row r="721" spans="1:17" ht="207.6" customHeight="1">
      <c r="A721" s="56" t="s">
        <v>731</v>
      </c>
      <c r="E721" s="72">
        <f>SUMIF(History1!B:B, A721, History1!C:C)</f>
        <v>0</v>
      </c>
      <c r="K721" s="72" t="s">
        <v>2846</v>
      </c>
      <c r="L721" s="57" t="s">
        <v>1732</v>
      </c>
      <c r="Q721" s="57" t="str">
        <f t="shared" si="11"/>
        <v>🔴 LOW</v>
      </c>
    </row>
    <row r="722" spans="1:17" ht="207.6" customHeight="1">
      <c r="A722" s="56" t="s">
        <v>732</v>
      </c>
      <c r="E722" s="72">
        <f>SUMIF(History1!B:B, A722, History1!C:C)</f>
        <v>0</v>
      </c>
      <c r="K722" s="72" t="s">
        <v>2847</v>
      </c>
      <c r="L722" s="57" t="s">
        <v>1733</v>
      </c>
      <c r="Q722" s="57" t="str">
        <f t="shared" si="11"/>
        <v>🔴 LOW</v>
      </c>
    </row>
    <row r="723" spans="1:17" ht="207.6" customHeight="1">
      <c r="A723" s="56" t="s">
        <v>733</v>
      </c>
      <c r="E723" s="72">
        <f>SUMIF(History1!B:B, A723, History1!C:C)</f>
        <v>0</v>
      </c>
      <c r="K723" s="72" t="s">
        <v>2848</v>
      </c>
      <c r="L723" s="57" t="s">
        <v>1734</v>
      </c>
      <c r="Q723" s="57" t="str">
        <f t="shared" si="11"/>
        <v>🔴 LOW</v>
      </c>
    </row>
    <row r="724" spans="1:17" ht="207.6" customHeight="1">
      <c r="A724" s="56" t="s">
        <v>734</v>
      </c>
      <c r="E724" s="72">
        <f>SUMIF(History1!B:B, A724, History1!C:C)</f>
        <v>0</v>
      </c>
      <c r="K724" s="72" t="s">
        <v>2849</v>
      </c>
      <c r="L724" s="57" t="s">
        <v>1735</v>
      </c>
      <c r="Q724" s="57" t="str">
        <f t="shared" si="11"/>
        <v>🔴 LOW</v>
      </c>
    </row>
    <row r="725" spans="1:17" ht="207.6" customHeight="1">
      <c r="A725" s="56" t="s">
        <v>735</v>
      </c>
      <c r="E725" s="72">
        <f>SUMIF(History1!B:B, A725, History1!C:C)</f>
        <v>0</v>
      </c>
      <c r="K725" s="72" t="s">
        <v>2850</v>
      </c>
      <c r="L725" s="57" t="s">
        <v>1736</v>
      </c>
      <c r="Q725" s="57" t="str">
        <f t="shared" si="11"/>
        <v>🔴 LOW</v>
      </c>
    </row>
    <row r="726" spans="1:17" ht="207.6" customHeight="1">
      <c r="A726" s="56" t="s">
        <v>736</v>
      </c>
      <c r="E726" s="72">
        <f>SUMIF(History1!B:B, A726, History1!C:C)</f>
        <v>0</v>
      </c>
      <c r="K726" s="72" t="s">
        <v>2851</v>
      </c>
      <c r="L726" s="57" t="s">
        <v>1737</v>
      </c>
      <c r="Q726" s="57" t="str">
        <f t="shared" si="11"/>
        <v>🔴 LOW</v>
      </c>
    </row>
    <row r="727" spans="1:17" ht="207.6" customHeight="1">
      <c r="A727" s="56" t="s">
        <v>737</v>
      </c>
      <c r="E727" s="72">
        <f>SUMIF(History1!B:B, A727, History1!C:C)</f>
        <v>0</v>
      </c>
      <c r="K727" s="72" t="s">
        <v>2852</v>
      </c>
      <c r="L727" s="57" t="s">
        <v>1738</v>
      </c>
      <c r="Q727" s="57" t="str">
        <f t="shared" si="11"/>
        <v>🔴 LOW</v>
      </c>
    </row>
    <row r="728" spans="1:17" ht="207.6" customHeight="1">
      <c r="A728" s="56" t="s">
        <v>738</v>
      </c>
      <c r="E728" s="72">
        <f>SUMIF(History1!B:B, A728, History1!C:C)</f>
        <v>0</v>
      </c>
      <c r="K728" s="72" t="s">
        <v>2853</v>
      </c>
      <c r="L728" s="57" t="s">
        <v>1739</v>
      </c>
      <c r="Q728" s="57" t="str">
        <f t="shared" si="11"/>
        <v>🔴 LOW</v>
      </c>
    </row>
    <row r="729" spans="1:17" ht="207.6" customHeight="1">
      <c r="A729" s="56" t="s">
        <v>739</v>
      </c>
      <c r="E729" s="72">
        <f>SUMIF(History1!B:B, A729, History1!C:C)</f>
        <v>0</v>
      </c>
      <c r="K729" s="72" t="s">
        <v>2854</v>
      </c>
      <c r="L729" s="57" t="s">
        <v>1740</v>
      </c>
      <c r="Q729" s="57" t="str">
        <f t="shared" si="11"/>
        <v>🔴 LOW</v>
      </c>
    </row>
    <row r="730" spans="1:17" ht="207.6" customHeight="1">
      <c r="A730" s="56" t="s">
        <v>740</v>
      </c>
      <c r="E730" s="72">
        <f>SUMIF(History1!B:B, A730, History1!C:C)</f>
        <v>0</v>
      </c>
      <c r="K730" s="72" t="s">
        <v>2855</v>
      </c>
      <c r="L730" s="57" t="s">
        <v>1741</v>
      </c>
      <c r="Q730" s="57" t="str">
        <f t="shared" si="11"/>
        <v>🔴 LOW</v>
      </c>
    </row>
    <row r="731" spans="1:17" ht="207.6" customHeight="1">
      <c r="A731" s="56" t="s">
        <v>741</v>
      </c>
      <c r="E731" s="72">
        <f>SUMIF(History1!B:B, A731, History1!C:C)</f>
        <v>0</v>
      </c>
      <c r="K731" s="72" t="s">
        <v>2856</v>
      </c>
      <c r="L731" s="57" t="s">
        <v>1742</v>
      </c>
      <c r="Q731" s="57" t="str">
        <f t="shared" si="11"/>
        <v>🔴 LOW</v>
      </c>
    </row>
    <row r="732" spans="1:17" ht="207.6" customHeight="1">
      <c r="A732" s="56" t="s">
        <v>742</v>
      </c>
      <c r="E732" s="72">
        <f>SUMIF(History1!B:B, A732, History1!C:C)</f>
        <v>0</v>
      </c>
      <c r="K732" s="72" t="s">
        <v>2857</v>
      </c>
      <c r="L732" s="57" t="s">
        <v>1743</v>
      </c>
      <c r="Q732" s="57" t="str">
        <f t="shared" si="11"/>
        <v>🔴 LOW</v>
      </c>
    </row>
    <row r="733" spans="1:17" ht="207.6" customHeight="1">
      <c r="A733" s="56" t="s">
        <v>743</v>
      </c>
      <c r="E733" s="72">
        <f>SUMIF(History1!B:B, A733, History1!C:C)</f>
        <v>0</v>
      </c>
      <c r="K733" s="72" t="s">
        <v>2858</v>
      </c>
      <c r="L733" s="57" t="s">
        <v>1744</v>
      </c>
      <c r="Q733" s="57" t="str">
        <f t="shared" si="11"/>
        <v>🔴 LOW</v>
      </c>
    </row>
    <row r="734" spans="1:17" ht="207.6" customHeight="1">
      <c r="A734" s="56" t="s">
        <v>744</v>
      </c>
      <c r="E734" s="72">
        <f>SUMIF(History1!B:B, A734, History1!C:C)</f>
        <v>0</v>
      </c>
      <c r="K734" s="72" t="s">
        <v>2859</v>
      </c>
      <c r="L734" s="57" t="s">
        <v>1745</v>
      </c>
      <c r="Q734" s="57" t="str">
        <f t="shared" si="11"/>
        <v>🔴 LOW</v>
      </c>
    </row>
    <row r="735" spans="1:17" ht="207.6" customHeight="1">
      <c r="A735" s="56" t="s">
        <v>745</v>
      </c>
      <c r="E735" s="72">
        <f>SUMIF(History1!B:B, A735, History1!C:C)</f>
        <v>0</v>
      </c>
      <c r="K735" s="72" t="s">
        <v>2860</v>
      </c>
      <c r="L735" s="57" t="s">
        <v>1746</v>
      </c>
      <c r="Q735" s="57" t="str">
        <f t="shared" si="11"/>
        <v>🔴 LOW</v>
      </c>
    </row>
    <row r="736" spans="1:17" ht="207.6" customHeight="1">
      <c r="A736" s="56" t="s">
        <v>746</v>
      </c>
      <c r="E736" s="72">
        <f>SUMIF(History1!B:B, A736, History1!C:C)</f>
        <v>0</v>
      </c>
      <c r="K736" s="72" t="s">
        <v>2861</v>
      </c>
      <c r="L736" s="57" t="s">
        <v>1747</v>
      </c>
      <c r="Q736" s="57" t="str">
        <f t="shared" si="11"/>
        <v>🔴 LOW</v>
      </c>
    </row>
    <row r="737" spans="1:17" ht="207.6" customHeight="1">
      <c r="A737" s="56" t="s">
        <v>747</v>
      </c>
      <c r="E737" s="72">
        <f>SUMIF(History1!B:B, A737, History1!C:C)</f>
        <v>0</v>
      </c>
      <c r="K737" s="72" t="s">
        <v>2862</v>
      </c>
      <c r="L737" s="57" t="s">
        <v>1748</v>
      </c>
      <c r="Q737" s="57" t="str">
        <f t="shared" si="11"/>
        <v>🔴 LOW</v>
      </c>
    </row>
    <row r="738" spans="1:17" ht="207.6" customHeight="1">
      <c r="A738" s="56" t="s">
        <v>748</v>
      </c>
      <c r="E738" s="72">
        <f>SUMIF(History1!B:B, A738, History1!C:C)</f>
        <v>0</v>
      </c>
      <c r="K738" s="72" t="s">
        <v>2863</v>
      </c>
      <c r="L738" s="57" t="s">
        <v>1749</v>
      </c>
      <c r="Q738" s="57" t="str">
        <f t="shared" si="11"/>
        <v>🔴 LOW</v>
      </c>
    </row>
    <row r="739" spans="1:17" ht="207.6" customHeight="1">
      <c r="A739" s="56" t="s">
        <v>749</v>
      </c>
      <c r="E739" s="72">
        <f>SUMIF(History1!B:B, A739, History1!C:C)</f>
        <v>0</v>
      </c>
      <c r="K739" s="72" t="s">
        <v>2864</v>
      </c>
      <c r="L739" s="57" t="s">
        <v>1750</v>
      </c>
      <c r="Q739" s="57" t="str">
        <f t="shared" si="11"/>
        <v>🔴 LOW</v>
      </c>
    </row>
    <row r="740" spans="1:17" ht="207.6" customHeight="1">
      <c r="A740" s="56" t="s">
        <v>750</v>
      </c>
      <c r="E740" s="72">
        <f>SUMIF(History1!B:B, A740, History1!C:C)</f>
        <v>0</v>
      </c>
      <c r="K740" s="72" t="s">
        <v>2865</v>
      </c>
      <c r="L740" s="57" t="s">
        <v>1751</v>
      </c>
      <c r="Q740" s="57" t="str">
        <f t="shared" si="11"/>
        <v>🔴 LOW</v>
      </c>
    </row>
    <row r="741" spans="1:17" ht="207.6" customHeight="1">
      <c r="A741" s="56" t="s">
        <v>751</v>
      </c>
      <c r="E741" s="72">
        <f>SUMIF(History1!B:B, A741, History1!C:C)</f>
        <v>0</v>
      </c>
      <c r="K741" s="72" t="s">
        <v>2866</v>
      </c>
      <c r="L741" s="57" t="s">
        <v>1752</v>
      </c>
      <c r="Q741" s="57" t="str">
        <f t="shared" si="11"/>
        <v>🔴 LOW</v>
      </c>
    </row>
    <row r="742" spans="1:17" ht="207.6" customHeight="1">
      <c r="A742" s="56" t="s">
        <v>752</v>
      </c>
      <c r="E742" s="72">
        <f>SUMIF(History1!B:B, A742, History1!C:C)</f>
        <v>0</v>
      </c>
      <c r="K742" s="72" t="s">
        <v>2867</v>
      </c>
      <c r="L742" s="57" t="s">
        <v>1753</v>
      </c>
      <c r="Q742" s="57" t="str">
        <f t="shared" si="11"/>
        <v>🔴 LOW</v>
      </c>
    </row>
    <row r="743" spans="1:17" ht="207.6" customHeight="1">
      <c r="A743" s="56" t="s">
        <v>753</v>
      </c>
      <c r="E743" s="72">
        <f>SUMIF(History1!B:B, A743, History1!C:C)</f>
        <v>0</v>
      </c>
      <c r="K743" s="72" t="s">
        <v>2868</v>
      </c>
      <c r="L743" s="57" t="s">
        <v>1754</v>
      </c>
      <c r="Q743" s="57" t="str">
        <f t="shared" si="11"/>
        <v>🔴 LOW</v>
      </c>
    </row>
    <row r="744" spans="1:17" ht="207.6" customHeight="1">
      <c r="A744" s="56" t="s">
        <v>754</v>
      </c>
      <c r="E744" s="72">
        <f>SUMIF(History1!B:B, A744, History1!C:C)</f>
        <v>0</v>
      </c>
      <c r="K744" s="72" t="s">
        <v>2869</v>
      </c>
      <c r="L744" s="57" t="s">
        <v>1755</v>
      </c>
      <c r="Q744" s="57" t="str">
        <f t="shared" si="11"/>
        <v>🔴 LOW</v>
      </c>
    </row>
    <row r="745" spans="1:17" ht="207.6" customHeight="1">
      <c r="A745" s="56" t="s">
        <v>755</v>
      </c>
      <c r="E745" s="72">
        <f>SUMIF(History1!B:B, A745, History1!C:C)</f>
        <v>0</v>
      </c>
      <c r="K745" s="72" t="s">
        <v>2870</v>
      </c>
      <c r="L745" s="57" t="s">
        <v>1756</v>
      </c>
      <c r="Q745" s="57" t="str">
        <f t="shared" si="11"/>
        <v>🔴 LOW</v>
      </c>
    </row>
    <row r="746" spans="1:17" ht="207.6" customHeight="1">
      <c r="A746" s="56" t="s">
        <v>756</v>
      </c>
      <c r="E746" s="72">
        <f>SUMIF(History1!B:B, A746, History1!C:C)</f>
        <v>0</v>
      </c>
      <c r="K746" s="72" t="s">
        <v>2871</v>
      </c>
      <c r="L746" s="57" t="s">
        <v>1757</v>
      </c>
      <c r="Q746" s="57" t="str">
        <f t="shared" si="11"/>
        <v>🔴 LOW</v>
      </c>
    </row>
    <row r="747" spans="1:17" ht="207.6" customHeight="1">
      <c r="A747" s="56" t="s">
        <v>757</v>
      </c>
      <c r="E747" s="72">
        <f>SUMIF(History1!B:B, A747, History1!C:C)</f>
        <v>0</v>
      </c>
      <c r="K747" s="72" t="s">
        <v>2872</v>
      </c>
      <c r="L747" s="57" t="s">
        <v>1758</v>
      </c>
      <c r="Q747" s="57" t="str">
        <f t="shared" si="11"/>
        <v>🔴 LOW</v>
      </c>
    </row>
    <row r="748" spans="1:17" ht="207.6" customHeight="1">
      <c r="A748" s="56" t="s">
        <v>758</v>
      </c>
      <c r="E748" s="72">
        <f>SUMIF(History1!B:B, A748, History1!C:C)</f>
        <v>0</v>
      </c>
      <c r="K748" s="72" t="s">
        <v>2873</v>
      </c>
      <c r="L748" s="57" t="s">
        <v>1759</v>
      </c>
      <c r="Q748" s="57" t="str">
        <f t="shared" si="11"/>
        <v>🔴 LOW</v>
      </c>
    </row>
    <row r="749" spans="1:17" ht="207.6" customHeight="1">
      <c r="A749" s="56" t="s">
        <v>759</v>
      </c>
      <c r="E749" s="72">
        <f>SUMIF(History1!B:B, A749, History1!C:C)</f>
        <v>0</v>
      </c>
      <c r="K749" s="72" t="s">
        <v>2874</v>
      </c>
      <c r="L749" s="57" t="s">
        <v>1760</v>
      </c>
      <c r="Q749" s="57" t="str">
        <f t="shared" si="11"/>
        <v>🔴 LOW</v>
      </c>
    </row>
    <row r="750" spans="1:17" ht="207.6" customHeight="1">
      <c r="A750" s="56" t="s">
        <v>760</v>
      </c>
      <c r="E750" s="72">
        <f>SUMIF(History1!B:B, A750, History1!C:C)</f>
        <v>0</v>
      </c>
      <c r="K750" s="72" t="s">
        <v>2875</v>
      </c>
      <c r="L750" s="57" t="s">
        <v>1761</v>
      </c>
      <c r="Q750" s="57" t="str">
        <f t="shared" si="11"/>
        <v>🔴 LOW</v>
      </c>
    </row>
    <row r="751" spans="1:17" ht="207.6" customHeight="1">
      <c r="A751" s="56" t="s">
        <v>761</v>
      </c>
      <c r="E751" s="72">
        <f>SUMIF(History1!B:B, A751, History1!C:C)</f>
        <v>0</v>
      </c>
      <c r="K751" s="72" t="s">
        <v>2876</v>
      </c>
      <c r="L751" s="57" t="s">
        <v>1762</v>
      </c>
      <c r="Q751" s="57" t="str">
        <f t="shared" si="11"/>
        <v>🔴 LOW</v>
      </c>
    </row>
    <row r="752" spans="1:17" ht="207.6" customHeight="1">
      <c r="A752" s="56" t="s">
        <v>762</v>
      </c>
      <c r="E752" s="72">
        <f>SUMIF(History1!B:B, A752, History1!C:C)</f>
        <v>0</v>
      </c>
      <c r="K752" s="72" t="s">
        <v>2877</v>
      </c>
      <c r="L752" s="57" t="s">
        <v>1763</v>
      </c>
      <c r="Q752" s="57" t="str">
        <f t="shared" si="11"/>
        <v>🔴 LOW</v>
      </c>
    </row>
    <row r="753" spans="1:17" ht="207.6" customHeight="1">
      <c r="A753" s="56" t="s">
        <v>763</v>
      </c>
      <c r="E753" s="72">
        <f>SUMIF(History1!B:B, A753, History1!C:C)</f>
        <v>0</v>
      </c>
      <c r="K753" s="72" t="s">
        <v>2878</v>
      </c>
      <c r="L753" s="57" t="s">
        <v>1764</v>
      </c>
      <c r="Q753" s="57" t="str">
        <f t="shared" si="11"/>
        <v>🔴 LOW</v>
      </c>
    </row>
    <row r="754" spans="1:17" ht="207.6" customHeight="1">
      <c r="A754" s="56" t="s">
        <v>764</v>
      </c>
      <c r="E754" s="72">
        <f>SUMIF(History1!B:B, A754, History1!C:C)</f>
        <v>0</v>
      </c>
      <c r="K754" s="72" t="s">
        <v>2879</v>
      </c>
      <c r="L754" s="57" t="s">
        <v>1765</v>
      </c>
      <c r="Q754" s="57" t="str">
        <f t="shared" si="11"/>
        <v>🔴 LOW</v>
      </c>
    </row>
    <row r="755" spans="1:17" ht="207.6" customHeight="1">
      <c r="A755" s="56" t="s">
        <v>765</v>
      </c>
      <c r="E755" s="72">
        <f>SUMIF(History1!B:B, A755, History1!C:C)</f>
        <v>0</v>
      </c>
      <c r="K755" s="72" t="s">
        <v>2880</v>
      </c>
      <c r="L755" s="57" t="s">
        <v>1766</v>
      </c>
      <c r="Q755" s="57" t="str">
        <f t="shared" si="11"/>
        <v>🔴 LOW</v>
      </c>
    </row>
    <row r="756" spans="1:17" ht="207.6" customHeight="1">
      <c r="A756" s="56" t="s">
        <v>766</v>
      </c>
      <c r="E756" s="72">
        <f>SUMIF(History1!B:B, A756, History1!C:C)</f>
        <v>0</v>
      </c>
      <c r="K756" s="72" t="s">
        <v>2881</v>
      </c>
      <c r="L756" s="57" t="s">
        <v>1767</v>
      </c>
      <c r="Q756" s="57" t="str">
        <f t="shared" si="11"/>
        <v>🔴 LOW</v>
      </c>
    </row>
    <row r="757" spans="1:17" ht="207.6" customHeight="1">
      <c r="A757" s="56" t="s">
        <v>767</v>
      </c>
      <c r="E757" s="72">
        <f>SUMIF(History1!B:B, A757, History1!C:C)</f>
        <v>0</v>
      </c>
      <c r="K757" s="72" t="s">
        <v>2882</v>
      </c>
      <c r="L757" s="57" t="s">
        <v>1768</v>
      </c>
      <c r="Q757" s="57" t="str">
        <f t="shared" si="11"/>
        <v>🔴 LOW</v>
      </c>
    </row>
    <row r="758" spans="1:17" ht="207.6" customHeight="1">
      <c r="A758" s="56" t="s">
        <v>768</v>
      </c>
      <c r="E758" s="72">
        <f>SUMIF(History1!B:B, A758, History1!C:C)</f>
        <v>0</v>
      </c>
      <c r="K758" s="72" t="s">
        <v>2883</v>
      </c>
      <c r="L758" s="57" t="s">
        <v>1769</v>
      </c>
      <c r="Q758" s="57" t="str">
        <f t="shared" si="11"/>
        <v>🔴 LOW</v>
      </c>
    </row>
    <row r="759" spans="1:17" ht="207.6" customHeight="1">
      <c r="A759" s="56" t="s">
        <v>769</v>
      </c>
      <c r="E759" s="72">
        <f>SUMIF(History1!B:B, A759, History1!C:C)</f>
        <v>0</v>
      </c>
      <c r="K759" s="72" t="s">
        <v>2884</v>
      </c>
      <c r="L759" s="57" t="s">
        <v>1770</v>
      </c>
      <c r="Q759" s="57" t="str">
        <f t="shared" si="11"/>
        <v>🔴 LOW</v>
      </c>
    </row>
    <row r="760" spans="1:17" ht="207.6" customHeight="1">
      <c r="A760" s="56" t="s">
        <v>770</v>
      </c>
      <c r="E760" s="72">
        <f>SUMIF(History1!B:B, A760, History1!C:C)</f>
        <v>0</v>
      </c>
      <c r="K760" s="72" t="s">
        <v>2885</v>
      </c>
      <c r="L760" s="57" t="s">
        <v>1771</v>
      </c>
      <c r="Q760" s="57" t="str">
        <f t="shared" si="11"/>
        <v>🔴 LOW</v>
      </c>
    </row>
    <row r="761" spans="1:17" ht="207.6" customHeight="1">
      <c r="A761" s="56" t="s">
        <v>771</v>
      </c>
      <c r="E761" s="72">
        <f>SUMIF(History1!B:B, A761, History1!C:C)</f>
        <v>0</v>
      </c>
      <c r="K761" s="72" t="s">
        <v>2886</v>
      </c>
      <c r="L761" s="57" t="s">
        <v>1772</v>
      </c>
      <c r="Q761" s="57" t="str">
        <f t="shared" si="11"/>
        <v>🔴 LOW</v>
      </c>
    </row>
    <row r="762" spans="1:17" ht="207.6" customHeight="1">
      <c r="A762" s="56" t="s">
        <v>772</v>
      </c>
      <c r="E762" s="72">
        <f>SUMIF(History1!B:B, A762, History1!C:C)</f>
        <v>0</v>
      </c>
      <c r="K762" s="72" t="s">
        <v>2887</v>
      </c>
      <c r="L762" s="57" t="s">
        <v>1773</v>
      </c>
      <c r="Q762" s="57" t="str">
        <f t="shared" si="11"/>
        <v>🔴 LOW</v>
      </c>
    </row>
    <row r="763" spans="1:17" ht="207.6" customHeight="1">
      <c r="A763" s="56" t="s">
        <v>773</v>
      </c>
      <c r="E763" s="72">
        <f>SUMIF(History1!B:B, A763, History1!C:C)</f>
        <v>0</v>
      </c>
      <c r="K763" s="72" t="s">
        <v>2888</v>
      </c>
      <c r="L763" s="57" t="s">
        <v>1774</v>
      </c>
      <c r="Q763" s="57" t="str">
        <f t="shared" si="11"/>
        <v>🔴 LOW</v>
      </c>
    </row>
    <row r="764" spans="1:17" ht="207.6" customHeight="1">
      <c r="A764" s="56" t="s">
        <v>774</v>
      </c>
      <c r="E764" s="72">
        <f>SUMIF(History1!B:B, A764, History1!C:C)</f>
        <v>0</v>
      </c>
      <c r="K764" s="72" t="s">
        <v>2889</v>
      </c>
      <c r="L764" s="57" t="s">
        <v>1775</v>
      </c>
      <c r="Q764" s="57" t="str">
        <f t="shared" si="11"/>
        <v>🔴 LOW</v>
      </c>
    </row>
    <row r="765" spans="1:17" ht="207.6" customHeight="1">
      <c r="A765" s="56" t="s">
        <v>775</v>
      </c>
      <c r="E765" s="72">
        <f>SUMIF(History1!B:B, A765, History1!C:C)</f>
        <v>0</v>
      </c>
      <c r="K765" s="72" t="s">
        <v>2890</v>
      </c>
      <c r="L765" s="57" t="s">
        <v>1776</v>
      </c>
      <c r="Q765" s="57" t="str">
        <f t="shared" si="11"/>
        <v>🔴 LOW</v>
      </c>
    </row>
    <row r="766" spans="1:17" ht="207.6" customHeight="1">
      <c r="A766" s="56" t="s">
        <v>776</v>
      </c>
      <c r="E766" s="72">
        <f>SUMIF(History1!B:B, A766, History1!C:C)</f>
        <v>0</v>
      </c>
      <c r="K766" s="72" t="s">
        <v>2891</v>
      </c>
      <c r="L766" s="57" t="s">
        <v>1777</v>
      </c>
      <c r="Q766" s="57" t="str">
        <f t="shared" si="11"/>
        <v>🔴 LOW</v>
      </c>
    </row>
    <row r="767" spans="1:17" ht="207.6" customHeight="1">
      <c r="A767" s="56" t="s">
        <v>777</v>
      </c>
      <c r="E767" s="72">
        <f>SUMIF(History1!B:B, A767, History1!C:C)</f>
        <v>0</v>
      </c>
      <c r="K767" s="72" t="s">
        <v>2892</v>
      </c>
      <c r="L767" s="57" t="s">
        <v>1778</v>
      </c>
      <c r="Q767" s="57" t="str">
        <f t="shared" si="11"/>
        <v>🔴 LOW</v>
      </c>
    </row>
    <row r="768" spans="1:17" ht="207.6" customHeight="1">
      <c r="A768" s="56" t="s">
        <v>778</v>
      </c>
      <c r="E768" s="72">
        <f>SUMIF(History1!B:B, A768, History1!C:C)</f>
        <v>0</v>
      </c>
      <c r="K768" s="72" t="s">
        <v>2893</v>
      </c>
      <c r="L768" s="57" t="s">
        <v>1779</v>
      </c>
      <c r="Q768" s="57" t="str">
        <f t="shared" si="11"/>
        <v>🔴 LOW</v>
      </c>
    </row>
    <row r="769" spans="1:17" ht="207.6" customHeight="1">
      <c r="A769" s="56" t="s">
        <v>779</v>
      </c>
      <c r="E769" s="72">
        <f>SUMIF(History1!B:B, A769, History1!C:C)</f>
        <v>0</v>
      </c>
      <c r="K769" s="72" t="s">
        <v>2894</v>
      </c>
      <c r="L769" s="57" t="s">
        <v>1780</v>
      </c>
      <c r="Q769" s="57" t="str">
        <f t="shared" si="11"/>
        <v>🔴 LOW</v>
      </c>
    </row>
    <row r="770" spans="1:17" ht="207.6" customHeight="1">
      <c r="A770" s="56" t="s">
        <v>780</v>
      </c>
      <c r="E770" s="72">
        <f>SUMIF(History1!B:B, A770, History1!C:C)</f>
        <v>0</v>
      </c>
      <c r="K770" s="72" t="s">
        <v>2895</v>
      </c>
      <c r="L770" s="57" t="s">
        <v>1781</v>
      </c>
      <c r="Q770" s="57" t="str">
        <f t="shared" si="11"/>
        <v>🔴 LOW</v>
      </c>
    </row>
    <row r="771" spans="1:17" ht="207.6" customHeight="1">
      <c r="A771" s="56" t="s">
        <v>781</v>
      </c>
      <c r="E771" s="72">
        <f>SUMIF(History1!B:B, A771, History1!C:C)</f>
        <v>0</v>
      </c>
      <c r="K771" s="72" t="s">
        <v>2896</v>
      </c>
      <c r="L771" s="57" t="s">
        <v>1782</v>
      </c>
      <c r="Q771" s="57" t="str">
        <f t="shared" ref="Q771:Q834" si="12">IF(E771&lt;=10,"🔴 LOW",IF(E771&lt;=50,"🟡 MEDIUM","🟢 GOOD"))</f>
        <v>🔴 LOW</v>
      </c>
    </row>
    <row r="772" spans="1:17" ht="207.6" customHeight="1">
      <c r="A772" s="56" t="s">
        <v>782</v>
      </c>
      <c r="E772" s="72">
        <f>SUMIF(History1!B:B, A772, History1!C:C)</f>
        <v>0</v>
      </c>
      <c r="K772" s="72" t="s">
        <v>2897</v>
      </c>
      <c r="L772" s="57" t="s">
        <v>1783</v>
      </c>
      <c r="Q772" s="57" t="str">
        <f t="shared" si="12"/>
        <v>🔴 LOW</v>
      </c>
    </row>
    <row r="773" spans="1:17" ht="207.6" customHeight="1">
      <c r="A773" s="56" t="s">
        <v>783</v>
      </c>
      <c r="E773" s="72">
        <f>SUMIF(History1!B:B, A773, History1!C:C)</f>
        <v>0</v>
      </c>
      <c r="K773" s="72" t="s">
        <v>2898</v>
      </c>
      <c r="L773" s="57" t="s">
        <v>1784</v>
      </c>
      <c r="Q773" s="57" t="str">
        <f t="shared" si="12"/>
        <v>🔴 LOW</v>
      </c>
    </row>
    <row r="774" spans="1:17" ht="207.6" customHeight="1">
      <c r="A774" s="56" t="s">
        <v>784</v>
      </c>
      <c r="E774" s="72">
        <f>SUMIF(History1!B:B, A774, History1!C:C)</f>
        <v>0</v>
      </c>
      <c r="K774" s="72" t="s">
        <v>2899</v>
      </c>
      <c r="L774" s="57" t="s">
        <v>1785</v>
      </c>
      <c r="Q774" s="57" t="str">
        <f t="shared" si="12"/>
        <v>🔴 LOW</v>
      </c>
    </row>
    <row r="775" spans="1:17" ht="207.6" customHeight="1">
      <c r="A775" s="56" t="s">
        <v>785</v>
      </c>
      <c r="E775" s="72">
        <f>SUMIF(History1!B:B, A775, History1!C:C)</f>
        <v>0</v>
      </c>
      <c r="K775" s="72" t="s">
        <v>2900</v>
      </c>
      <c r="L775" s="57" t="s">
        <v>1786</v>
      </c>
      <c r="Q775" s="57" t="str">
        <f t="shared" si="12"/>
        <v>🔴 LOW</v>
      </c>
    </row>
    <row r="776" spans="1:17" ht="207.6" customHeight="1">
      <c r="A776" s="56" t="s">
        <v>786</v>
      </c>
      <c r="E776" s="72">
        <f>SUMIF(History1!B:B, A776, History1!C:C)</f>
        <v>0</v>
      </c>
      <c r="K776" s="72" t="s">
        <v>2901</v>
      </c>
      <c r="L776" s="57" t="s">
        <v>1787</v>
      </c>
      <c r="Q776" s="57" t="str">
        <f t="shared" si="12"/>
        <v>🔴 LOW</v>
      </c>
    </row>
    <row r="777" spans="1:17" ht="207.6" customHeight="1">
      <c r="A777" s="56" t="s">
        <v>787</v>
      </c>
      <c r="E777" s="72">
        <f>SUMIF(History1!B:B, A777, History1!C:C)</f>
        <v>0</v>
      </c>
      <c r="K777" s="72" t="s">
        <v>2902</v>
      </c>
      <c r="L777" s="57" t="s">
        <v>1788</v>
      </c>
      <c r="Q777" s="57" t="str">
        <f t="shared" si="12"/>
        <v>🔴 LOW</v>
      </c>
    </row>
    <row r="778" spans="1:17" ht="207.6" customHeight="1">
      <c r="A778" s="56" t="s">
        <v>788</v>
      </c>
      <c r="E778" s="72">
        <f>SUMIF(History1!B:B, A778, History1!C:C)</f>
        <v>0</v>
      </c>
      <c r="K778" s="72" t="s">
        <v>2903</v>
      </c>
      <c r="L778" s="57" t="s">
        <v>1789</v>
      </c>
      <c r="Q778" s="57" t="str">
        <f t="shared" si="12"/>
        <v>🔴 LOW</v>
      </c>
    </row>
    <row r="779" spans="1:17" ht="207.6" customHeight="1">
      <c r="A779" s="56" t="s">
        <v>789</v>
      </c>
      <c r="E779" s="72">
        <f>SUMIF(History1!B:B, A779, History1!C:C)</f>
        <v>0</v>
      </c>
      <c r="K779" s="72" t="s">
        <v>2904</v>
      </c>
      <c r="L779" s="57" t="s">
        <v>1790</v>
      </c>
      <c r="Q779" s="57" t="str">
        <f t="shared" si="12"/>
        <v>🔴 LOW</v>
      </c>
    </row>
    <row r="780" spans="1:17" ht="207.6" customHeight="1">
      <c r="A780" s="56" t="s">
        <v>790</v>
      </c>
      <c r="E780" s="72">
        <f>SUMIF(History1!B:B, A780, History1!C:C)</f>
        <v>0</v>
      </c>
      <c r="K780" s="72" t="s">
        <v>2905</v>
      </c>
      <c r="L780" s="57" t="s">
        <v>1791</v>
      </c>
      <c r="Q780" s="57" t="str">
        <f t="shared" si="12"/>
        <v>🔴 LOW</v>
      </c>
    </row>
    <row r="781" spans="1:17" ht="207.6" customHeight="1">
      <c r="A781" s="56" t="s">
        <v>791</v>
      </c>
      <c r="E781" s="72">
        <f>SUMIF(History1!B:B, A781, History1!C:C)</f>
        <v>0</v>
      </c>
      <c r="K781" s="72" t="s">
        <v>2906</v>
      </c>
      <c r="L781" s="57" t="s">
        <v>1792</v>
      </c>
      <c r="Q781" s="57" t="str">
        <f t="shared" si="12"/>
        <v>🔴 LOW</v>
      </c>
    </row>
    <row r="782" spans="1:17" ht="207.6" customHeight="1">
      <c r="A782" s="56" t="s">
        <v>792</v>
      </c>
      <c r="E782" s="72">
        <f>SUMIF(History1!B:B, A782, History1!C:C)</f>
        <v>0</v>
      </c>
      <c r="K782" s="72" t="s">
        <v>2907</v>
      </c>
      <c r="L782" s="57" t="s">
        <v>1793</v>
      </c>
      <c r="Q782" s="57" t="str">
        <f t="shared" si="12"/>
        <v>🔴 LOW</v>
      </c>
    </row>
    <row r="783" spans="1:17" ht="207.6" customHeight="1">
      <c r="A783" s="56" t="s">
        <v>793</v>
      </c>
      <c r="E783" s="72">
        <f>SUMIF(History1!B:B, A783, History1!C:C)</f>
        <v>0</v>
      </c>
      <c r="K783" s="72" t="s">
        <v>2908</v>
      </c>
      <c r="L783" s="57" t="s">
        <v>1794</v>
      </c>
      <c r="Q783" s="57" t="str">
        <f t="shared" si="12"/>
        <v>🔴 LOW</v>
      </c>
    </row>
    <row r="784" spans="1:17" ht="207.6" customHeight="1">
      <c r="A784" s="56" t="s">
        <v>794</v>
      </c>
      <c r="E784" s="72">
        <f>SUMIF(History1!B:B, A784, History1!C:C)</f>
        <v>0</v>
      </c>
      <c r="K784" s="72" t="s">
        <v>2909</v>
      </c>
      <c r="L784" s="57" t="s">
        <v>1795</v>
      </c>
      <c r="Q784" s="57" t="str">
        <f t="shared" si="12"/>
        <v>🔴 LOW</v>
      </c>
    </row>
    <row r="785" spans="1:17" ht="207.6" customHeight="1">
      <c r="A785" s="56" t="s">
        <v>795</v>
      </c>
      <c r="E785" s="72">
        <f>SUMIF(History1!B:B, A785, History1!C:C)</f>
        <v>0</v>
      </c>
      <c r="K785" s="72" t="s">
        <v>2910</v>
      </c>
      <c r="L785" s="57" t="s">
        <v>1796</v>
      </c>
      <c r="Q785" s="57" t="str">
        <f t="shared" si="12"/>
        <v>🔴 LOW</v>
      </c>
    </row>
    <row r="786" spans="1:17" ht="207.6" customHeight="1">
      <c r="A786" s="56" t="s">
        <v>796</v>
      </c>
      <c r="E786" s="72">
        <f>SUMIF(History1!B:B, A786, History1!C:C)</f>
        <v>0</v>
      </c>
      <c r="K786" s="72" t="s">
        <v>2911</v>
      </c>
      <c r="L786" s="57" t="s">
        <v>1797</v>
      </c>
      <c r="Q786" s="57" t="str">
        <f t="shared" si="12"/>
        <v>🔴 LOW</v>
      </c>
    </row>
    <row r="787" spans="1:17" ht="207.6" customHeight="1">
      <c r="A787" s="56" t="s">
        <v>797</v>
      </c>
      <c r="E787" s="72">
        <f>SUMIF(History1!B:B, A787, History1!C:C)</f>
        <v>0</v>
      </c>
      <c r="K787" s="72" t="s">
        <v>2912</v>
      </c>
      <c r="L787" s="57" t="s">
        <v>1798</v>
      </c>
      <c r="Q787" s="57" t="str">
        <f t="shared" si="12"/>
        <v>🔴 LOW</v>
      </c>
    </row>
    <row r="788" spans="1:17" ht="207.6" customHeight="1">
      <c r="A788" s="56" t="s">
        <v>798</v>
      </c>
      <c r="E788" s="72">
        <f>SUMIF(History1!B:B, A788, History1!C:C)</f>
        <v>0</v>
      </c>
      <c r="K788" s="72" t="s">
        <v>2913</v>
      </c>
      <c r="L788" s="57" t="s">
        <v>1799</v>
      </c>
      <c r="Q788" s="57" t="str">
        <f t="shared" si="12"/>
        <v>🔴 LOW</v>
      </c>
    </row>
    <row r="789" spans="1:17" ht="207.6" customHeight="1">
      <c r="A789" s="56" t="s">
        <v>799</v>
      </c>
      <c r="E789" s="72">
        <f>SUMIF(History1!B:B, A789, History1!C:C)</f>
        <v>0</v>
      </c>
      <c r="K789" s="72" t="s">
        <v>2914</v>
      </c>
      <c r="L789" s="57" t="s">
        <v>1800</v>
      </c>
      <c r="Q789" s="57" t="str">
        <f t="shared" si="12"/>
        <v>🔴 LOW</v>
      </c>
    </row>
    <row r="790" spans="1:17" ht="207.6" customHeight="1">
      <c r="A790" s="56" t="s">
        <v>800</v>
      </c>
      <c r="E790" s="72">
        <f>SUMIF(History1!B:B, A790, History1!C:C)</f>
        <v>0</v>
      </c>
      <c r="K790" s="72" t="s">
        <v>2915</v>
      </c>
      <c r="L790" s="57" t="s">
        <v>1801</v>
      </c>
      <c r="Q790" s="57" t="str">
        <f t="shared" si="12"/>
        <v>🔴 LOW</v>
      </c>
    </row>
    <row r="791" spans="1:17" ht="207.6" customHeight="1">
      <c r="A791" s="56" t="s">
        <v>801</v>
      </c>
      <c r="E791" s="72">
        <f>SUMIF(History1!B:B, A791, History1!C:C)</f>
        <v>0</v>
      </c>
      <c r="K791" s="72" t="s">
        <v>2916</v>
      </c>
      <c r="L791" s="57" t="s">
        <v>1802</v>
      </c>
      <c r="Q791" s="57" t="str">
        <f t="shared" si="12"/>
        <v>🔴 LOW</v>
      </c>
    </row>
    <row r="792" spans="1:17" ht="207.6" customHeight="1">
      <c r="A792" s="56" t="s">
        <v>802</v>
      </c>
      <c r="E792" s="72">
        <f>SUMIF(History1!B:B, A792, History1!C:C)</f>
        <v>0</v>
      </c>
      <c r="K792" s="72" t="s">
        <v>2917</v>
      </c>
      <c r="L792" s="57" t="s">
        <v>1803</v>
      </c>
      <c r="Q792" s="57" t="str">
        <f t="shared" si="12"/>
        <v>🔴 LOW</v>
      </c>
    </row>
    <row r="793" spans="1:17" ht="207.6" customHeight="1">
      <c r="A793" s="56" t="s">
        <v>803</v>
      </c>
      <c r="E793" s="72">
        <f>SUMIF(History1!B:B, A793, History1!C:C)</f>
        <v>0</v>
      </c>
      <c r="K793" s="72" t="s">
        <v>2918</v>
      </c>
      <c r="L793" s="57" t="s">
        <v>1804</v>
      </c>
      <c r="Q793" s="57" t="str">
        <f t="shared" si="12"/>
        <v>🔴 LOW</v>
      </c>
    </row>
    <row r="794" spans="1:17" ht="207.6" customHeight="1">
      <c r="A794" s="56" t="s">
        <v>804</v>
      </c>
      <c r="E794" s="72">
        <f>SUMIF(History1!B:B, A794, History1!C:C)</f>
        <v>0</v>
      </c>
      <c r="K794" s="72" t="s">
        <v>2919</v>
      </c>
      <c r="L794" s="57" t="s">
        <v>1805</v>
      </c>
      <c r="Q794" s="57" t="str">
        <f t="shared" si="12"/>
        <v>🔴 LOW</v>
      </c>
    </row>
    <row r="795" spans="1:17" ht="207.6" customHeight="1">
      <c r="A795" s="56" t="s">
        <v>805</v>
      </c>
      <c r="E795" s="72">
        <f>SUMIF(History1!B:B, A795, History1!C:C)</f>
        <v>0</v>
      </c>
      <c r="K795" s="72" t="s">
        <v>2920</v>
      </c>
      <c r="L795" s="57" t="s">
        <v>1806</v>
      </c>
      <c r="Q795" s="57" t="str">
        <f t="shared" si="12"/>
        <v>🔴 LOW</v>
      </c>
    </row>
    <row r="796" spans="1:17" ht="207.6" customHeight="1">
      <c r="A796" s="56" t="s">
        <v>806</v>
      </c>
      <c r="E796" s="72">
        <f>SUMIF(History1!B:B, A796, History1!C:C)</f>
        <v>0</v>
      </c>
      <c r="K796" s="72" t="s">
        <v>2921</v>
      </c>
      <c r="L796" s="57" t="s">
        <v>1807</v>
      </c>
      <c r="Q796" s="57" t="str">
        <f t="shared" si="12"/>
        <v>🔴 LOW</v>
      </c>
    </row>
    <row r="797" spans="1:17" ht="207.6" customHeight="1">
      <c r="A797" s="56" t="s">
        <v>807</v>
      </c>
      <c r="E797" s="72">
        <f>SUMIF(History1!B:B, A797, History1!C:C)</f>
        <v>0</v>
      </c>
      <c r="K797" s="72" t="s">
        <v>2922</v>
      </c>
      <c r="L797" s="57" t="s">
        <v>1808</v>
      </c>
      <c r="Q797" s="57" t="str">
        <f t="shared" si="12"/>
        <v>🔴 LOW</v>
      </c>
    </row>
    <row r="798" spans="1:17" ht="207.6" customHeight="1">
      <c r="A798" s="56" t="s">
        <v>808</v>
      </c>
      <c r="E798" s="72">
        <f>SUMIF(History1!B:B, A798, History1!C:C)</f>
        <v>0</v>
      </c>
      <c r="K798" s="72" t="s">
        <v>2923</v>
      </c>
      <c r="L798" s="57" t="s">
        <v>1809</v>
      </c>
      <c r="Q798" s="57" t="str">
        <f t="shared" si="12"/>
        <v>🔴 LOW</v>
      </c>
    </row>
    <row r="799" spans="1:17" ht="207.6" customHeight="1">
      <c r="A799" s="56" t="s">
        <v>809</v>
      </c>
      <c r="E799" s="72">
        <f>SUMIF(History1!B:B, A799, History1!C:C)</f>
        <v>0</v>
      </c>
      <c r="K799" s="72" t="s">
        <v>2924</v>
      </c>
      <c r="L799" s="57" t="s">
        <v>1810</v>
      </c>
      <c r="Q799" s="57" t="str">
        <f t="shared" si="12"/>
        <v>🔴 LOW</v>
      </c>
    </row>
    <row r="800" spans="1:17" ht="207.6" customHeight="1">
      <c r="A800" s="56" t="s">
        <v>810</v>
      </c>
      <c r="E800" s="72">
        <f>SUMIF(History1!B:B, A800, History1!C:C)</f>
        <v>0</v>
      </c>
      <c r="K800" s="72" t="s">
        <v>2925</v>
      </c>
      <c r="L800" s="57" t="s">
        <v>1811</v>
      </c>
      <c r="Q800" s="57" t="str">
        <f t="shared" si="12"/>
        <v>🔴 LOW</v>
      </c>
    </row>
    <row r="801" spans="1:17" ht="207.6" customHeight="1">
      <c r="A801" s="56" t="s">
        <v>811</v>
      </c>
      <c r="E801" s="72">
        <f>SUMIF(History1!B:B, A801, History1!C:C)</f>
        <v>0</v>
      </c>
      <c r="K801" s="72" t="s">
        <v>2926</v>
      </c>
      <c r="L801" s="57" t="s">
        <v>1812</v>
      </c>
      <c r="Q801" s="57" t="str">
        <f t="shared" si="12"/>
        <v>🔴 LOW</v>
      </c>
    </row>
    <row r="802" spans="1:17" ht="207.6" customHeight="1">
      <c r="A802" s="56" t="s">
        <v>812</v>
      </c>
      <c r="E802" s="72">
        <f>SUMIF(History1!B:B, A802, History1!C:C)</f>
        <v>0</v>
      </c>
      <c r="K802" s="72" t="s">
        <v>2927</v>
      </c>
      <c r="L802" s="57" t="s">
        <v>1813</v>
      </c>
      <c r="Q802" s="57" t="str">
        <f t="shared" si="12"/>
        <v>🔴 LOW</v>
      </c>
    </row>
    <row r="803" spans="1:17" ht="207.6" customHeight="1">
      <c r="A803" s="56" t="s">
        <v>813</v>
      </c>
      <c r="E803" s="72">
        <f>SUMIF(History1!B:B, A803, History1!C:C)</f>
        <v>0</v>
      </c>
      <c r="K803" s="72" t="s">
        <v>2928</v>
      </c>
      <c r="L803" s="57" t="s">
        <v>1814</v>
      </c>
      <c r="Q803" s="57" t="str">
        <f t="shared" si="12"/>
        <v>🔴 LOW</v>
      </c>
    </row>
    <row r="804" spans="1:17" ht="207.6" customHeight="1">
      <c r="A804" s="56" t="s">
        <v>814</v>
      </c>
      <c r="E804" s="72">
        <f>SUMIF(History1!B:B, A804, History1!C:C)</f>
        <v>0</v>
      </c>
      <c r="K804" s="72" t="s">
        <v>2929</v>
      </c>
      <c r="L804" s="57" t="s">
        <v>1815</v>
      </c>
      <c r="Q804" s="57" t="str">
        <f t="shared" si="12"/>
        <v>🔴 LOW</v>
      </c>
    </row>
    <row r="805" spans="1:17" ht="207.6" customHeight="1">
      <c r="A805" s="56" t="s">
        <v>815</v>
      </c>
      <c r="E805" s="72">
        <f>SUMIF(History1!B:B, A805, History1!C:C)</f>
        <v>0</v>
      </c>
      <c r="K805" s="72" t="s">
        <v>2930</v>
      </c>
      <c r="L805" s="57" t="s">
        <v>1816</v>
      </c>
      <c r="Q805" s="57" t="str">
        <f t="shared" si="12"/>
        <v>🔴 LOW</v>
      </c>
    </row>
    <row r="806" spans="1:17" ht="207.6" customHeight="1">
      <c r="A806" s="56" t="s">
        <v>816</v>
      </c>
      <c r="E806" s="72">
        <f>SUMIF(History1!B:B, A806, History1!C:C)</f>
        <v>0</v>
      </c>
      <c r="K806" s="72" t="s">
        <v>2931</v>
      </c>
      <c r="L806" s="57" t="s">
        <v>1817</v>
      </c>
      <c r="Q806" s="57" t="str">
        <f t="shared" si="12"/>
        <v>🔴 LOW</v>
      </c>
    </row>
    <row r="807" spans="1:17" ht="207.6" customHeight="1">
      <c r="A807" s="56" t="s">
        <v>817</v>
      </c>
      <c r="E807" s="72">
        <f>SUMIF(History1!B:B, A807, History1!C:C)</f>
        <v>0</v>
      </c>
      <c r="K807" s="72" t="s">
        <v>2932</v>
      </c>
      <c r="L807" s="57" t="s">
        <v>1818</v>
      </c>
      <c r="Q807" s="57" t="str">
        <f t="shared" si="12"/>
        <v>🔴 LOW</v>
      </c>
    </row>
    <row r="808" spans="1:17" ht="207.6" customHeight="1">
      <c r="A808" s="56" t="s">
        <v>818</v>
      </c>
      <c r="E808" s="72">
        <f>SUMIF(History1!B:B, A808, History1!C:C)</f>
        <v>0</v>
      </c>
      <c r="K808" s="72" t="s">
        <v>2933</v>
      </c>
      <c r="L808" s="57" t="s">
        <v>1819</v>
      </c>
      <c r="Q808" s="57" t="str">
        <f t="shared" si="12"/>
        <v>🔴 LOW</v>
      </c>
    </row>
    <row r="809" spans="1:17" ht="207.6" customHeight="1">
      <c r="A809" s="56" t="s">
        <v>819</v>
      </c>
      <c r="E809" s="72">
        <f>SUMIF(History1!B:B, A809, History1!C:C)</f>
        <v>0</v>
      </c>
      <c r="K809" s="72" t="s">
        <v>2934</v>
      </c>
      <c r="L809" s="57" t="s">
        <v>1820</v>
      </c>
      <c r="Q809" s="57" t="str">
        <f t="shared" si="12"/>
        <v>🔴 LOW</v>
      </c>
    </row>
    <row r="810" spans="1:17" ht="207.6" customHeight="1">
      <c r="A810" s="56" t="s">
        <v>820</v>
      </c>
      <c r="E810" s="72">
        <f>SUMIF(History1!B:B, A810, History1!C:C)</f>
        <v>0</v>
      </c>
      <c r="K810" s="72" t="s">
        <v>2935</v>
      </c>
      <c r="L810" s="57" t="s">
        <v>1821</v>
      </c>
      <c r="Q810" s="57" t="str">
        <f t="shared" si="12"/>
        <v>🔴 LOW</v>
      </c>
    </row>
    <row r="811" spans="1:17" ht="207.6" customHeight="1">
      <c r="A811" s="56" t="s">
        <v>821</v>
      </c>
      <c r="E811" s="72">
        <f>SUMIF(History1!B:B, A811, History1!C:C)</f>
        <v>0</v>
      </c>
      <c r="K811" s="72" t="s">
        <v>2936</v>
      </c>
      <c r="L811" s="57" t="s">
        <v>1822</v>
      </c>
      <c r="Q811" s="57" t="str">
        <f t="shared" si="12"/>
        <v>🔴 LOW</v>
      </c>
    </row>
    <row r="812" spans="1:17" ht="207.6" customHeight="1">
      <c r="A812" s="56" t="s">
        <v>822</v>
      </c>
      <c r="E812" s="72">
        <f>SUMIF(History1!B:B, A812, History1!C:C)</f>
        <v>0</v>
      </c>
      <c r="K812" s="72" t="s">
        <v>2937</v>
      </c>
      <c r="L812" s="57" t="s">
        <v>1823</v>
      </c>
      <c r="Q812" s="57" t="str">
        <f t="shared" si="12"/>
        <v>🔴 LOW</v>
      </c>
    </row>
    <row r="813" spans="1:17" ht="207.6" customHeight="1">
      <c r="A813" s="56" t="s">
        <v>823</v>
      </c>
      <c r="E813" s="72">
        <f>SUMIF(History1!B:B, A813, History1!C:C)</f>
        <v>0</v>
      </c>
      <c r="K813" s="72" t="s">
        <v>2938</v>
      </c>
      <c r="L813" s="57" t="s">
        <v>1824</v>
      </c>
      <c r="Q813" s="57" t="str">
        <f t="shared" si="12"/>
        <v>🔴 LOW</v>
      </c>
    </row>
    <row r="814" spans="1:17" ht="207.6" customHeight="1">
      <c r="A814" s="56" t="s">
        <v>824</v>
      </c>
      <c r="E814" s="72">
        <f>SUMIF(History1!B:B, A814, History1!C:C)</f>
        <v>0</v>
      </c>
      <c r="K814" s="72" t="s">
        <v>2939</v>
      </c>
      <c r="L814" s="57" t="s">
        <v>1825</v>
      </c>
      <c r="Q814" s="57" t="str">
        <f t="shared" si="12"/>
        <v>🔴 LOW</v>
      </c>
    </row>
    <row r="815" spans="1:17" ht="207.6" customHeight="1">
      <c r="A815" s="56" t="s">
        <v>825</v>
      </c>
      <c r="E815" s="72">
        <f>SUMIF(History1!B:B, A815, History1!C:C)</f>
        <v>0</v>
      </c>
      <c r="K815" s="72" t="s">
        <v>2940</v>
      </c>
      <c r="L815" s="57" t="s">
        <v>1826</v>
      </c>
      <c r="Q815" s="57" t="str">
        <f t="shared" si="12"/>
        <v>🔴 LOW</v>
      </c>
    </row>
    <row r="816" spans="1:17" ht="207.6" customHeight="1">
      <c r="A816" s="56" t="s">
        <v>826</v>
      </c>
      <c r="E816" s="72">
        <f>SUMIF(History1!B:B, A816, History1!C:C)</f>
        <v>0</v>
      </c>
      <c r="K816" s="72" t="s">
        <v>2941</v>
      </c>
      <c r="L816" s="57" t="s">
        <v>1827</v>
      </c>
      <c r="Q816" s="57" t="str">
        <f t="shared" si="12"/>
        <v>🔴 LOW</v>
      </c>
    </row>
    <row r="817" spans="1:17" ht="207.6" customHeight="1">
      <c r="A817" s="56" t="s">
        <v>827</v>
      </c>
      <c r="E817" s="72">
        <f>SUMIF(History1!B:B, A817, History1!C:C)</f>
        <v>0</v>
      </c>
      <c r="K817" s="72" t="s">
        <v>2942</v>
      </c>
      <c r="L817" s="57" t="s">
        <v>1828</v>
      </c>
      <c r="Q817" s="57" t="str">
        <f t="shared" si="12"/>
        <v>🔴 LOW</v>
      </c>
    </row>
    <row r="818" spans="1:17" ht="207.6" customHeight="1">
      <c r="A818" s="56" t="s">
        <v>828</v>
      </c>
      <c r="E818" s="72">
        <f>SUMIF(History1!B:B, A818, History1!C:C)</f>
        <v>0</v>
      </c>
      <c r="K818" s="72" t="s">
        <v>2943</v>
      </c>
      <c r="L818" s="57" t="s">
        <v>1829</v>
      </c>
      <c r="Q818" s="57" t="str">
        <f t="shared" si="12"/>
        <v>🔴 LOW</v>
      </c>
    </row>
    <row r="819" spans="1:17" ht="207.6" customHeight="1">
      <c r="A819" s="56" t="s">
        <v>829</v>
      </c>
      <c r="E819" s="72">
        <f>SUMIF(History1!B:B, A819, History1!C:C)</f>
        <v>0</v>
      </c>
      <c r="K819" s="72" t="s">
        <v>2944</v>
      </c>
      <c r="L819" s="57" t="s">
        <v>1830</v>
      </c>
      <c r="Q819" s="57" t="str">
        <f t="shared" si="12"/>
        <v>🔴 LOW</v>
      </c>
    </row>
    <row r="820" spans="1:17" ht="207.6" customHeight="1">
      <c r="A820" s="56" t="s">
        <v>830</v>
      </c>
      <c r="E820" s="72">
        <f>SUMIF(History1!B:B, A820, History1!C:C)</f>
        <v>0</v>
      </c>
      <c r="K820" s="72" t="s">
        <v>2945</v>
      </c>
      <c r="L820" s="57" t="s">
        <v>1831</v>
      </c>
      <c r="Q820" s="57" t="str">
        <f t="shared" si="12"/>
        <v>🔴 LOW</v>
      </c>
    </row>
    <row r="821" spans="1:17" ht="207.6" customHeight="1">
      <c r="A821" s="56" t="s">
        <v>831</v>
      </c>
      <c r="E821" s="72">
        <f>SUMIF(History1!B:B, A821, History1!C:C)</f>
        <v>0</v>
      </c>
      <c r="K821" s="72" t="s">
        <v>2946</v>
      </c>
      <c r="L821" s="57" t="s">
        <v>1832</v>
      </c>
      <c r="Q821" s="57" t="str">
        <f t="shared" si="12"/>
        <v>🔴 LOW</v>
      </c>
    </row>
    <row r="822" spans="1:17" ht="207.6" customHeight="1">
      <c r="A822" s="56" t="s">
        <v>832</v>
      </c>
      <c r="E822" s="72">
        <f>SUMIF(History1!B:B, A822, History1!C:C)</f>
        <v>0</v>
      </c>
      <c r="K822" s="72" t="s">
        <v>2947</v>
      </c>
      <c r="L822" s="57" t="s">
        <v>1833</v>
      </c>
      <c r="Q822" s="57" t="str">
        <f t="shared" si="12"/>
        <v>🔴 LOW</v>
      </c>
    </row>
    <row r="823" spans="1:17" ht="207.6" customHeight="1">
      <c r="A823" s="56" t="s">
        <v>833</v>
      </c>
      <c r="E823" s="72">
        <f>SUMIF(History1!B:B, A823, History1!C:C)</f>
        <v>0</v>
      </c>
      <c r="K823" s="72" t="s">
        <v>2948</v>
      </c>
      <c r="L823" s="57" t="s">
        <v>1834</v>
      </c>
      <c r="Q823" s="57" t="str">
        <f t="shared" si="12"/>
        <v>🔴 LOW</v>
      </c>
    </row>
    <row r="824" spans="1:17" ht="207.6" customHeight="1">
      <c r="A824" s="56" t="s">
        <v>834</v>
      </c>
      <c r="E824" s="72">
        <f>SUMIF(History1!B:B, A824, History1!C:C)</f>
        <v>0</v>
      </c>
      <c r="K824" s="72" t="s">
        <v>2949</v>
      </c>
      <c r="L824" s="57" t="s">
        <v>1835</v>
      </c>
      <c r="Q824" s="57" t="str">
        <f t="shared" si="12"/>
        <v>🔴 LOW</v>
      </c>
    </row>
    <row r="825" spans="1:17" ht="207.6" customHeight="1">
      <c r="A825" s="56" t="s">
        <v>835</v>
      </c>
      <c r="E825" s="72">
        <f>SUMIF(History1!B:B, A825, History1!C:C)</f>
        <v>0</v>
      </c>
      <c r="K825" s="72" t="s">
        <v>2950</v>
      </c>
      <c r="L825" s="57" t="s">
        <v>1836</v>
      </c>
      <c r="Q825" s="57" t="str">
        <f t="shared" si="12"/>
        <v>🔴 LOW</v>
      </c>
    </row>
    <row r="826" spans="1:17" ht="207.6" customHeight="1">
      <c r="A826" s="56" t="s">
        <v>836</v>
      </c>
      <c r="E826" s="72">
        <f>SUMIF(History1!B:B, A826, History1!C:C)</f>
        <v>0</v>
      </c>
      <c r="K826" s="72" t="s">
        <v>2951</v>
      </c>
      <c r="L826" s="57" t="s">
        <v>1837</v>
      </c>
      <c r="Q826" s="57" t="str">
        <f t="shared" si="12"/>
        <v>🔴 LOW</v>
      </c>
    </row>
    <row r="827" spans="1:17" ht="207.6" customHeight="1">
      <c r="A827" s="56" t="s">
        <v>837</v>
      </c>
      <c r="E827" s="72">
        <f>SUMIF(History1!B:B, A827, History1!C:C)</f>
        <v>0</v>
      </c>
      <c r="K827" s="72" t="s">
        <v>2952</v>
      </c>
      <c r="L827" s="57" t="s">
        <v>1838</v>
      </c>
      <c r="Q827" s="57" t="str">
        <f t="shared" si="12"/>
        <v>🔴 LOW</v>
      </c>
    </row>
    <row r="828" spans="1:17" ht="207.6" customHeight="1">
      <c r="A828" s="56" t="s">
        <v>838</v>
      </c>
      <c r="E828" s="72">
        <f>SUMIF(History1!B:B, A828, History1!C:C)</f>
        <v>0</v>
      </c>
      <c r="K828" s="72" t="s">
        <v>2953</v>
      </c>
      <c r="L828" s="57" t="s">
        <v>1839</v>
      </c>
      <c r="Q828" s="57" t="str">
        <f t="shared" si="12"/>
        <v>🔴 LOW</v>
      </c>
    </row>
    <row r="829" spans="1:17" ht="207.6" customHeight="1">
      <c r="A829" s="56" t="s">
        <v>839</v>
      </c>
      <c r="E829" s="72">
        <f>SUMIF(History1!B:B, A829, History1!C:C)</f>
        <v>0</v>
      </c>
      <c r="K829" s="72" t="s">
        <v>2954</v>
      </c>
      <c r="L829" s="57" t="s">
        <v>1840</v>
      </c>
      <c r="Q829" s="57" t="str">
        <f t="shared" si="12"/>
        <v>🔴 LOW</v>
      </c>
    </row>
    <row r="830" spans="1:17" ht="207.6" customHeight="1">
      <c r="A830" s="56" t="s">
        <v>840</v>
      </c>
      <c r="E830" s="72">
        <f>SUMIF(History1!B:B, A830, History1!C:C)</f>
        <v>0</v>
      </c>
      <c r="K830" s="72" t="s">
        <v>2955</v>
      </c>
      <c r="L830" s="57" t="s">
        <v>1841</v>
      </c>
      <c r="Q830" s="57" t="str">
        <f t="shared" si="12"/>
        <v>🔴 LOW</v>
      </c>
    </row>
    <row r="831" spans="1:17" ht="207.6" customHeight="1">
      <c r="A831" s="56" t="s">
        <v>841</v>
      </c>
      <c r="E831" s="72">
        <f>SUMIF(History1!B:B, A831, History1!C:C)</f>
        <v>0</v>
      </c>
      <c r="K831" s="72" t="s">
        <v>2956</v>
      </c>
      <c r="L831" s="57" t="s">
        <v>1842</v>
      </c>
      <c r="Q831" s="57" t="str">
        <f t="shared" si="12"/>
        <v>🔴 LOW</v>
      </c>
    </row>
    <row r="832" spans="1:17" ht="207.6" customHeight="1">
      <c r="A832" s="56" t="s">
        <v>842</v>
      </c>
      <c r="E832" s="72">
        <f>SUMIF(History1!B:B, A832, History1!C:C)</f>
        <v>0</v>
      </c>
      <c r="K832" s="72" t="s">
        <v>2957</v>
      </c>
      <c r="L832" s="57" t="s">
        <v>1843</v>
      </c>
      <c r="Q832" s="57" t="str">
        <f t="shared" si="12"/>
        <v>🔴 LOW</v>
      </c>
    </row>
    <row r="833" spans="1:17" ht="207.6" customHeight="1">
      <c r="A833" s="56" t="s">
        <v>843</v>
      </c>
      <c r="E833" s="72">
        <f>SUMIF(History1!B:B, A833, History1!C:C)</f>
        <v>0</v>
      </c>
      <c r="K833" s="72" t="s">
        <v>2958</v>
      </c>
      <c r="L833" s="57" t="s">
        <v>1844</v>
      </c>
      <c r="Q833" s="57" t="str">
        <f t="shared" si="12"/>
        <v>🔴 LOW</v>
      </c>
    </row>
    <row r="834" spans="1:17" ht="207.6" customHeight="1">
      <c r="A834" s="56" t="s">
        <v>844</v>
      </c>
      <c r="E834" s="72">
        <f>SUMIF(History1!B:B, A834, History1!C:C)</f>
        <v>0</v>
      </c>
      <c r="K834" s="72" t="s">
        <v>2959</v>
      </c>
      <c r="L834" s="57" t="s">
        <v>1845</v>
      </c>
      <c r="Q834" s="57" t="str">
        <f t="shared" si="12"/>
        <v>🔴 LOW</v>
      </c>
    </row>
    <row r="835" spans="1:17" ht="207.6" customHeight="1">
      <c r="A835" s="56" t="s">
        <v>845</v>
      </c>
      <c r="E835" s="72">
        <f>SUMIF(History1!B:B, A835, History1!C:C)</f>
        <v>0</v>
      </c>
      <c r="K835" s="72" t="s">
        <v>2960</v>
      </c>
      <c r="L835" s="57" t="s">
        <v>1846</v>
      </c>
      <c r="Q835" s="57" t="str">
        <f t="shared" ref="Q835:Q898" si="13">IF(E835&lt;=10,"🔴 LOW",IF(E835&lt;=50,"🟡 MEDIUM","🟢 GOOD"))</f>
        <v>🔴 LOW</v>
      </c>
    </row>
    <row r="836" spans="1:17" ht="207.6" customHeight="1">
      <c r="A836" s="56" t="s">
        <v>846</v>
      </c>
      <c r="E836" s="72">
        <f>SUMIF(History1!B:B, A836, History1!C:C)</f>
        <v>0</v>
      </c>
      <c r="K836" s="72" t="s">
        <v>2961</v>
      </c>
      <c r="L836" s="57" t="s">
        <v>1847</v>
      </c>
      <c r="Q836" s="57" t="str">
        <f t="shared" si="13"/>
        <v>🔴 LOW</v>
      </c>
    </row>
    <row r="837" spans="1:17" ht="207.6" customHeight="1">
      <c r="A837" s="56" t="s">
        <v>847</v>
      </c>
      <c r="E837" s="72">
        <f>SUMIF(History1!B:B, A837, History1!C:C)</f>
        <v>0</v>
      </c>
      <c r="K837" s="72" t="s">
        <v>2962</v>
      </c>
      <c r="L837" s="57" t="s">
        <v>1848</v>
      </c>
      <c r="Q837" s="57" t="str">
        <f t="shared" si="13"/>
        <v>🔴 LOW</v>
      </c>
    </row>
    <row r="838" spans="1:17" ht="207.6" customHeight="1">
      <c r="A838" s="56" t="s">
        <v>848</v>
      </c>
      <c r="E838" s="72">
        <f>SUMIF(History1!B:B, A838, History1!C:C)</f>
        <v>0</v>
      </c>
      <c r="K838" s="72" t="s">
        <v>2963</v>
      </c>
      <c r="L838" s="57" t="s">
        <v>1849</v>
      </c>
      <c r="Q838" s="57" t="str">
        <f t="shared" si="13"/>
        <v>🔴 LOW</v>
      </c>
    </row>
    <row r="839" spans="1:17" ht="207.6" customHeight="1">
      <c r="A839" s="56" t="s">
        <v>849</v>
      </c>
      <c r="E839" s="72">
        <f>SUMIF(History1!B:B, A839, History1!C:C)</f>
        <v>0</v>
      </c>
      <c r="K839" s="72" t="s">
        <v>2964</v>
      </c>
      <c r="L839" s="57" t="s">
        <v>1850</v>
      </c>
      <c r="Q839" s="57" t="str">
        <f t="shared" si="13"/>
        <v>🔴 LOW</v>
      </c>
    </row>
    <row r="840" spans="1:17" ht="207.6" customHeight="1">
      <c r="A840" s="56" t="s">
        <v>850</v>
      </c>
      <c r="E840" s="72">
        <f>SUMIF(History1!B:B, A840, History1!C:C)</f>
        <v>0</v>
      </c>
      <c r="K840" s="72" t="s">
        <v>2965</v>
      </c>
      <c r="L840" s="57" t="s">
        <v>1851</v>
      </c>
      <c r="Q840" s="57" t="str">
        <f t="shared" si="13"/>
        <v>🔴 LOW</v>
      </c>
    </row>
    <row r="841" spans="1:17" ht="207.6" customHeight="1">
      <c r="A841" s="56" t="s">
        <v>851</v>
      </c>
      <c r="E841" s="72">
        <f>SUMIF(History1!B:B, A841, History1!C:C)</f>
        <v>0</v>
      </c>
      <c r="K841" s="72" t="s">
        <v>2966</v>
      </c>
      <c r="L841" s="57" t="s">
        <v>1852</v>
      </c>
      <c r="Q841" s="57" t="str">
        <f t="shared" si="13"/>
        <v>🔴 LOW</v>
      </c>
    </row>
    <row r="842" spans="1:17" ht="207.6" customHeight="1">
      <c r="A842" s="56" t="s">
        <v>852</v>
      </c>
      <c r="E842" s="72">
        <f>SUMIF(History1!B:B, A842, History1!C:C)</f>
        <v>0</v>
      </c>
      <c r="K842" s="72" t="s">
        <v>2967</v>
      </c>
      <c r="L842" s="57" t="s">
        <v>1853</v>
      </c>
      <c r="Q842" s="57" t="str">
        <f t="shared" si="13"/>
        <v>🔴 LOW</v>
      </c>
    </row>
    <row r="843" spans="1:17" ht="207.6" customHeight="1">
      <c r="A843" s="56" t="s">
        <v>853</v>
      </c>
      <c r="E843" s="72">
        <f>SUMIF(History1!B:B, A843, History1!C:C)</f>
        <v>0</v>
      </c>
      <c r="K843" s="72" t="s">
        <v>2968</v>
      </c>
      <c r="L843" s="57" t="s">
        <v>1854</v>
      </c>
      <c r="Q843" s="57" t="str">
        <f t="shared" si="13"/>
        <v>🔴 LOW</v>
      </c>
    </row>
    <row r="844" spans="1:17" ht="207.6" customHeight="1">
      <c r="A844" s="56" t="s">
        <v>854</v>
      </c>
      <c r="E844" s="72">
        <f>SUMIF(History1!B:B, A844, History1!C:C)</f>
        <v>0</v>
      </c>
      <c r="K844" s="72" t="s">
        <v>2969</v>
      </c>
      <c r="L844" s="57" t="s">
        <v>1855</v>
      </c>
      <c r="Q844" s="57" t="str">
        <f t="shared" si="13"/>
        <v>🔴 LOW</v>
      </c>
    </row>
    <row r="845" spans="1:17" ht="207.6" customHeight="1">
      <c r="A845" s="56" t="s">
        <v>855</v>
      </c>
      <c r="E845" s="72">
        <f>SUMIF(History1!B:B, A845, History1!C:C)</f>
        <v>0</v>
      </c>
      <c r="K845" s="72" t="s">
        <v>2970</v>
      </c>
      <c r="L845" s="57" t="s">
        <v>1856</v>
      </c>
      <c r="Q845" s="57" t="str">
        <f t="shared" si="13"/>
        <v>🔴 LOW</v>
      </c>
    </row>
    <row r="846" spans="1:17" ht="207.6" customHeight="1">
      <c r="A846" s="56" t="s">
        <v>856</v>
      </c>
      <c r="E846" s="72">
        <f>SUMIF(History1!B:B, A846, History1!C:C)</f>
        <v>0</v>
      </c>
      <c r="K846" s="72" t="s">
        <v>2971</v>
      </c>
      <c r="L846" s="57" t="s">
        <v>1857</v>
      </c>
      <c r="Q846" s="57" t="str">
        <f t="shared" si="13"/>
        <v>🔴 LOW</v>
      </c>
    </row>
    <row r="847" spans="1:17" ht="207.6" customHeight="1">
      <c r="A847" s="56" t="s">
        <v>857</v>
      </c>
      <c r="E847" s="72">
        <f>SUMIF(History1!B:B, A847, History1!C:C)</f>
        <v>0</v>
      </c>
      <c r="K847" s="72" t="s">
        <v>2972</v>
      </c>
      <c r="L847" s="57" t="s">
        <v>1858</v>
      </c>
      <c r="Q847" s="57" t="str">
        <f t="shared" si="13"/>
        <v>🔴 LOW</v>
      </c>
    </row>
    <row r="848" spans="1:17" ht="207.6" customHeight="1">
      <c r="A848" s="56" t="s">
        <v>858</v>
      </c>
      <c r="E848" s="72">
        <f>SUMIF(History1!B:B, A848, History1!C:C)</f>
        <v>0</v>
      </c>
      <c r="K848" s="72" t="s">
        <v>2973</v>
      </c>
      <c r="L848" s="57" t="s">
        <v>1859</v>
      </c>
      <c r="Q848" s="57" t="str">
        <f t="shared" si="13"/>
        <v>🔴 LOW</v>
      </c>
    </row>
    <row r="849" spans="1:17" ht="207.6" customHeight="1">
      <c r="A849" s="56" t="s">
        <v>859</v>
      </c>
      <c r="E849" s="72">
        <f>SUMIF(History1!B:B, A849, History1!C:C)</f>
        <v>0</v>
      </c>
      <c r="K849" s="72" t="s">
        <v>2974</v>
      </c>
      <c r="L849" s="57" t="s">
        <v>1860</v>
      </c>
      <c r="Q849" s="57" t="str">
        <f t="shared" si="13"/>
        <v>🔴 LOW</v>
      </c>
    </row>
    <row r="850" spans="1:17" ht="207.6" customHeight="1">
      <c r="A850" s="56" t="s">
        <v>860</v>
      </c>
      <c r="E850" s="72">
        <f>SUMIF(History1!B:B, A850, History1!C:C)</f>
        <v>0</v>
      </c>
      <c r="K850" s="72" t="s">
        <v>2975</v>
      </c>
      <c r="L850" s="57" t="s">
        <v>1861</v>
      </c>
      <c r="Q850" s="57" t="str">
        <f t="shared" si="13"/>
        <v>🔴 LOW</v>
      </c>
    </row>
    <row r="851" spans="1:17" ht="207.6" customHeight="1">
      <c r="A851" s="56" t="s">
        <v>861</v>
      </c>
      <c r="E851" s="72">
        <f>SUMIF(History1!B:B, A851, History1!C:C)</f>
        <v>0</v>
      </c>
      <c r="K851" s="72" t="s">
        <v>2976</v>
      </c>
      <c r="L851" s="57" t="s">
        <v>1862</v>
      </c>
      <c r="Q851" s="57" t="str">
        <f t="shared" si="13"/>
        <v>🔴 LOW</v>
      </c>
    </row>
    <row r="852" spans="1:17" ht="207.6" customHeight="1">
      <c r="A852" s="56" t="s">
        <v>862</v>
      </c>
      <c r="E852" s="72">
        <f>SUMIF(History1!B:B, A852, History1!C:C)</f>
        <v>0</v>
      </c>
      <c r="K852" s="72" t="s">
        <v>2977</v>
      </c>
      <c r="L852" s="57" t="s">
        <v>1863</v>
      </c>
      <c r="Q852" s="57" t="str">
        <f t="shared" si="13"/>
        <v>🔴 LOW</v>
      </c>
    </row>
    <row r="853" spans="1:17" ht="207.6" customHeight="1">
      <c r="A853" s="56" t="s">
        <v>863</v>
      </c>
      <c r="E853" s="72">
        <f>SUMIF(History1!B:B, A853, History1!C:C)</f>
        <v>0</v>
      </c>
      <c r="K853" s="72" t="s">
        <v>2978</v>
      </c>
      <c r="L853" s="57" t="s">
        <v>1864</v>
      </c>
      <c r="Q853" s="57" t="str">
        <f t="shared" si="13"/>
        <v>🔴 LOW</v>
      </c>
    </row>
    <row r="854" spans="1:17" ht="207.6" customHeight="1">
      <c r="A854" s="56" t="s">
        <v>864</v>
      </c>
      <c r="E854" s="72">
        <f>SUMIF(History1!B:B, A854, History1!C:C)</f>
        <v>0</v>
      </c>
      <c r="K854" s="72" t="s">
        <v>2979</v>
      </c>
      <c r="L854" s="57" t="s">
        <v>1865</v>
      </c>
      <c r="Q854" s="57" t="str">
        <f t="shared" si="13"/>
        <v>🔴 LOW</v>
      </c>
    </row>
    <row r="855" spans="1:17" ht="207.6" customHeight="1">
      <c r="A855" s="56" t="s">
        <v>865</v>
      </c>
      <c r="E855" s="72">
        <f>SUMIF(History1!B:B, A855, History1!C:C)</f>
        <v>0</v>
      </c>
      <c r="K855" s="72" t="s">
        <v>2980</v>
      </c>
      <c r="L855" s="57" t="s">
        <v>1866</v>
      </c>
      <c r="Q855" s="57" t="str">
        <f t="shared" si="13"/>
        <v>🔴 LOW</v>
      </c>
    </row>
    <row r="856" spans="1:17" ht="207.6" customHeight="1">
      <c r="A856" s="56" t="s">
        <v>866</v>
      </c>
      <c r="E856" s="72">
        <f>SUMIF(History1!B:B, A856, History1!C:C)</f>
        <v>0</v>
      </c>
      <c r="K856" s="72" t="s">
        <v>2981</v>
      </c>
      <c r="L856" s="57" t="s">
        <v>1867</v>
      </c>
      <c r="Q856" s="57" t="str">
        <f t="shared" si="13"/>
        <v>🔴 LOW</v>
      </c>
    </row>
    <row r="857" spans="1:17" ht="207.6" customHeight="1">
      <c r="A857" s="56" t="s">
        <v>867</v>
      </c>
      <c r="E857" s="72">
        <f>SUMIF(History1!B:B, A857, History1!C:C)</f>
        <v>0</v>
      </c>
      <c r="K857" s="72" t="s">
        <v>2982</v>
      </c>
      <c r="L857" s="57" t="s">
        <v>1868</v>
      </c>
      <c r="Q857" s="57" t="str">
        <f t="shared" si="13"/>
        <v>🔴 LOW</v>
      </c>
    </row>
    <row r="858" spans="1:17" ht="207.6" customHeight="1">
      <c r="A858" s="56" t="s">
        <v>868</v>
      </c>
      <c r="E858" s="72">
        <f>SUMIF(History1!B:B, A858, History1!C:C)</f>
        <v>0</v>
      </c>
      <c r="K858" s="72" t="s">
        <v>2983</v>
      </c>
      <c r="L858" s="57" t="s">
        <v>1869</v>
      </c>
      <c r="Q858" s="57" t="str">
        <f t="shared" si="13"/>
        <v>🔴 LOW</v>
      </c>
    </row>
    <row r="859" spans="1:17" ht="207.6" customHeight="1">
      <c r="A859" s="56" t="s">
        <v>869</v>
      </c>
      <c r="E859" s="72">
        <f>SUMIF(History1!B:B, A859, History1!C:C)</f>
        <v>0</v>
      </c>
      <c r="K859" s="72" t="s">
        <v>2984</v>
      </c>
      <c r="L859" s="57" t="s">
        <v>1870</v>
      </c>
      <c r="Q859" s="57" t="str">
        <f t="shared" si="13"/>
        <v>🔴 LOW</v>
      </c>
    </row>
    <row r="860" spans="1:17" ht="207.6" customHeight="1">
      <c r="A860" s="56" t="s">
        <v>870</v>
      </c>
      <c r="E860" s="72">
        <f>SUMIF(History1!B:B, A860, History1!C:C)</f>
        <v>0</v>
      </c>
      <c r="K860" s="72" t="s">
        <v>2985</v>
      </c>
      <c r="L860" s="57" t="s">
        <v>1871</v>
      </c>
      <c r="Q860" s="57" t="str">
        <f t="shared" si="13"/>
        <v>🔴 LOW</v>
      </c>
    </row>
    <row r="861" spans="1:17" ht="207.6" customHeight="1">
      <c r="A861" s="56" t="s">
        <v>871</v>
      </c>
      <c r="E861" s="72">
        <f>SUMIF(History1!B:B, A861, History1!C:C)</f>
        <v>0</v>
      </c>
      <c r="K861" s="72" t="s">
        <v>2986</v>
      </c>
      <c r="L861" s="57" t="s">
        <v>1872</v>
      </c>
      <c r="Q861" s="57" t="str">
        <f t="shared" si="13"/>
        <v>🔴 LOW</v>
      </c>
    </row>
    <row r="862" spans="1:17" ht="207.6" customHeight="1">
      <c r="A862" s="56" t="s">
        <v>872</v>
      </c>
      <c r="E862" s="72">
        <f>SUMIF(History1!B:B, A862, History1!C:C)</f>
        <v>0</v>
      </c>
      <c r="K862" s="72" t="s">
        <v>2987</v>
      </c>
      <c r="L862" s="57" t="s">
        <v>1873</v>
      </c>
      <c r="Q862" s="57" t="str">
        <f t="shared" si="13"/>
        <v>🔴 LOW</v>
      </c>
    </row>
    <row r="863" spans="1:17" ht="207.6" customHeight="1">
      <c r="A863" s="56" t="s">
        <v>873</v>
      </c>
      <c r="E863" s="72">
        <f>SUMIF(History1!B:B, A863, History1!C:C)</f>
        <v>0</v>
      </c>
      <c r="K863" s="72" t="s">
        <v>2988</v>
      </c>
      <c r="L863" s="57" t="s">
        <v>1874</v>
      </c>
      <c r="Q863" s="57" t="str">
        <f t="shared" si="13"/>
        <v>🔴 LOW</v>
      </c>
    </row>
    <row r="864" spans="1:17" ht="207.6" customHeight="1">
      <c r="A864" s="56" t="s">
        <v>874</v>
      </c>
      <c r="E864" s="72">
        <f>SUMIF(History1!B:B, A864, History1!C:C)</f>
        <v>0</v>
      </c>
      <c r="K864" s="72" t="s">
        <v>2989</v>
      </c>
      <c r="L864" s="57" t="s">
        <v>1875</v>
      </c>
      <c r="Q864" s="57" t="str">
        <f t="shared" si="13"/>
        <v>🔴 LOW</v>
      </c>
    </row>
    <row r="865" spans="1:17" ht="207.6" customHeight="1">
      <c r="A865" s="56" t="s">
        <v>875</v>
      </c>
      <c r="E865" s="72">
        <f>SUMIF(History1!B:B, A865, History1!C:C)</f>
        <v>0</v>
      </c>
      <c r="K865" s="72" t="s">
        <v>2990</v>
      </c>
      <c r="L865" s="57" t="s">
        <v>1876</v>
      </c>
      <c r="Q865" s="57" t="str">
        <f t="shared" si="13"/>
        <v>🔴 LOW</v>
      </c>
    </row>
    <row r="866" spans="1:17" ht="207.6" customHeight="1">
      <c r="A866" s="56" t="s">
        <v>876</v>
      </c>
      <c r="E866" s="72">
        <f>SUMIF(History1!B:B, A866, History1!C:C)</f>
        <v>0</v>
      </c>
      <c r="K866" s="72" t="s">
        <v>2991</v>
      </c>
      <c r="L866" s="57" t="s">
        <v>1877</v>
      </c>
      <c r="Q866" s="57" t="str">
        <f t="shared" si="13"/>
        <v>🔴 LOW</v>
      </c>
    </row>
    <row r="867" spans="1:17" ht="207.6" customHeight="1">
      <c r="A867" s="56" t="s">
        <v>877</v>
      </c>
      <c r="E867" s="72">
        <f>SUMIF(History1!B:B, A867, History1!C:C)</f>
        <v>0</v>
      </c>
      <c r="K867" s="72" t="s">
        <v>2992</v>
      </c>
      <c r="L867" s="57" t="s">
        <v>1878</v>
      </c>
      <c r="Q867" s="57" t="str">
        <f t="shared" si="13"/>
        <v>🔴 LOW</v>
      </c>
    </row>
    <row r="868" spans="1:17" ht="207.6" customHeight="1">
      <c r="A868" s="56" t="s">
        <v>878</v>
      </c>
      <c r="E868" s="72">
        <f>SUMIF(History1!B:B, A868, History1!C:C)</f>
        <v>0</v>
      </c>
      <c r="K868" s="72" t="s">
        <v>2993</v>
      </c>
      <c r="L868" s="57" t="s">
        <v>1879</v>
      </c>
      <c r="Q868" s="57" t="str">
        <f t="shared" si="13"/>
        <v>🔴 LOW</v>
      </c>
    </row>
    <row r="869" spans="1:17" ht="207.6" customHeight="1">
      <c r="A869" s="56" t="s">
        <v>879</v>
      </c>
      <c r="E869" s="72">
        <f>SUMIF(History1!B:B, A869, History1!C:C)</f>
        <v>0</v>
      </c>
      <c r="K869" s="72" t="s">
        <v>2994</v>
      </c>
      <c r="L869" s="57" t="s">
        <v>1880</v>
      </c>
      <c r="Q869" s="57" t="str">
        <f t="shared" si="13"/>
        <v>🔴 LOW</v>
      </c>
    </row>
    <row r="870" spans="1:17" ht="207.6" customHeight="1">
      <c r="A870" s="56" t="s">
        <v>880</v>
      </c>
      <c r="E870" s="72">
        <f>SUMIF(History1!B:B, A870, History1!C:C)</f>
        <v>0</v>
      </c>
      <c r="K870" s="72" t="s">
        <v>2995</v>
      </c>
      <c r="L870" s="57" t="s">
        <v>1881</v>
      </c>
      <c r="Q870" s="57" t="str">
        <f t="shared" si="13"/>
        <v>🔴 LOW</v>
      </c>
    </row>
    <row r="871" spans="1:17" ht="207.6" customHeight="1">
      <c r="A871" s="56" t="s">
        <v>881</v>
      </c>
      <c r="E871" s="72">
        <f>SUMIF(History1!B:B, A871, History1!C:C)</f>
        <v>0</v>
      </c>
      <c r="K871" s="72" t="s">
        <v>2996</v>
      </c>
      <c r="L871" s="57" t="s">
        <v>1882</v>
      </c>
      <c r="Q871" s="57" t="str">
        <f t="shared" si="13"/>
        <v>🔴 LOW</v>
      </c>
    </row>
    <row r="872" spans="1:17" ht="207.6" customHeight="1">
      <c r="A872" s="56" t="s">
        <v>882</v>
      </c>
      <c r="E872" s="72">
        <f>SUMIF(History1!B:B, A872, History1!C:C)</f>
        <v>0</v>
      </c>
      <c r="K872" s="72" t="s">
        <v>2997</v>
      </c>
      <c r="L872" s="57" t="s">
        <v>1883</v>
      </c>
      <c r="Q872" s="57" t="str">
        <f t="shared" si="13"/>
        <v>🔴 LOW</v>
      </c>
    </row>
    <row r="873" spans="1:17" ht="207.6" customHeight="1">
      <c r="A873" s="56" t="s">
        <v>883</v>
      </c>
      <c r="E873" s="72">
        <f>SUMIF(History1!B:B, A873, History1!C:C)</f>
        <v>0</v>
      </c>
      <c r="K873" s="72" t="s">
        <v>2998</v>
      </c>
      <c r="L873" s="57" t="s">
        <v>1884</v>
      </c>
      <c r="Q873" s="57" t="str">
        <f t="shared" si="13"/>
        <v>🔴 LOW</v>
      </c>
    </row>
    <row r="874" spans="1:17" ht="207.6" customHeight="1">
      <c r="A874" s="56" t="s">
        <v>884</v>
      </c>
      <c r="E874" s="72">
        <f>SUMIF(History1!B:B, A874, History1!C:C)</f>
        <v>0</v>
      </c>
      <c r="K874" s="72" t="s">
        <v>2999</v>
      </c>
      <c r="L874" s="57" t="s">
        <v>1885</v>
      </c>
      <c r="Q874" s="57" t="str">
        <f t="shared" si="13"/>
        <v>🔴 LOW</v>
      </c>
    </row>
    <row r="875" spans="1:17" ht="207.6" customHeight="1">
      <c r="A875" s="56" t="s">
        <v>885</v>
      </c>
      <c r="E875" s="72">
        <f>SUMIF(History1!B:B, A875, History1!C:C)</f>
        <v>0</v>
      </c>
      <c r="K875" s="72" t="s">
        <v>3000</v>
      </c>
      <c r="L875" s="57" t="s">
        <v>1886</v>
      </c>
      <c r="Q875" s="57" t="str">
        <f t="shared" si="13"/>
        <v>🔴 LOW</v>
      </c>
    </row>
    <row r="876" spans="1:17" ht="207.6" customHeight="1">
      <c r="A876" s="56" t="s">
        <v>886</v>
      </c>
      <c r="E876" s="72">
        <f>SUMIF(History1!B:B, A876, History1!C:C)</f>
        <v>0</v>
      </c>
      <c r="K876" s="72" t="s">
        <v>3001</v>
      </c>
      <c r="L876" s="57" t="s">
        <v>1887</v>
      </c>
      <c r="Q876" s="57" t="str">
        <f t="shared" si="13"/>
        <v>🔴 LOW</v>
      </c>
    </row>
    <row r="877" spans="1:17" ht="207.6" customHeight="1">
      <c r="A877" s="56" t="s">
        <v>887</v>
      </c>
      <c r="E877" s="72">
        <f>SUMIF(History1!B:B, A877, History1!C:C)</f>
        <v>0</v>
      </c>
      <c r="K877" s="72" t="s">
        <v>3002</v>
      </c>
      <c r="L877" s="57" t="s">
        <v>1888</v>
      </c>
      <c r="Q877" s="57" t="str">
        <f t="shared" si="13"/>
        <v>🔴 LOW</v>
      </c>
    </row>
    <row r="878" spans="1:17" ht="207.6" customHeight="1">
      <c r="A878" s="56" t="s">
        <v>888</v>
      </c>
      <c r="E878" s="72">
        <f>SUMIF(History1!B:B, A878, History1!C:C)</f>
        <v>0</v>
      </c>
      <c r="K878" s="72" t="s">
        <v>3003</v>
      </c>
      <c r="L878" s="57" t="s">
        <v>1889</v>
      </c>
      <c r="Q878" s="57" t="str">
        <f t="shared" si="13"/>
        <v>🔴 LOW</v>
      </c>
    </row>
    <row r="879" spans="1:17" ht="207.6" customHeight="1">
      <c r="A879" s="56" t="s">
        <v>889</v>
      </c>
      <c r="E879" s="72">
        <f>SUMIF(History1!B:B, A879, History1!C:C)</f>
        <v>0</v>
      </c>
      <c r="K879" s="72" t="s">
        <v>3004</v>
      </c>
      <c r="L879" s="57" t="s">
        <v>1890</v>
      </c>
      <c r="Q879" s="57" t="str">
        <f t="shared" si="13"/>
        <v>🔴 LOW</v>
      </c>
    </row>
    <row r="880" spans="1:17" ht="207.6" customHeight="1">
      <c r="A880" s="56" t="s">
        <v>890</v>
      </c>
      <c r="E880" s="72">
        <f>SUMIF(History1!B:B, A880, History1!C:C)</f>
        <v>0</v>
      </c>
      <c r="K880" s="72" t="s">
        <v>3005</v>
      </c>
      <c r="L880" s="57" t="s">
        <v>1891</v>
      </c>
      <c r="Q880" s="57" t="str">
        <f t="shared" si="13"/>
        <v>🔴 LOW</v>
      </c>
    </row>
    <row r="881" spans="1:17" ht="207.6" customHeight="1">
      <c r="A881" s="56" t="s">
        <v>891</v>
      </c>
      <c r="E881" s="72">
        <f>SUMIF(History1!B:B, A881, History1!C:C)</f>
        <v>0</v>
      </c>
      <c r="K881" s="72" t="s">
        <v>3006</v>
      </c>
      <c r="L881" s="57" t="s">
        <v>1892</v>
      </c>
      <c r="Q881" s="57" t="str">
        <f t="shared" si="13"/>
        <v>🔴 LOW</v>
      </c>
    </row>
    <row r="882" spans="1:17" ht="207.6" customHeight="1">
      <c r="A882" s="56" t="s">
        <v>892</v>
      </c>
      <c r="E882" s="72">
        <f>SUMIF(History1!B:B, A882, History1!C:C)</f>
        <v>0</v>
      </c>
      <c r="K882" s="72" t="s">
        <v>3007</v>
      </c>
      <c r="L882" s="57" t="s">
        <v>1893</v>
      </c>
      <c r="Q882" s="57" t="str">
        <f t="shared" si="13"/>
        <v>🔴 LOW</v>
      </c>
    </row>
    <row r="883" spans="1:17" ht="207.6" customHeight="1">
      <c r="A883" s="56" t="s">
        <v>893</v>
      </c>
      <c r="E883" s="72">
        <f>SUMIF(History1!B:B, A883, History1!C:C)</f>
        <v>0</v>
      </c>
      <c r="K883" s="72" t="s">
        <v>3008</v>
      </c>
      <c r="L883" s="57" t="s">
        <v>1894</v>
      </c>
      <c r="Q883" s="57" t="str">
        <f t="shared" si="13"/>
        <v>🔴 LOW</v>
      </c>
    </row>
    <row r="884" spans="1:17" ht="207.6" customHeight="1">
      <c r="A884" s="56" t="s">
        <v>894</v>
      </c>
      <c r="E884" s="72">
        <f>SUMIF(History1!B:B, A884, History1!C:C)</f>
        <v>0</v>
      </c>
      <c r="K884" s="72" t="s">
        <v>3009</v>
      </c>
      <c r="L884" s="57" t="s">
        <v>1895</v>
      </c>
      <c r="Q884" s="57" t="str">
        <f t="shared" si="13"/>
        <v>🔴 LOW</v>
      </c>
    </row>
    <row r="885" spans="1:17" ht="207.6" customHeight="1">
      <c r="A885" s="56" t="s">
        <v>895</v>
      </c>
      <c r="E885" s="72">
        <f>SUMIF(History1!B:B, A885, History1!C:C)</f>
        <v>0</v>
      </c>
      <c r="K885" s="72" t="s">
        <v>3010</v>
      </c>
      <c r="L885" s="57" t="s">
        <v>1896</v>
      </c>
      <c r="Q885" s="57" t="str">
        <f t="shared" si="13"/>
        <v>🔴 LOW</v>
      </c>
    </row>
    <row r="886" spans="1:17" ht="207.6" customHeight="1">
      <c r="A886" s="56" t="s">
        <v>896</v>
      </c>
      <c r="E886" s="72">
        <f>SUMIF(History1!B:B, A886, History1!C:C)</f>
        <v>0</v>
      </c>
      <c r="K886" s="72" t="s">
        <v>3011</v>
      </c>
      <c r="L886" s="57" t="s">
        <v>1897</v>
      </c>
      <c r="Q886" s="57" t="str">
        <f t="shared" si="13"/>
        <v>🔴 LOW</v>
      </c>
    </row>
    <row r="887" spans="1:17" ht="207.6" customHeight="1">
      <c r="A887" s="56" t="s">
        <v>897</v>
      </c>
      <c r="E887" s="72">
        <f>SUMIF(History1!B:B, A887, History1!C:C)</f>
        <v>0</v>
      </c>
      <c r="K887" s="72" t="s">
        <v>3012</v>
      </c>
      <c r="L887" s="57" t="s">
        <v>1898</v>
      </c>
      <c r="Q887" s="57" t="str">
        <f t="shared" si="13"/>
        <v>🔴 LOW</v>
      </c>
    </row>
    <row r="888" spans="1:17" ht="207.6" customHeight="1">
      <c r="A888" s="56" t="s">
        <v>898</v>
      </c>
      <c r="E888" s="72">
        <f>SUMIF(History1!B:B, A888, History1!C:C)</f>
        <v>0</v>
      </c>
      <c r="K888" s="72" t="s">
        <v>3013</v>
      </c>
      <c r="L888" s="57" t="s">
        <v>1899</v>
      </c>
      <c r="Q888" s="57" t="str">
        <f t="shared" si="13"/>
        <v>🔴 LOW</v>
      </c>
    </row>
    <row r="889" spans="1:17" ht="207.6" customHeight="1">
      <c r="A889" s="56" t="s">
        <v>899</v>
      </c>
      <c r="E889" s="72">
        <f>SUMIF(History1!B:B, A889, History1!C:C)</f>
        <v>0</v>
      </c>
      <c r="K889" s="72" t="s">
        <v>3014</v>
      </c>
      <c r="L889" s="57" t="s">
        <v>1900</v>
      </c>
      <c r="Q889" s="57" t="str">
        <f t="shared" si="13"/>
        <v>🔴 LOW</v>
      </c>
    </row>
    <row r="890" spans="1:17" ht="207.6" customHeight="1">
      <c r="A890" s="56" t="s">
        <v>900</v>
      </c>
      <c r="E890" s="72">
        <f>SUMIF(History1!B:B, A890, History1!C:C)</f>
        <v>0</v>
      </c>
      <c r="K890" s="72" t="s">
        <v>3015</v>
      </c>
      <c r="L890" s="57" t="s">
        <v>1901</v>
      </c>
      <c r="Q890" s="57" t="str">
        <f t="shared" si="13"/>
        <v>🔴 LOW</v>
      </c>
    </row>
    <row r="891" spans="1:17" ht="207.6" customHeight="1">
      <c r="A891" s="56" t="s">
        <v>901</v>
      </c>
      <c r="E891" s="72">
        <f>SUMIF(History1!B:B, A891, History1!C:C)</f>
        <v>0</v>
      </c>
      <c r="K891" s="72" t="s">
        <v>3016</v>
      </c>
      <c r="L891" s="57" t="s">
        <v>1902</v>
      </c>
      <c r="Q891" s="57" t="str">
        <f t="shared" si="13"/>
        <v>🔴 LOW</v>
      </c>
    </row>
    <row r="892" spans="1:17" ht="207.6" customHeight="1">
      <c r="A892" s="56" t="s">
        <v>902</v>
      </c>
      <c r="E892" s="72">
        <f>SUMIF(History1!B:B, A892, History1!C:C)</f>
        <v>0</v>
      </c>
      <c r="K892" s="72" t="s">
        <v>3017</v>
      </c>
      <c r="L892" s="57" t="s">
        <v>1903</v>
      </c>
      <c r="Q892" s="57" t="str">
        <f t="shared" si="13"/>
        <v>🔴 LOW</v>
      </c>
    </row>
    <row r="893" spans="1:17" ht="207.6" customHeight="1">
      <c r="A893" s="56" t="s">
        <v>903</v>
      </c>
      <c r="E893" s="72">
        <f>SUMIF(History1!B:B, A893, History1!C:C)</f>
        <v>0</v>
      </c>
      <c r="K893" s="72" t="s">
        <v>3018</v>
      </c>
      <c r="L893" s="57" t="s">
        <v>1904</v>
      </c>
      <c r="Q893" s="57" t="str">
        <f t="shared" si="13"/>
        <v>🔴 LOW</v>
      </c>
    </row>
    <row r="894" spans="1:17" ht="207.6" customHeight="1">
      <c r="A894" s="56" t="s">
        <v>904</v>
      </c>
      <c r="E894" s="72">
        <f>SUMIF(History1!B:B, A894, History1!C:C)</f>
        <v>0</v>
      </c>
      <c r="K894" s="72" t="s">
        <v>3019</v>
      </c>
      <c r="L894" s="57" t="s">
        <v>1905</v>
      </c>
      <c r="Q894" s="57" t="str">
        <f t="shared" si="13"/>
        <v>🔴 LOW</v>
      </c>
    </row>
    <row r="895" spans="1:17" ht="207.6" customHeight="1">
      <c r="A895" s="56" t="s">
        <v>905</v>
      </c>
      <c r="E895" s="72">
        <f>SUMIF(History1!B:B, A895, History1!C:C)</f>
        <v>0</v>
      </c>
      <c r="K895" s="72" t="s">
        <v>3020</v>
      </c>
      <c r="L895" s="57" t="s">
        <v>1906</v>
      </c>
      <c r="Q895" s="57" t="str">
        <f t="shared" si="13"/>
        <v>🔴 LOW</v>
      </c>
    </row>
    <row r="896" spans="1:17" ht="207.6" customHeight="1">
      <c r="A896" s="56" t="s">
        <v>906</v>
      </c>
      <c r="E896" s="72">
        <f>SUMIF(History1!B:B, A896, History1!C:C)</f>
        <v>0</v>
      </c>
      <c r="K896" s="72" t="s">
        <v>3021</v>
      </c>
      <c r="L896" s="57" t="s">
        <v>1907</v>
      </c>
      <c r="Q896" s="57" t="str">
        <f t="shared" si="13"/>
        <v>🔴 LOW</v>
      </c>
    </row>
    <row r="897" spans="1:17" ht="207.6" customHeight="1">
      <c r="A897" s="56" t="s">
        <v>907</v>
      </c>
      <c r="E897" s="72">
        <f>SUMIF(History1!B:B, A897, History1!C:C)</f>
        <v>0</v>
      </c>
      <c r="K897" s="72" t="s">
        <v>3022</v>
      </c>
      <c r="L897" s="57" t="s">
        <v>1908</v>
      </c>
      <c r="Q897" s="57" t="str">
        <f t="shared" si="13"/>
        <v>🔴 LOW</v>
      </c>
    </row>
    <row r="898" spans="1:17" ht="207.6" customHeight="1">
      <c r="A898" s="56" t="s">
        <v>908</v>
      </c>
      <c r="E898" s="72">
        <f>SUMIF(History1!B:B, A898, History1!C:C)</f>
        <v>0</v>
      </c>
      <c r="K898" s="72" t="s">
        <v>3023</v>
      </c>
      <c r="L898" s="57" t="s">
        <v>1909</v>
      </c>
      <c r="Q898" s="57" t="str">
        <f t="shared" si="13"/>
        <v>🔴 LOW</v>
      </c>
    </row>
    <row r="899" spans="1:17" ht="207.6" customHeight="1">
      <c r="A899" s="56" t="s">
        <v>909</v>
      </c>
      <c r="E899" s="72">
        <f>SUMIF(History1!B:B, A899, History1!C:C)</f>
        <v>0</v>
      </c>
      <c r="K899" s="72" t="s">
        <v>3024</v>
      </c>
      <c r="L899" s="57" t="s">
        <v>1910</v>
      </c>
      <c r="Q899" s="57" t="str">
        <f t="shared" ref="Q899:Q962" si="14">IF(E899&lt;=10,"🔴 LOW",IF(E899&lt;=50,"🟡 MEDIUM","🟢 GOOD"))</f>
        <v>🔴 LOW</v>
      </c>
    </row>
    <row r="900" spans="1:17" ht="207.6" customHeight="1">
      <c r="A900" s="56" t="s">
        <v>910</v>
      </c>
      <c r="E900" s="72">
        <f>SUMIF(History1!B:B, A900, History1!C:C)</f>
        <v>0</v>
      </c>
      <c r="K900" s="72" t="s">
        <v>3025</v>
      </c>
      <c r="L900" s="57" t="s">
        <v>1911</v>
      </c>
      <c r="Q900" s="57" t="str">
        <f t="shared" si="14"/>
        <v>🔴 LOW</v>
      </c>
    </row>
    <row r="901" spans="1:17" ht="207.6" customHeight="1">
      <c r="A901" s="56" t="s">
        <v>911</v>
      </c>
      <c r="E901" s="72">
        <f>SUMIF(History1!B:B, A901, History1!C:C)</f>
        <v>0</v>
      </c>
      <c r="K901" s="72" t="s">
        <v>3026</v>
      </c>
      <c r="L901" s="57" t="s">
        <v>1912</v>
      </c>
      <c r="Q901" s="57" t="str">
        <f t="shared" si="14"/>
        <v>🔴 LOW</v>
      </c>
    </row>
    <row r="902" spans="1:17" ht="207.6" customHeight="1">
      <c r="A902" s="56" t="s">
        <v>912</v>
      </c>
      <c r="E902" s="72">
        <f>SUMIF(History1!B:B, A902, History1!C:C)</f>
        <v>0</v>
      </c>
      <c r="K902" s="72" t="s">
        <v>3027</v>
      </c>
      <c r="L902" s="57" t="s">
        <v>1913</v>
      </c>
      <c r="Q902" s="57" t="str">
        <f t="shared" si="14"/>
        <v>🔴 LOW</v>
      </c>
    </row>
    <row r="903" spans="1:17" ht="207.6" customHeight="1">
      <c r="A903" s="56" t="s">
        <v>913</v>
      </c>
      <c r="E903" s="72">
        <f>SUMIF(History1!B:B, A903, History1!C:C)</f>
        <v>0</v>
      </c>
      <c r="K903" s="72" t="s">
        <v>3028</v>
      </c>
      <c r="L903" s="57" t="s">
        <v>1914</v>
      </c>
      <c r="Q903" s="57" t="str">
        <f t="shared" si="14"/>
        <v>🔴 LOW</v>
      </c>
    </row>
    <row r="904" spans="1:17" ht="207.6" customHeight="1">
      <c r="A904" s="56" t="s">
        <v>914</v>
      </c>
      <c r="E904" s="72">
        <f>SUMIF(History1!B:B, A904, History1!C:C)</f>
        <v>0</v>
      </c>
      <c r="K904" s="72" t="s">
        <v>3029</v>
      </c>
      <c r="L904" s="57" t="s">
        <v>1915</v>
      </c>
      <c r="Q904" s="57" t="str">
        <f t="shared" si="14"/>
        <v>🔴 LOW</v>
      </c>
    </row>
    <row r="905" spans="1:17" ht="207.6" customHeight="1">
      <c r="A905" s="56" t="s">
        <v>915</v>
      </c>
      <c r="E905" s="72">
        <f>SUMIF(History1!B:B, A905, History1!C:C)</f>
        <v>0</v>
      </c>
      <c r="K905" s="72" t="s">
        <v>3030</v>
      </c>
      <c r="L905" s="57" t="s">
        <v>1916</v>
      </c>
      <c r="Q905" s="57" t="str">
        <f t="shared" si="14"/>
        <v>🔴 LOW</v>
      </c>
    </row>
    <row r="906" spans="1:17" ht="207.6" customHeight="1">
      <c r="A906" s="56" t="s">
        <v>916</v>
      </c>
      <c r="E906" s="72">
        <f>SUMIF(History1!B:B, A906, History1!C:C)</f>
        <v>0</v>
      </c>
      <c r="K906" s="72" t="s">
        <v>3031</v>
      </c>
      <c r="L906" s="57" t="s">
        <v>1917</v>
      </c>
      <c r="Q906" s="57" t="str">
        <f t="shared" si="14"/>
        <v>🔴 LOW</v>
      </c>
    </row>
    <row r="907" spans="1:17" ht="207.6" customHeight="1">
      <c r="A907" s="56" t="s">
        <v>917</v>
      </c>
      <c r="E907" s="72">
        <f>SUMIF(History1!B:B, A907, History1!C:C)</f>
        <v>0</v>
      </c>
      <c r="K907" s="72" t="s">
        <v>3032</v>
      </c>
      <c r="L907" s="57" t="s">
        <v>1918</v>
      </c>
      <c r="Q907" s="57" t="str">
        <f t="shared" si="14"/>
        <v>🔴 LOW</v>
      </c>
    </row>
    <row r="908" spans="1:17" ht="207.6" customHeight="1">
      <c r="A908" s="56" t="s">
        <v>918</v>
      </c>
      <c r="E908" s="72">
        <f>SUMIF(History1!B:B, A908, History1!C:C)</f>
        <v>0</v>
      </c>
      <c r="K908" s="72" t="s">
        <v>3033</v>
      </c>
      <c r="L908" s="57" t="s">
        <v>1919</v>
      </c>
      <c r="Q908" s="57" t="str">
        <f t="shared" si="14"/>
        <v>🔴 LOW</v>
      </c>
    </row>
    <row r="909" spans="1:17" ht="207.6" customHeight="1">
      <c r="A909" s="56" t="s">
        <v>919</v>
      </c>
      <c r="E909" s="72">
        <f>SUMIF(History1!B:B, A909, History1!C:C)</f>
        <v>0</v>
      </c>
      <c r="K909" s="72" t="s">
        <v>3034</v>
      </c>
      <c r="L909" s="57" t="s">
        <v>1920</v>
      </c>
      <c r="Q909" s="57" t="str">
        <f t="shared" si="14"/>
        <v>🔴 LOW</v>
      </c>
    </row>
    <row r="910" spans="1:17" ht="207.6" customHeight="1">
      <c r="A910" s="56" t="s">
        <v>920</v>
      </c>
      <c r="E910" s="72">
        <f>SUMIF(History1!B:B, A910, History1!C:C)</f>
        <v>0</v>
      </c>
      <c r="K910" s="72" t="s">
        <v>3035</v>
      </c>
      <c r="L910" s="57" t="s">
        <v>1921</v>
      </c>
      <c r="Q910" s="57" t="str">
        <f t="shared" si="14"/>
        <v>🔴 LOW</v>
      </c>
    </row>
    <row r="911" spans="1:17" ht="207.6" customHeight="1">
      <c r="A911" s="56" t="s">
        <v>921</v>
      </c>
      <c r="E911" s="72">
        <f>SUMIF(History1!B:B, A911, History1!C:C)</f>
        <v>0</v>
      </c>
      <c r="K911" s="72" t="s">
        <v>3036</v>
      </c>
      <c r="L911" s="57" t="s">
        <v>1922</v>
      </c>
      <c r="Q911" s="57" t="str">
        <f t="shared" si="14"/>
        <v>🔴 LOW</v>
      </c>
    </row>
    <row r="912" spans="1:17" ht="207.6" customHeight="1">
      <c r="A912" s="56" t="s">
        <v>922</v>
      </c>
      <c r="E912" s="72">
        <f>SUMIF(History1!B:B, A912, History1!C:C)</f>
        <v>0</v>
      </c>
      <c r="K912" s="72" t="s">
        <v>3037</v>
      </c>
      <c r="L912" s="57" t="s">
        <v>1923</v>
      </c>
      <c r="Q912" s="57" t="str">
        <f t="shared" si="14"/>
        <v>🔴 LOW</v>
      </c>
    </row>
    <row r="913" spans="1:17" ht="207.6" customHeight="1">
      <c r="A913" s="56" t="s">
        <v>923</v>
      </c>
      <c r="E913" s="72">
        <f>SUMIF(History1!B:B, A913, History1!C:C)</f>
        <v>0</v>
      </c>
      <c r="K913" s="72" t="s">
        <v>3038</v>
      </c>
      <c r="L913" s="57" t="s">
        <v>1924</v>
      </c>
      <c r="Q913" s="57" t="str">
        <f t="shared" si="14"/>
        <v>🔴 LOW</v>
      </c>
    </row>
    <row r="914" spans="1:17" ht="207.6" customHeight="1">
      <c r="A914" s="56" t="s">
        <v>924</v>
      </c>
      <c r="E914" s="72">
        <f>SUMIF(History1!B:B, A914, History1!C:C)</f>
        <v>0</v>
      </c>
      <c r="K914" s="72" t="s">
        <v>3039</v>
      </c>
      <c r="L914" s="57" t="s">
        <v>1925</v>
      </c>
      <c r="Q914" s="57" t="str">
        <f t="shared" si="14"/>
        <v>🔴 LOW</v>
      </c>
    </row>
    <row r="915" spans="1:17" ht="207.6" customHeight="1">
      <c r="A915" s="56" t="s">
        <v>925</v>
      </c>
      <c r="E915" s="72">
        <f>SUMIF(History1!B:B, A915, History1!C:C)</f>
        <v>0</v>
      </c>
      <c r="K915" s="72" t="s">
        <v>3040</v>
      </c>
      <c r="L915" s="57" t="s">
        <v>1926</v>
      </c>
      <c r="Q915" s="57" t="str">
        <f t="shared" si="14"/>
        <v>🔴 LOW</v>
      </c>
    </row>
    <row r="916" spans="1:17" ht="207.6" customHeight="1">
      <c r="A916" s="56" t="s">
        <v>926</v>
      </c>
      <c r="E916" s="72">
        <f>SUMIF(History1!B:B, A916, History1!C:C)</f>
        <v>0</v>
      </c>
      <c r="K916" s="72" t="s">
        <v>3041</v>
      </c>
      <c r="L916" s="57" t="s">
        <v>1927</v>
      </c>
      <c r="Q916" s="57" t="str">
        <f t="shared" si="14"/>
        <v>🔴 LOW</v>
      </c>
    </row>
    <row r="917" spans="1:17" ht="207.6" customHeight="1">
      <c r="A917" s="56" t="s">
        <v>927</v>
      </c>
      <c r="E917" s="72">
        <f>SUMIF(History1!B:B, A917, History1!C:C)</f>
        <v>0</v>
      </c>
      <c r="K917" s="72" t="s">
        <v>3042</v>
      </c>
      <c r="L917" s="57" t="s">
        <v>1928</v>
      </c>
      <c r="Q917" s="57" t="str">
        <f t="shared" si="14"/>
        <v>🔴 LOW</v>
      </c>
    </row>
    <row r="918" spans="1:17" ht="207.6" customHeight="1">
      <c r="A918" s="56" t="s">
        <v>928</v>
      </c>
      <c r="E918" s="72">
        <f>SUMIF(History1!B:B, A918, History1!C:C)</f>
        <v>0</v>
      </c>
      <c r="K918" s="72" t="s">
        <v>3043</v>
      </c>
      <c r="L918" s="57" t="s">
        <v>1929</v>
      </c>
      <c r="Q918" s="57" t="str">
        <f t="shared" si="14"/>
        <v>🔴 LOW</v>
      </c>
    </row>
    <row r="919" spans="1:17" ht="207.6" customHeight="1">
      <c r="A919" s="56" t="s">
        <v>929</v>
      </c>
      <c r="E919" s="72">
        <f>SUMIF(History1!B:B, A919, History1!C:C)</f>
        <v>0</v>
      </c>
      <c r="K919" s="72" t="s">
        <v>3044</v>
      </c>
      <c r="L919" s="57" t="s">
        <v>1930</v>
      </c>
      <c r="Q919" s="57" t="str">
        <f t="shared" si="14"/>
        <v>🔴 LOW</v>
      </c>
    </row>
    <row r="920" spans="1:17" ht="207.6" customHeight="1">
      <c r="A920" s="56" t="s">
        <v>930</v>
      </c>
      <c r="E920" s="72">
        <f>SUMIF(History1!B:B, A920, History1!C:C)</f>
        <v>0</v>
      </c>
      <c r="K920" s="72" t="s">
        <v>3045</v>
      </c>
      <c r="L920" s="57" t="s">
        <v>1931</v>
      </c>
      <c r="Q920" s="57" t="str">
        <f t="shared" si="14"/>
        <v>🔴 LOW</v>
      </c>
    </row>
    <row r="921" spans="1:17" ht="207.6" customHeight="1">
      <c r="A921" s="56" t="s">
        <v>931</v>
      </c>
      <c r="E921" s="72">
        <f>SUMIF(History1!B:B, A921, History1!C:C)</f>
        <v>0</v>
      </c>
      <c r="K921" s="72" t="s">
        <v>3046</v>
      </c>
      <c r="L921" s="57" t="s">
        <v>1932</v>
      </c>
      <c r="Q921" s="57" t="str">
        <f t="shared" si="14"/>
        <v>🔴 LOW</v>
      </c>
    </row>
    <row r="922" spans="1:17" ht="207.6" customHeight="1">
      <c r="A922" s="56" t="s">
        <v>932</v>
      </c>
      <c r="E922" s="72">
        <f>SUMIF(History1!B:B, A922, History1!C:C)</f>
        <v>0</v>
      </c>
      <c r="K922" s="72" t="s">
        <v>3047</v>
      </c>
      <c r="L922" s="57" t="s">
        <v>1933</v>
      </c>
      <c r="Q922" s="57" t="str">
        <f t="shared" si="14"/>
        <v>🔴 LOW</v>
      </c>
    </row>
    <row r="923" spans="1:17" ht="207.6" customHeight="1">
      <c r="A923" s="56" t="s">
        <v>933</v>
      </c>
      <c r="E923" s="72">
        <f>SUMIF(History1!B:B, A923, History1!C:C)</f>
        <v>0</v>
      </c>
      <c r="K923" s="72" t="s">
        <v>3048</v>
      </c>
      <c r="L923" s="57" t="s">
        <v>1934</v>
      </c>
      <c r="Q923" s="57" t="str">
        <f t="shared" si="14"/>
        <v>🔴 LOW</v>
      </c>
    </row>
    <row r="924" spans="1:17" ht="207.6" customHeight="1">
      <c r="A924" s="56" t="s">
        <v>934</v>
      </c>
      <c r="E924" s="72">
        <f>SUMIF(History1!B:B, A924, History1!C:C)</f>
        <v>0</v>
      </c>
      <c r="K924" s="72" t="s">
        <v>3049</v>
      </c>
      <c r="L924" s="57" t="s">
        <v>1935</v>
      </c>
      <c r="Q924" s="57" t="str">
        <f t="shared" si="14"/>
        <v>🔴 LOW</v>
      </c>
    </row>
    <row r="925" spans="1:17" ht="207.6" customHeight="1">
      <c r="A925" s="56" t="s">
        <v>935</v>
      </c>
      <c r="E925" s="72">
        <f>SUMIF(History1!B:B, A925, History1!C:C)</f>
        <v>0</v>
      </c>
      <c r="K925" s="72" t="s">
        <v>3050</v>
      </c>
      <c r="L925" s="57" t="s">
        <v>1936</v>
      </c>
      <c r="Q925" s="57" t="str">
        <f t="shared" si="14"/>
        <v>🔴 LOW</v>
      </c>
    </row>
    <row r="926" spans="1:17" ht="207.6" customHeight="1">
      <c r="A926" s="56" t="s">
        <v>936</v>
      </c>
      <c r="E926" s="72">
        <f>SUMIF(History1!B:B, A926, History1!C:C)</f>
        <v>0</v>
      </c>
      <c r="K926" s="72" t="s">
        <v>3051</v>
      </c>
      <c r="L926" s="57" t="s">
        <v>1937</v>
      </c>
      <c r="Q926" s="57" t="str">
        <f t="shared" si="14"/>
        <v>🔴 LOW</v>
      </c>
    </row>
    <row r="927" spans="1:17" ht="207.6" customHeight="1">
      <c r="A927" s="56" t="s">
        <v>937</v>
      </c>
      <c r="E927" s="72">
        <f>SUMIF(History1!B:B, A927, History1!C:C)</f>
        <v>0</v>
      </c>
      <c r="K927" s="72" t="s">
        <v>3052</v>
      </c>
      <c r="L927" s="57" t="s">
        <v>1938</v>
      </c>
      <c r="Q927" s="57" t="str">
        <f t="shared" si="14"/>
        <v>🔴 LOW</v>
      </c>
    </row>
    <row r="928" spans="1:17" ht="207.6" customHeight="1">
      <c r="A928" s="56" t="s">
        <v>938</v>
      </c>
      <c r="E928" s="72">
        <f>SUMIF(History1!B:B, A928, History1!C:C)</f>
        <v>0</v>
      </c>
      <c r="K928" s="72" t="s">
        <v>3053</v>
      </c>
      <c r="L928" s="57" t="s">
        <v>1939</v>
      </c>
      <c r="Q928" s="57" t="str">
        <f t="shared" si="14"/>
        <v>🔴 LOW</v>
      </c>
    </row>
    <row r="929" spans="1:17" ht="207.6" customHeight="1">
      <c r="A929" s="56" t="s">
        <v>939</v>
      </c>
      <c r="E929" s="72">
        <f>SUMIF(History1!B:B, A929, History1!C:C)</f>
        <v>0</v>
      </c>
      <c r="K929" s="72" t="s">
        <v>3054</v>
      </c>
      <c r="L929" s="57" t="s">
        <v>1940</v>
      </c>
      <c r="Q929" s="57" t="str">
        <f t="shared" si="14"/>
        <v>🔴 LOW</v>
      </c>
    </row>
    <row r="930" spans="1:17" ht="207.6" customHeight="1">
      <c r="A930" s="56" t="s">
        <v>940</v>
      </c>
      <c r="E930" s="72">
        <f>SUMIF(History1!B:B, A930, History1!C:C)</f>
        <v>0</v>
      </c>
      <c r="K930" s="72" t="s">
        <v>3055</v>
      </c>
      <c r="L930" s="57" t="s">
        <v>1941</v>
      </c>
      <c r="Q930" s="57" t="str">
        <f t="shared" si="14"/>
        <v>🔴 LOW</v>
      </c>
    </row>
    <row r="931" spans="1:17" ht="207.6" customHeight="1">
      <c r="A931" s="56" t="s">
        <v>941</v>
      </c>
      <c r="E931" s="72">
        <f>SUMIF(History1!B:B, A931, History1!C:C)</f>
        <v>0</v>
      </c>
      <c r="K931" s="72" t="s">
        <v>3056</v>
      </c>
      <c r="L931" s="57" t="s">
        <v>1942</v>
      </c>
      <c r="Q931" s="57" t="str">
        <f t="shared" si="14"/>
        <v>🔴 LOW</v>
      </c>
    </row>
    <row r="932" spans="1:17" ht="207.6" customHeight="1">
      <c r="A932" s="56" t="s">
        <v>942</v>
      </c>
      <c r="E932" s="72">
        <f>SUMIF(History1!B:B, A932, History1!C:C)</f>
        <v>0</v>
      </c>
      <c r="K932" s="72" t="s">
        <v>3057</v>
      </c>
      <c r="L932" s="57" t="s">
        <v>1943</v>
      </c>
      <c r="Q932" s="57" t="str">
        <f t="shared" si="14"/>
        <v>🔴 LOW</v>
      </c>
    </row>
    <row r="933" spans="1:17" ht="207.6" customHeight="1">
      <c r="A933" s="56" t="s">
        <v>943</v>
      </c>
      <c r="E933" s="72">
        <f>SUMIF(History1!B:B, A933, History1!C:C)</f>
        <v>0</v>
      </c>
      <c r="K933" s="72" t="s">
        <v>3058</v>
      </c>
      <c r="L933" s="57" t="s">
        <v>1944</v>
      </c>
      <c r="Q933" s="57" t="str">
        <f t="shared" si="14"/>
        <v>🔴 LOW</v>
      </c>
    </row>
    <row r="934" spans="1:17" ht="207.6" customHeight="1">
      <c r="A934" s="56" t="s">
        <v>944</v>
      </c>
      <c r="E934" s="72">
        <f>SUMIF(History1!B:B, A934, History1!C:C)</f>
        <v>0</v>
      </c>
      <c r="K934" s="72" t="s">
        <v>3059</v>
      </c>
      <c r="L934" s="57" t="s">
        <v>1945</v>
      </c>
      <c r="Q934" s="57" t="str">
        <f t="shared" si="14"/>
        <v>🔴 LOW</v>
      </c>
    </row>
    <row r="935" spans="1:17" ht="207.6" customHeight="1">
      <c r="A935" s="56" t="s">
        <v>945</v>
      </c>
      <c r="E935" s="72">
        <f>SUMIF(History1!B:B, A935, History1!C:C)</f>
        <v>0</v>
      </c>
      <c r="K935" s="72" t="s">
        <v>3060</v>
      </c>
      <c r="L935" s="57" t="s">
        <v>1946</v>
      </c>
      <c r="Q935" s="57" t="str">
        <f t="shared" si="14"/>
        <v>🔴 LOW</v>
      </c>
    </row>
    <row r="936" spans="1:17" ht="207.6" customHeight="1">
      <c r="A936" s="56" t="s">
        <v>946</v>
      </c>
      <c r="E936" s="72">
        <f>SUMIF(History1!B:B, A936, History1!C:C)</f>
        <v>0</v>
      </c>
      <c r="K936" s="72" t="s">
        <v>3061</v>
      </c>
      <c r="L936" s="57" t="s">
        <v>1947</v>
      </c>
      <c r="Q936" s="57" t="str">
        <f t="shared" si="14"/>
        <v>🔴 LOW</v>
      </c>
    </row>
    <row r="937" spans="1:17" ht="207.6" customHeight="1">
      <c r="A937" s="56" t="s">
        <v>947</v>
      </c>
      <c r="E937" s="72">
        <f>SUMIF(History1!B:B, A937, History1!C:C)</f>
        <v>0</v>
      </c>
      <c r="K937" s="72" t="s">
        <v>3062</v>
      </c>
      <c r="L937" s="57" t="s">
        <v>1948</v>
      </c>
      <c r="Q937" s="57" t="str">
        <f t="shared" si="14"/>
        <v>🔴 LOW</v>
      </c>
    </row>
    <row r="938" spans="1:17" ht="207.6" customHeight="1">
      <c r="A938" s="56" t="s">
        <v>948</v>
      </c>
      <c r="E938" s="72">
        <f>SUMIF(History1!B:B, A938, History1!C:C)</f>
        <v>0</v>
      </c>
      <c r="K938" s="72" t="s">
        <v>3063</v>
      </c>
      <c r="L938" s="57" t="s">
        <v>1949</v>
      </c>
      <c r="Q938" s="57" t="str">
        <f t="shared" si="14"/>
        <v>🔴 LOW</v>
      </c>
    </row>
    <row r="939" spans="1:17" ht="207.6" customHeight="1">
      <c r="A939" s="56" t="s">
        <v>949</v>
      </c>
      <c r="E939" s="72">
        <f>SUMIF(History1!B:B, A939, History1!C:C)</f>
        <v>0</v>
      </c>
      <c r="K939" s="72" t="s">
        <v>3064</v>
      </c>
      <c r="L939" s="57" t="s">
        <v>1950</v>
      </c>
      <c r="Q939" s="57" t="str">
        <f t="shared" si="14"/>
        <v>🔴 LOW</v>
      </c>
    </row>
    <row r="940" spans="1:17" ht="207.6" customHeight="1">
      <c r="A940" s="56" t="s">
        <v>950</v>
      </c>
      <c r="E940" s="72">
        <f>SUMIF(History1!B:B, A940, History1!C:C)</f>
        <v>0</v>
      </c>
      <c r="K940" s="72" t="s">
        <v>3065</v>
      </c>
      <c r="L940" s="57" t="s">
        <v>1951</v>
      </c>
      <c r="Q940" s="57" t="str">
        <f t="shared" si="14"/>
        <v>🔴 LOW</v>
      </c>
    </row>
    <row r="941" spans="1:17" ht="207.6" customHeight="1">
      <c r="A941" s="56" t="s">
        <v>951</v>
      </c>
      <c r="E941" s="72">
        <f>SUMIF(History1!B:B, A941, History1!C:C)</f>
        <v>0</v>
      </c>
      <c r="K941" s="72" t="s">
        <v>3066</v>
      </c>
      <c r="L941" s="57" t="s">
        <v>1952</v>
      </c>
      <c r="Q941" s="57" t="str">
        <f t="shared" si="14"/>
        <v>🔴 LOW</v>
      </c>
    </row>
    <row r="942" spans="1:17" ht="207.6" customHeight="1">
      <c r="A942" s="56" t="s">
        <v>952</v>
      </c>
      <c r="E942" s="72">
        <f>SUMIF(History1!B:B, A942, History1!C:C)</f>
        <v>0</v>
      </c>
      <c r="K942" s="72" t="s">
        <v>3067</v>
      </c>
      <c r="L942" s="57" t="s">
        <v>1953</v>
      </c>
      <c r="Q942" s="57" t="str">
        <f t="shared" si="14"/>
        <v>🔴 LOW</v>
      </c>
    </row>
    <row r="943" spans="1:17" ht="207.6" customHeight="1">
      <c r="A943" s="56" t="s">
        <v>953</v>
      </c>
      <c r="E943" s="72">
        <f>SUMIF(History1!B:B, A943, History1!C:C)</f>
        <v>0</v>
      </c>
      <c r="K943" s="72" t="s">
        <v>3068</v>
      </c>
      <c r="L943" s="57" t="s">
        <v>1954</v>
      </c>
      <c r="Q943" s="57" t="str">
        <f t="shared" si="14"/>
        <v>🔴 LOW</v>
      </c>
    </row>
    <row r="944" spans="1:17" ht="207.6" customHeight="1">
      <c r="A944" s="56" t="s">
        <v>954</v>
      </c>
      <c r="E944" s="72">
        <f>SUMIF(History1!B:B, A944, History1!C:C)</f>
        <v>0</v>
      </c>
      <c r="K944" s="72" t="s">
        <v>3069</v>
      </c>
      <c r="L944" s="57" t="s">
        <v>1955</v>
      </c>
      <c r="Q944" s="57" t="str">
        <f t="shared" si="14"/>
        <v>🔴 LOW</v>
      </c>
    </row>
    <row r="945" spans="1:17" ht="207.6" customHeight="1">
      <c r="A945" s="56" t="s">
        <v>955</v>
      </c>
      <c r="E945" s="72">
        <f>SUMIF(History1!B:B, A945, History1!C:C)</f>
        <v>0</v>
      </c>
      <c r="K945" s="72" t="s">
        <v>3070</v>
      </c>
      <c r="L945" s="57" t="s">
        <v>1956</v>
      </c>
      <c r="Q945" s="57" t="str">
        <f t="shared" si="14"/>
        <v>🔴 LOW</v>
      </c>
    </row>
    <row r="946" spans="1:17" ht="207.6" customHeight="1">
      <c r="A946" s="56" t="s">
        <v>956</v>
      </c>
      <c r="E946" s="72">
        <f>SUMIF(History1!B:B, A946, History1!C:C)</f>
        <v>0</v>
      </c>
      <c r="K946" s="72" t="s">
        <v>3071</v>
      </c>
      <c r="L946" s="57" t="s">
        <v>1957</v>
      </c>
      <c r="Q946" s="57" t="str">
        <f t="shared" si="14"/>
        <v>🔴 LOW</v>
      </c>
    </row>
    <row r="947" spans="1:17" ht="207.6" customHeight="1">
      <c r="A947" s="56" t="s">
        <v>957</v>
      </c>
      <c r="E947" s="72">
        <f>SUMIF(History1!B:B, A947, History1!C:C)</f>
        <v>0</v>
      </c>
      <c r="K947" s="72" t="s">
        <v>3072</v>
      </c>
      <c r="L947" s="57" t="s">
        <v>1958</v>
      </c>
      <c r="Q947" s="57" t="str">
        <f t="shared" si="14"/>
        <v>🔴 LOW</v>
      </c>
    </row>
    <row r="948" spans="1:17" ht="207.6" customHeight="1">
      <c r="A948" s="56" t="s">
        <v>958</v>
      </c>
      <c r="E948" s="72">
        <f>SUMIF(History1!B:B, A948, History1!C:C)</f>
        <v>0</v>
      </c>
      <c r="K948" s="72" t="s">
        <v>3073</v>
      </c>
      <c r="L948" s="57" t="s">
        <v>1959</v>
      </c>
      <c r="Q948" s="57" t="str">
        <f t="shared" si="14"/>
        <v>🔴 LOW</v>
      </c>
    </row>
    <row r="949" spans="1:17" ht="207.6" customHeight="1">
      <c r="A949" s="56" t="s">
        <v>959</v>
      </c>
      <c r="E949" s="72">
        <f>SUMIF(History1!B:B, A949, History1!C:C)</f>
        <v>0</v>
      </c>
      <c r="K949" s="72" t="s">
        <v>3074</v>
      </c>
      <c r="L949" s="57" t="s">
        <v>1960</v>
      </c>
      <c r="Q949" s="57" t="str">
        <f t="shared" si="14"/>
        <v>🔴 LOW</v>
      </c>
    </row>
    <row r="950" spans="1:17" ht="207.6" customHeight="1">
      <c r="A950" s="56" t="s">
        <v>960</v>
      </c>
      <c r="E950" s="72">
        <f>SUMIF(History1!B:B, A950, History1!C:C)</f>
        <v>0</v>
      </c>
      <c r="K950" s="72" t="s">
        <v>3075</v>
      </c>
      <c r="L950" s="57" t="s">
        <v>1961</v>
      </c>
      <c r="Q950" s="57" t="str">
        <f t="shared" si="14"/>
        <v>🔴 LOW</v>
      </c>
    </row>
    <row r="951" spans="1:17" ht="207.6" customHeight="1">
      <c r="A951" s="56" t="s">
        <v>961</v>
      </c>
      <c r="E951" s="72">
        <f>SUMIF(History1!B:B, A951, History1!C:C)</f>
        <v>0</v>
      </c>
      <c r="K951" s="72" t="s">
        <v>3076</v>
      </c>
      <c r="L951" s="57" t="s">
        <v>1962</v>
      </c>
      <c r="Q951" s="57" t="str">
        <f t="shared" si="14"/>
        <v>🔴 LOW</v>
      </c>
    </row>
    <row r="952" spans="1:17" ht="207.6" customHeight="1">
      <c r="A952" s="56" t="s">
        <v>962</v>
      </c>
      <c r="E952" s="72">
        <f>SUMIF(History1!B:B, A952, History1!C:C)</f>
        <v>0</v>
      </c>
      <c r="K952" s="72" t="s">
        <v>3077</v>
      </c>
      <c r="L952" s="57" t="s">
        <v>1963</v>
      </c>
      <c r="Q952" s="57" t="str">
        <f t="shared" si="14"/>
        <v>🔴 LOW</v>
      </c>
    </row>
    <row r="953" spans="1:17" ht="207.6" customHeight="1">
      <c r="A953" s="56" t="s">
        <v>963</v>
      </c>
      <c r="E953" s="72">
        <f>SUMIF(History1!B:B, A953, History1!C:C)</f>
        <v>0</v>
      </c>
      <c r="K953" s="72" t="s">
        <v>3078</v>
      </c>
      <c r="L953" s="57" t="s">
        <v>1964</v>
      </c>
      <c r="Q953" s="57" t="str">
        <f t="shared" si="14"/>
        <v>🔴 LOW</v>
      </c>
    </row>
    <row r="954" spans="1:17" ht="207.6" customHeight="1">
      <c r="A954" s="56" t="s">
        <v>964</v>
      </c>
      <c r="E954" s="72">
        <f>SUMIF(History1!B:B, A954, History1!C:C)</f>
        <v>0</v>
      </c>
      <c r="K954" s="72" t="s">
        <v>3079</v>
      </c>
      <c r="L954" s="57" t="s">
        <v>1965</v>
      </c>
      <c r="Q954" s="57" t="str">
        <f t="shared" si="14"/>
        <v>🔴 LOW</v>
      </c>
    </row>
    <row r="955" spans="1:17" ht="207.6" customHeight="1">
      <c r="A955" s="56" t="s">
        <v>965</v>
      </c>
      <c r="E955" s="72">
        <f>SUMIF(History1!B:B, A955, History1!C:C)</f>
        <v>0</v>
      </c>
      <c r="K955" s="72" t="s">
        <v>3080</v>
      </c>
      <c r="L955" s="57" t="s">
        <v>1966</v>
      </c>
      <c r="Q955" s="57" t="str">
        <f t="shared" si="14"/>
        <v>🔴 LOW</v>
      </c>
    </row>
    <row r="956" spans="1:17" ht="207.6" customHeight="1">
      <c r="A956" s="56" t="s">
        <v>966</v>
      </c>
      <c r="E956" s="72">
        <f>SUMIF(History1!B:B, A956, History1!C:C)</f>
        <v>0</v>
      </c>
      <c r="K956" s="72" t="s">
        <v>3081</v>
      </c>
      <c r="L956" s="57" t="s">
        <v>1967</v>
      </c>
      <c r="Q956" s="57" t="str">
        <f t="shared" si="14"/>
        <v>🔴 LOW</v>
      </c>
    </row>
    <row r="957" spans="1:17" ht="207.6" customHeight="1">
      <c r="A957" s="56" t="s">
        <v>967</v>
      </c>
      <c r="E957" s="72">
        <f>SUMIF(History1!B:B, A957, History1!C:C)</f>
        <v>0</v>
      </c>
      <c r="K957" s="72" t="s">
        <v>3082</v>
      </c>
      <c r="L957" s="57" t="s">
        <v>1968</v>
      </c>
      <c r="Q957" s="57" t="str">
        <f t="shared" si="14"/>
        <v>🔴 LOW</v>
      </c>
    </row>
    <row r="958" spans="1:17" ht="207.6" customHeight="1">
      <c r="A958" s="56" t="s">
        <v>968</v>
      </c>
      <c r="E958" s="72">
        <f>SUMIF(History1!B:B, A958, History1!C:C)</f>
        <v>0</v>
      </c>
      <c r="K958" s="72" t="s">
        <v>3083</v>
      </c>
      <c r="L958" s="57" t="s">
        <v>1969</v>
      </c>
      <c r="Q958" s="57" t="str">
        <f t="shared" si="14"/>
        <v>🔴 LOW</v>
      </c>
    </row>
    <row r="959" spans="1:17" ht="207.6" customHeight="1">
      <c r="A959" s="56" t="s">
        <v>969</v>
      </c>
      <c r="E959" s="72">
        <f>SUMIF(History1!B:B, A959, History1!C:C)</f>
        <v>0</v>
      </c>
      <c r="K959" s="72" t="s">
        <v>3084</v>
      </c>
      <c r="L959" s="57" t="s">
        <v>1970</v>
      </c>
      <c r="Q959" s="57" t="str">
        <f t="shared" si="14"/>
        <v>🔴 LOW</v>
      </c>
    </row>
    <row r="960" spans="1:17" ht="207.6" customHeight="1">
      <c r="A960" s="56" t="s">
        <v>970</v>
      </c>
      <c r="E960" s="72">
        <f>SUMIF(History1!B:B, A960, History1!C:C)</f>
        <v>0</v>
      </c>
      <c r="K960" s="72" t="s">
        <v>3085</v>
      </c>
      <c r="L960" s="57" t="s">
        <v>1971</v>
      </c>
      <c r="Q960" s="57" t="str">
        <f t="shared" si="14"/>
        <v>🔴 LOW</v>
      </c>
    </row>
    <row r="961" spans="1:17" ht="207.6" customHeight="1">
      <c r="A961" s="56" t="s">
        <v>971</v>
      </c>
      <c r="E961" s="72">
        <f>SUMIF(History1!B:B, A961, History1!C:C)</f>
        <v>0</v>
      </c>
      <c r="K961" s="72" t="s">
        <v>3086</v>
      </c>
      <c r="L961" s="57" t="s">
        <v>1972</v>
      </c>
      <c r="Q961" s="57" t="str">
        <f t="shared" si="14"/>
        <v>🔴 LOW</v>
      </c>
    </row>
    <row r="962" spans="1:17" ht="207.6" customHeight="1">
      <c r="A962" s="56" t="s">
        <v>972</v>
      </c>
      <c r="E962" s="72">
        <f>SUMIF(History1!B:B, A962, History1!C:C)</f>
        <v>0</v>
      </c>
      <c r="K962" s="72" t="s">
        <v>3087</v>
      </c>
      <c r="L962" s="57" t="s">
        <v>1973</v>
      </c>
      <c r="Q962" s="57" t="str">
        <f t="shared" si="14"/>
        <v>🔴 LOW</v>
      </c>
    </row>
    <row r="963" spans="1:17" ht="207.6" customHeight="1">
      <c r="A963" s="56" t="s">
        <v>973</v>
      </c>
      <c r="E963" s="72">
        <f>SUMIF(History1!B:B, A963, History1!C:C)</f>
        <v>0</v>
      </c>
      <c r="K963" s="72" t="s">
        <v>3088</v>
      </c>
      <c r="L963" s="57" t="s">
        <v>1974</v>
      </c>
      <c r="Q963" s="57" t="str">
        <f t="shared" ref="Q963:Q1001" si="15">IF(E963&lt;=10,"🔴 LOW",IF(E963&lt;=50,"🟡 MEDIUM","🟢 GOOD"))</f>
        <v>🔴 LOW</v>
      </c>
    </row>
    <row r="964" spans="1:17" ht="207.6" customHeight="1">
      <c r="A964" s="56" t="s">
        <v>974</v>
      </c>
      <c r="E964" s="72">
        <f>SUMIF(History1!B:B, A964, History1!C:C)</f>
        <v>0</v>
      </c>
      <c r="K964" s="72" t="s">
        <v>3089</v>
      </c>
      <c r="L964" s="57" t="s">
        <v>1975</v>
      </c>
      <c r="Q964" s="57" t="str">
        <f t="shared" si="15"/>
        <v>🔴 LOW</v>
      </c>
    </row>
    <row r="965" spans="1:17" ht="207.6" customHeight="1">
      <c r="A965" s="56" t="s">
        <v>975</v>
      </c>
      <c r="E965" s="72">
        <f>SUMIF(History1!B:B, A965, History1!C:C)</f>
        <v>0</v>
      </c>
      <c r="K965" s="72" t="s">
        <v>3090</v>
      </c>
      <c r="L965" s="57" t="s">
        <v>1976</v>
      </c>
      <c r="Q965" s="57" t="str">
        <f t="shared" si="15"/>
        <v>🔴 LOW</v>
      </c>
    </row>
    <row r="966" spans="1:17" ht="207.6" customHeight="1">
      <c r="A966" s="56" t="s">
        <v>976</v>
      </c>
      <c r="E966" s="72">
        <f>SUMIF(History1!B:B, A966, History1!C:C)</f>
        <v>0</v>
      </c>
      <c r="K966" s="72" t="s">
        <v>3091</v>
      </c>
      <c r="L966" s="57" t="s">
        <v>1977</v>
      </c>
      <c r="Q966" s="57" t="str">
        <f t="shared" si="15"/>
        <v>🔴 LOW</v>
      </c>
    </row>
    <row r="967" spans="1:17" ht="207.6" customHeight="1">
      <c r="A967" s="56" t="s">
        <v>977</v>
      </c>
      <c r="E967" s="72">
        <f>SUMIF(History1!B:B, A967, History1!C:C)</f>
        <v>0</v>
      </c>
      <c r="K967" s="72" t="s">
        <v>3092</v>
      </c>
      <c r="L967" s="57" t="s">
        <v>1978</v>
      </c>
      <c r="Q967" s="57" t="str">
        <f t="shared" si="15"/>
        <v>🔴 LOW</v>
      </c>
    </row>
    <row r="968" spans="1:17" ht="207.6" customHeight="1">
      <c r="A968" s="56" t="s">
        <v>978</v>
      </c>
      <c r="E968" s="72">
        <f>SUMIF(History1!B:B, A968, History1!C:C)</f>
        <v>0</v>
      </c>
      <c r="K968" s="72" t="s">
        <v>3093</v>
      </c>
      <c r="L968" s="57" t="s">
        <v>1979</v>
      </c>
      <c r="Q968" s="57" t="str">
        <f t="shared" si="15"/>
        <v>🔴 LOW</v>
      </c>
    </row>
    <row r="969" spans="1:17" ht="207.6" customHeight="1">
      <c r="A969" s="56" t="s">
        <v>979</v>
      </c>
      <c r="E969" s="72">
        <f>SUMIF(History1!B:B, A969, History1!C:C)</f>
        <v>0</v>
      </c>
      <c r="K969" s="72" t="s">
        <v>3094</v>
      </c>
      <c r="L969" s="57" t="s">
        <v>1980</v>
      </c>
      <c r="Q969" s="57" t="str">
        <f t="shared" si="15"/>
        <v>🔴 LOW</v>
      </c>
    </row>
    <row r="970" spans="1:17" ht="207.6" customHeight="1">
      <c r="A970" s="56" t="s">
        <v>980</v>
      </c>
      <c r="E970" s="72">
        <f>SUMIF(History1!B:B, A970, History1!C:C)</f>
        <v>0</v>
      </c>
      <c r="K970" s="72" t="s">
        <v>3095</v>
      </c>
      <c r="L970" s="57" t="s">
        <v>1981</v>
      </c>
      <c r="Q970" s="57" t="str">
        <f t="shared" si="15"/>
        <v>🔴 LOW</v>
      </c>
    </row>
    <row r="971" spans="1:17" ht="207.6" customHeight="1">
      <c r="A971" s="56" t="s">
        <v>981</v>
      </c>
      <c r="E971" s="72">
        <f>SUMIF(History1!B:B, A971, History1!C:C)</f>
        <v>0</v>
      </c>
      <c r="K971" s="72" t="s">
        <v>3096</v>
      </c>
      <c r="L971" s="57" t="s">
        <v>1982</v>
      </c>
      <c r="Q971" s="57" t="str">
        <f t="shared" si="15"/>
        <v>🔴 LOW</v>
      </c>
    </row>
    <row r="972" spans="1:17" ht="207.6" customHeight="1">
      <c r="A972" s="56" t="s">
        <v>982</v>
      </c>
      <c r="E972" s="72">
        <f>SUMIF(History1!B:B, A972, History1!C:C)</f>
        <v>0</v>
      </c>
      <c r="K972" s="72" t="s">
        <v>3097</v>
      </c>
      <c r="L972" s="57" t="s">
        <v>1983</v>
      </c>
      <c r="Q972" s="57" t="str">
        <f t="shared" si="15"/>
        <v>🔴 LOW</v>
      </c>
    </row>
    <row r="973" spans="1:17" ht="207.6" customHeight="1">
      <c r="A973" s="56" t="s">
        <v>983</v>
      </c>
      <c r="E973" s="72">
        <f>SUMIF(History1!B:B, A973, History1!C:C)</f>
        <v>0</v>
      </c>
      <c r="K973" s="72" t="s">
        <v>3098</v>
      </c>
      <c r="L973" s="57" t="s">
        <v>1984</v>
      </c>
      <c r="Q973" s="57" t="str">
        <f t="shared" si="15"/>
        <v>🔴 LOW</v>
      </c>
    </row>
    <row r="974" spans="1:17" ht="207.6" customHeight="1">
      <c r="A974" s="56" t="s">
        <v>984</v>
      </c>
      <c r="E974" s="72">
        <f>SUMIF(History1!B:B, A974, History1!C:C)</f>
        <v>0</v>
      </c>
      <c r="K974" s="72" t="s">
        <v>3099</v>
      </c>
      <c r="L974" s="57" t="s">
        <v>1985</v>
      </c>
      <c r="Q974" s="57" t="str">
        <f t="shared" si="15"/>
        <v>🔴 LOW</v>
      </c>
    </row>
    <row r="975" spans="1:17" ht="207.6" customHeight="1">
      <c r="A975" s="56" t="s">
        <v>985</v>
      </c>
      <c r="E975" s="72">
        <f>SUMIF(History1!B:B, A975, History1!C:C)</f>
        <v>0</v>
      </c>
      <c r="K975" s="72" t="s">
        <v>3100</v>
      </c>
      <c r="L975" s="57" t="s">
        <v>1986</v>
      </c>
      <c r="Q975" s="57" t="str">
        <f t="shared" si="15"/>
        <v>🔴 LOW</v>
      </c>
    </row>
    <row r="976" spans="1:17" ht="207.6" customHeight="1">
      <c r="A976" s="56" t="s">
        <v>986</v>
      </c>
      <c r="E976" s="72">
        <f>SUMIF(History1!B:B, A976, History1!C:C)</f>
        <v>0</v>
      </c>
      <c r="K976" s="72" t="s">
        <v>3101</v>
      </c>
      <c r="L976" s="57" t="s">
        <v>1987</v>
      </c>
      <c r="Q976" s="57" t="str">
        <f t="shared" si="15"/>
        <v>🔴 LOW</v>
      </c>
    </row>
    <row r="977" spans="1:17" ht="207.6" customHeight="1">
      <c r="A977" s="56" t="s">
        <v>987</v>
      </c>
      <c r="E977" s="72">
        <f>SUMIF(History1!B:B, A977, History1!C:C)</f>
        <v>0</v>
      </c>
      <c r="K977" s="72" t="s">
        <v>3102</v>
      </c>
      <c r="L977" s="57" t="s">
        <v>1988</v>
      </c>
      <c r="Q977" s="57" t="str">
        <f t="shared" si="15"/>
        <v>🔴 LOW</v>
      </c>
    </row>
    <row r="978" spans="1:17" ht="207.6" customHeight="1">
      <c r="A978" s="56" t="s">
        <v>988</v>
      </c>
      <c r="E978" s="72">
        <f>SUMIF(History1!B:B, A978, History1!C:C)</f>
        <v>0</v>
      </c>
      <c r="K978" s="72" t="s">
        <v>3103</v>
      </c>
      <c r="L978" s="57" t="s">
        <v>1989</v>
      </c>
      <c r="Q978" s="57" t="str">
        <f t="shared" si="15"/>
        <v>🔴 LOW</v>
      </c>
    </row>
    <row r="979" spans="1:17" ht="207.6" customHeight="1">
      <c r="A979" s="56" t="s">
        <v>989</v>
      </c>
      <c r="E979" s="72">
        <f>SUMIF(History1!B:B, A979, History1!C:C)</f>
        <v>0</v>
      </c>
      <c r="K979" s="72" t="s">
        <v>3104</v>
      </c>
      <c r="L979" s="57" t="s">
        <v>1990</v>
      </c>
      <c r="Q979" s="57" t="str">
        <f t="shared" si="15"/>
        <v>🔴 LOW</v>
      </c>
    </row>
    <row r="980" spans="1:17" ht="207.6" customHeight="1">
      <c r="A980" s="56" t="s">
        <v>990</v>
      </c>
      <c r="E980" s="72">
        <f>SUMIF(History1!B:B, A980, History1!C:C)</f>
        <v>0</v>
      </c>
      <c r="K980" s="72" t="s">
        <v>3105</v>
      </c>
      <c r="L980" s="57" t="s">
        <v>1991</v>
      </c>
      <c r="Q980" s="57" t="str">
        <f t="shared" si="15"/>
        <v>🔴 LOW</v>
      </c>
    </row>
    <row r="981" spans="1:17" ht="207.6" customHeight="1">
      <c r="A981" s="56" t="s">
        <v>991</v>
      </c>
      <c r="E981" s="72">
        <f>SUMIF(History1!B:B, A981, History1!C:C)</f>
        <v>0</v>
      </c>
      <c r="K981" s="72" t="s">
        <v>3106</v>
      </c>
      <c r="L981" s="57" t="s">
        <v>1992</v>
      </c>
      <c r="Q981" s="57" t="str">
        <f t="shared" si="15"/>
        <v>🔴 LOW</v>
      </c>
    </row>
    <row r="982" spans="1:17" ht="207.6" customHeight="1">
      <c r="A982" s="56" t="s">
        <v>992</v>
      </c>
      <c r="E982" s="72">
        <f>SUMIF(History1!B:B, A982, History1!C:C)</f>
        <v>0</v>
      </c>
      <c r="K982" s="72" t="s">
        <v>3107</v>
      </c>
      <c r="L982" s="57" t="s">
        <v>1993</v>
      </c>
      <c r="Q982" s="57" t="str">
        <f t="shared" si="15"/>
        <v>🔴 LOW</v>
      </c>
    </row>
    <row r="983" spans="1:17" ht="207.6" customHeight="1">
      <c r="A983" s="56" t="s">
        <v>993</v>
      </c>
      <c r="E983" s="72">
        <f>SUMIF(History1!B:B, A983, History1!C:C)</f>
        <v>0</v>
      </c>
      <c r="K983" s="72" t="s">
        <v>3108</v>
      </c>
      <c r="L983" s="57" t="s">
        <v>1994</v>
      </c>
      <c r="Q983" s="57" t="str">
        <f t="shared" si="15"/>
        <v>🔴 LOW</v>
      </c>
    </row>
    <row r="984" spans="1:17" ht="207.6" customHeight="1">
      <c r="A984" s="56" t="s">
        <v>994</v>
      </c>
      <c r="E984" s="72">
        <f>SUMIF(History1!B:B, A984, History1!C:C)</f>
        <v>0</v>
      </c>
      <c r="K984" s="72" t="s">
        <v>3109</v>
      </c>
      <c r="L984" s="57" t="s">
        <v>1995</v>
      </c>
      <c r="Q984" s="57" t="str">
        <f t="shared" si="15"/>
        <v>🔴 LOW</v>
      </c>
    </row>
    <row r="985" spans="1:17" ht="207.6" customHeight="1">
      <c r="A985" s="56" t="s">
        <v>995</v>
      </c>
      <c r="E985" s="72">
        <f>SUMIF(History1!B:B, A985, History1!C:C)</f>
        <v>0</v>
      </c>
      <c r="K985" s="72" t="s">
        <v>3110</v>
      </c>
      <c r="L985" s="57" t="s">
        <v>1996</v>
      </c>
      <c r="Q985" s="57" t="str">
        <f t="shared" si="15"/>
        <v>🔴 LOW</v>
      </c>
    </row>
    <row r="986" spans="1:17" ht="207.6" customHeight="1">
      <c r="A986" s="56" t="s">
        <v>996</v>
      </c>
      <c r="E986" s="72">
        <f>SUMIF(History1!B:B, A986, History1!C:C)</f>
        <v>0</v>
      </c>
      <c r="K986" s="72" t="s">
        <v>3111</v>
      </c>
      <c r="L986" s="57" t="s">
        <v>1997</v>
      </c>
      <c r="Q986" s="57" t="str">
        <f t="shared" si="15"/>
        <v>🔴 LOW</v>
      </c>
    </row>
    <row r="987" spans="1:17" ht="207.6" customHeight="1">
      <c r="A987" s="56" t="s">
        <v>997</v>
      </c>
      <c r="E987" s="72">
        <f>SUMIF(History1!B:B, A987, History1!C:C)</f>
        <v>0</v>
      </c>
      <c r="K987" s="72" t="s">
        <v>3112</v>
      </c>
      <c r="L987" s="57" t="s">
        <v>1998</v>
      </c>
      <c r="Q987" s="57" t="str">
        <f t="shared" si="15"/>
        <v>🔴 LOW</v>
      </c>
    </row>
    <row r="988" spans="1:17" ht="207.6" customHeight="1">
      <c r="A988" s="56" t="s">
        <v>998</v>
      </c>
      <c r="E988" s="72">
        <f>SUMIF(History1!B:B, A988, History1!C:C)</f>
        <v>0</v>
      </c>
      <c r="K988" s="72" t="s">
        <v>3113</v>
      </c>
      <c r="L988" s="57" t="s">
        <v>1999</v>
      </c>
      <c r="Q988" s="57" t="str">
        <f t="shared" si="15"/>
        <v>🔴 LOW</v>
      </c>
    </row>
    <row r="989" spans="1:17" ht="207.6" customHeight="1">
      <c r="A989" s="56" t="s">
        <v>999</v>
      </c>
      <c r="E989" s="72">
        <f>SUMIF(History1!B:B, A989, History1!C:C)</f>
        <v>0</v>
      </c>
      <c r="K989" s="72" t="s">
        <v>3114</v>
      </c>
      <c r="L989" s="57" t="s">
        <v>2000</v>
      </c>
      <c r="Q989" s="57" t="str">
        <f t="shared" si="15"/>
        <v>🔴 LOW</v>
      </c>
    </row>
    <row r="990" spans="1:17" ht="207.6" customHeight="1">
      <c r="A990" s="56" t="s">
        <v>1000</v>
      </c>
      <c r="E990" s="72">
        <f>SUMIF(History1!B:B, A990, History1!C:C)</f>
        <v>0</v>
      </c>
      <c r="K990" s="72" t="s">
        <v>3115</v>
      </c>
      <c r="L990" s="57" t="s">
        <v>2001</v>
      </c>
      <c r="Q990" s="57" t="str">
        <f t="shared" si="15"/>
        <v>🔴 LOW</v>
      </c>
    </row>
    <row r="991" spans="1:17" ht="207.6" customHeight="1">
      <c r="A991" s="56" t="s">
        <v>1001</v>
      </c>
      <c r="E991" s="72">
        <f>SUMIF(History1!B:B, A991, History1!C:C)</f>
        <v>0</v>
      </c>
      <c r="K991" s="72" t="s">
        <v>3116</v>
      </c>
      <c r="L991" s="57" t="s">
        <v>2002</v>
      </c>
      <c r="Q991" s="57" t="str">
        <f t="shared" si="15"/>
        <v>🔴 LOW</v>
      </c>
    </row>
    <row r="992" spans="1:17" ht="207.6" customHeight="1">
      <c r="A992" s="56" t="s">
        <v>1002</v>
      </c>
      <c r="E992" s="72">
        <f>SUMIF(History1!B:B, A992, History1!C:C)</f>
        <v>0</v>
      </c>
      <c r="K992" s="72" t="s">
        <v>3117</v>
      </c>
      <c r="L992" s="57" t="s">
        <v>2003</v>
      </c>
      <c r="Q992" s="57" t="str">
        <f t="shared" si="15"/>
        <v>🔴 LOW</v>
      </c>
    </row>
    <row r="993" spans="1:17" ht="207.6" customHeight="1">
      <c r="A993" s="56" t="s">
        <v>1003</v>
      </c>
      <c r="E993" s="72">
        <f>SUMIF(History1!B:B, A993, History1!C:C)</f>
        <v>0</v>
      </c>
      <c r="K993" s="72" t="s">
        <v>3118</v>
      </c>
      <c r="L993" s="57" t="s">
        <v>2004</v>
      </c>
      <c r="Q993" s="57" t="str">
        <f t="shared" si="15"/>
        <v>🔴 LOW</v>
      </c>
    </row>
    <row r="994" spans="1:17" ht="207.6" customHeight="1">
      <c r="A994" s="56" t="s">
        <v>1004</v>
      </c>
      <c r="E994" s="72">
        <f>SUMIF(History1!B:B, A994, History1!C:C)</f>
        <v>0</v>
      </c>
      <c r="K994" s="72" t="s">
        <v>3119</v>
      </c>
      <c r="L994" s="57" t="s">
        <v>2005</v>
      </c>
      <c r="Q994" s="57" t="str">
        <f t="shared" si="15"/>
        <v>🔴 LOW</v>
      </c>
    </row>
    <row r="995" spans="1:17" ht="207.6" customHeight="1">
      <c r="A995" s="56" t="s">
        <v>1005</v>
      </c>
      <c r="E995" s="72">
        <f>SUMIF(History1!B:B, A995, History1!C:C)</f>
        <v>0</v>
      </c>
      <c r="K995" s="72" t="s">
        <v>3120</v>
      </c>
      <c r="L995" s="57" t="s">
        <v>2006</v>
      </c>
      <c r="Q995" s="57" t="str">
        <f t="shared" si="15"/>
        <v>🔴 LOW</v>
      </c>
    </row>
    <row r="996" spans="1:17" ht="207.6" customHeight="1">
      <c r="A996" s="56" t="s">
        <v>1006</v>
      </c>
      <c r="E996" s="72">
        <f>SUMIF(History1!B:B, A996, History1!C:C)</f>
        <v>0</v>
      </c>
      <c r="K996" s="72" t="s">
        <v>3121</v>
      </c>
      <c r="L996" s="57" t="s">
        <v>2007</v>
      </c>
      <c r="Q996" s="57" t="str">
        <f t="shared" si="15"/>
        <v>🔴 LOW</v>
      </c>
    </row>
    <row r="997" spans="1:17" ht="207.6" customHeight="1">
      <c r="A997" s="56" t="s">
        <v>1007</v>
      </c>
      <c r="E997" s="72">
        <f>SUMIF(History1!B:B, A997, History1!C:C)</f>
        <v>0</v>
      </c>
      <c r="K997" s="72" t="s">
        <v>3122</v>
      </c>
      <c r="L997" s="57" t="s">
        <v>2008</v>
      </c>
      <c r="Q997" s="57" t="str">
        <f t="shared" si="15"/>
        <v>🔴 LOW</v>
      </c>
    </row>
    <row r="998" spans="1:17" ht="207.6" customHeight="1">
      <c r="A998" s="56" t="s">
        <v>1008</v>
      </c>
      <c r="E998" s="72">
        <f>SUMIF(History1!B:B, A998, History1!C:C)</f>
        <v>0</v>
      </c>
      <c r="K998" s="72" t="s">
        <v>3123</v>
      </c>
      <c r="L998" s="57" t="s">
        <v>2009</v>
      </c>
      <c r="Q998" s="57" t="str">
        <f t="shared" si="15"/>
        <v>🔴 LOW</v>
      </c>
    </row>
    <row r="999" spans="1:17" ht="207.6" customHeight="1">
      <c r="A999" s="56" t="s">
        <v>1009</v>
      </c>
      <c r="E999" s="72">
        <f>SUMIF(History1!B:B, A999, History1!C:C)</f>
        <v>0</v>
      </c>
      <c r="K999" s="72" t="s">
        <v>3124</v>
      </c>
      <c r="L999" s="57" t="s">
        <v>2010</v>
      </c>
      <c r="Q999" s="57" t="str">
        <f t="shared" si="15"/>
        <v>🔴 LOW</v>
      </c>
    </row>
    <row r="1000" spans="1:17" ht="207.6" customHeight="1">
      <c r="A1000" s="56" t="s">
        <v>1010</v>
      </c>
      <c r="E1000" s="72">
        <f>SUMIF(History1!B:B, A1000, History1!C:C)</f>
        <v>0</v>
      </c>
      <c r="K1000" s="72" t="s">
        <v>3125</v>
      </c>
      <c r="L1000" s="57" t="s">
        <v>2011</v>
      </c>
      <c r="Q1000" s="57" t="str">
        <f t="shared" si="15"/>
        <v>🔴 LOW</v>
      </c>
    </row>
    <row r="1001" spans="1:17" ht="207.6" customHeight="1">
      <c r="A1001" s="56" t="s">
        <v>1011</v>
      </c>
      <c r="E1001" s="72">
        <f>SUMIF(History1!B:B, A1001, History1!C:C)</f>
        <v>0</v>
      </c>
      <c r="K1001" s="72" t="s">
        <v>3126</v>
      </c>
      <c r="L1001" s="57" t="s">
        <v>2012</v>
      </c>
      <c r="Q1001" s="57" t="str">
        <f t="shared" si="15"/>
        <v>🔴 LOW</v>
      </c>
    </row>
  </sheetData>
  <mergeCells count="1">
    <mergeCell ref="AA4:AB4"/>
  </mergeCells>
  <phoneticPr fontId="1" type="noConversion"/>
  <conditionalFormatting sqref="E1:E1048576">
    <cfRule type="colorScale" priority="2">
      <colorScale>
        <cfvo type="min"/>
        <cfvo type="percentile" val="50"/>
        <cfvo type="max"/>
        <color rgb="FFF8696B"/>
        <color rgb="FFFFEB84"/>
        <color rgb="FF63BE7B"/>
      </colorScale>
    </cfRule>
  </conditionalFormatting>
  <conditionalFormatting sqref="Q1:Q1048576">
    <cfRule type="colorScale" priority="1">
      <colorScale>
        <cfvo type="formula" val="&quot;LOW&quot;"/>
        <cfvo type="formula" val="&quot;MEDIUM&quot;"/>
        <cfvo type="formula" val="&quot;GOOD&quot;"/>
        <color rgb="FFF8696B"/>
        <color rgb="FFFFEB84"/>
        <color rgb="FF63BE7B"/>
      </colorScale>
    </cfRule>
  </conditionalFormatting>
  <hyperlinks>
    <hyperlink ref="L32" r:id="rId1" xr:uid="{B8E9C52F-3D66-46AC-886A-BCAE25411AB1}"/>
    <hyperlink ref="L11" r:id="rId2" xr:uid="{3F266BBF-F0BD-4702-B9F5-3DF6098DDF53}"/>
    <hyperlink ref="L10" r:id="rId3" xr:uid="{027E4145-2C6B-4AAA-AA0B-40C93A9D1181}"/>
    <hyperlink ref="L33" r:id="rId4" xr:uid="{997EF67A-95D4-4787-B2AD-9ABD19C02119}"/>
    <hyperlink ref="L2" r:id="rId5" xr:uid="{497502EE-B999-4DF1-ABC6-CFCD63DD8F42}"/>
    <hyperlink ref="L5" r:id="rId6" display="https://flowersystem-lb.github.io/inventorysystem/html/FP0004.html" xr:uid="{DB32F5A7-6E26-4FAA-B2AD-F264EC9716A3}"/>
    <hyperlink ref="L3" r:id="rId7" display="https://flowersystem-lb.github.io/inventorysystem/html/FP0002.html" xr:uid="{8CF474F3-5F45-4557-A378-359DFE361E38}"/>
    <hyperlink ref="L4" r:id="rId8" display="https://flowersystem-lb.github.io/inventorysystem/html/FP0003.html" xr:uid="{77D5E741-78E1-4E3D-878B-F8C13984CF6C}"/>
    <hyperlink ref="L52" r:id="rId9" xr:uid="{19E713FD-6D62-427D-9815-AA666C527A68}"/>
    <hyperlink ref="L53" r:id="rId10" xr:uid="{AFF94B7A-32A3-4771-ADBD-13858C22E32A}"/>
    <hyperlink ref="L56" r:id="rId11" xr:uid="{3612A198-A397-4FC4-8DAA-0929EF39D0CB}"/>
  </hyperlinks>
  <pageMargins left="0.7" right="0.7" top="0.75" bottom="0.75" header="0.3" footer="0.3"/>
  <pageSetup orientation="portrait" r:id="rId12"/>
  <drawing r:id="rId1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B26E76-28A2-4A72-ABEA-FF7463054685}">
  <sheetPr codeName="Sheet4">
    <tabColor theme="5"/>
  </sheetPr>
  <dimension ref="A1:G13"/>
  <sheetViews>
    <sheetView tabSelected="1" workbookViewId="0">
      <selection activeCell="G2" sqref="G2"/>
    </sheetView>
  </sheetViews>
  <sheetFormatPr defaultRowHeight="55.8" customHeight="1"/>
  <cols>
    <col min="1" max="1" width="17.6640625" style="76" customWidth="1"/>
    <col min="2" max="2" width="19.21875" style="76" customWidth="1"/>
    <col min="3" max="3" width="6.6640625" style="76" customWidth="1"/>
    <col min="4" max="4" width="14.5546875" style="76" customWidth="1"/>
    <col min="5" max="5" width="23.88671875" style="76" customWidth="1"/>
    <col min="6" max="6" width="24.6640625" style="76" customWidth="1"/>
    <col min="7" max="7" width="15.77734375" style="76" customWidth="1"/>
    <col min="8" max="16384" width="8.88671875" style="76"/>
  </cols>
  <sheetData>
    <row r="1" spans="1:7" s="77" customFormat="1" ht="70.8" customHeight="1">
      <c r="A1" s="78" t="s">
        <v>3140</v>
      </c>
      <c r="B1" s="78" t="s">
        <v>0</v>
      </c>
      <c r="C1" s="78" t="s">
        <v>2013</v>
      </c>
      <c r="D1" s="78" t="s">
        <v>3141</v>
      </c>
      <c r="E1" s="78" t="s">
        <v>3142</v>
      </c>
      <c r="F1" s="78" t="s">
        <v>2</v>
      </c>
      <c r="G1" s="78" t="s">
        <v>7</v>
      </c>
    </row>
    <row r="2" spans="1:7" ht="55.8" customHeight="1">
      <c r="A2" s="76" t="s">
        <v>3146</v>
      </c>
      <c r="B2" s="76" t="s">
        <v>62</v>
      </c>
      <c r="C2" s="76">
        <v>34</v>
      </c>
      <c r="D2" s="76" t="s">
        <v>3145</v>
      </c>
      <c r="E2" s="76" t="s">
        <v>3144</v>
      </c>
      <c r="F2" s="76" t="s">
        <v>2015</v>
      </c>
      <c r="G2" s="76" t="s">
        <v>2015</v>
      </c>
    </row>
    <row r="4" spans="1:7" ht="55.8" customHeight="1">
      <c r="A4"/>
      <c r="B4"/>
      <c r="C4"/>
      <c r="D4"/>
      <c r="E4"/>
      <c r="F4"/>
    </row>
    <row r="5" spans="1:7" ht="55.8" customHeight="1">
      <c r="A5"/>
      <c r="B5"/>
      <c r="C5"/>
      <c r="D5"/>
      <c r="E5"/>
      <c r="F5"/>
    </row>
    <row r="6" spans="1:7" ht="55.8" customHeight="1">
      <c r="A6"/>
      <c r="B6"/>
      <c r="C6"/>
      <c r="D6"/>
      <c r="E6"/>
      <c r="F6"/>
    </row>
    <row r="7" spans="1:7" ht="55.8" customHeight="1">
      <c r="A7"/>
      <c r="B7"/>
      <c r="C7"/>
      <c r="D7"/>
      <c r="E7"/>
      <c r="F7"/>
    </row>
    <row r="8" spans="1:7" ht="55.8" customHeight="1">
      <c r="A8"/>
      <c r="B8"/>
      <c r="C8"/>
      <c r="D8"/>
      <c r="E8"/>
      <c r="F8"/>
    </row>
    <row r="9" spans="1:7" ht="55.8" customHeight="1">
      <c r="A9"/>
      <c r="B9"/>
      <c r="C9"/>
      <c r="D9"/>
      <c r="E9"/>
      <c r="F9"/>
    </row>
    <row r="10" spans="1:7" ht="55.8" customHeight="1">
      <c r="A10"/>
      <c r="B10"/>
      <c r="C10"/>
      <c r="D10"/>
      <c r="E10"/>
      <c r="F10"/>
    </row>
    <row r="11" spans="1:7" ht="55.8" customHeight="1">
      <c r="A11"/>
      <c r="B11"/>
      <c r="C11"/>
      <c r="D11"/>
      <c r="E11"/>
      <c r="F11"/>
    </row>
    <row r="12" spans="1:7" ht="55.8" customHeight="1">
      <c r="A12"/>
      <c r="B12"/>
      <c r="C12"/>
      <c r="D12"/>
      <c r="E12"/>
      <c r="F12"/>
    </row>
    <row r="13" spans="1:7" ht="55.8" customHeight="1">
      <c r="A13"/>
      <c r="B13"/>
      <c r="C13"/>
      <c r="D13"/>
      <c r="E13"/>
      <c r="F13"/>
    </row>
  </sheetData>
  <phoneticPr fontId="1"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B23D08-94BA-49F1-BF8D-86BB35C21788}">
  <sheetPr codeName="Sheet2">
    <tabColor rgb="FFFFFF00"/>
  </sheetPr>
  <dimension ref="A1:N30"/>
  <sheetViews>
    <sheetView zoomScale="73" workbookViewId="0">
      <selection activeCell="C6" sqref="C6"/>
    </sheetView>
  </sheetViews>
  <sheetFormatPr defaultRowHeight="14.4"/>
  <cols>
    <col min="1" max="1" width="20.88671875" customWidth="1"/>
    <col min="2" max="11" width="14.6640625" customWidth="1"/>
    <col min="12" max="12" width="18.21875" customWidth="1"/>
    <col min="14" max="14" width="32.44140625" customWidth="1"/>
  </cols>
  <sheetData>
    <row r="1" spans="1:14" s="50" customFormat="1" ht="54" customHeight="1" thickBot="1">
      <c r="A1" s="53" t="s">
        <v>2027</v>
      </c>
      <c r="C1" s="51" t="s">
        <v>3139</v>
      </c>
      <c r="E1" s="52" t="s">
        <v>2028</v>
      </c>
    </row>
    <row r="2" spans="1:14" s="61" customFormat="1" ht="29.4" customHeight="1" thickBot="1">
      <c r="A2" s="60" t="s">
        <v>0</v>
      </c>
      <c r="B2" s="61" t="s">
        <v>1</v>
      </c>
      <c r="C2" s="61" t="s">
        <v>2027</v>
      </c>
      <c r="D2" s="61" t="s">
        <v>3</v>
      </c>
      <c r="E2" s="61" t="s">
        <v>4</v>
      </c>
      <c r="F2" s="61" t="s">
        <v>5</v>
      </c>
      <c r="G2" s="61" t="s">
        <v>6</v>
      </c>
      <c r="H2" s="61" t="s">
        <v>7</v>
      </c>
      <c r="I2" s="61" t="s">
        <v>8</v>
      </c>
      <c r="J2" s="61" t="s">
        <v>9</v>
      </c>
      <c r="K2" s="61" t="s">
        <v>10</v>
      </c>
      <c r="L2" s="61" t="s">
        <v>11</v>
      </c>
      <c r="M2" s="61" t="s">
        <v>1012</v>
      </c>
      <c r="N2" s="61" t="s">
        <v>2014</v>
      </c>
    </row>
    <row r="3" spans="1:14" s="49" customFormat="1" ht="56.4" customHeight="1">
      <c r="A3" s="49" t="str" cm="1">
        <f t="array" ref="A3">_xlfn._xlws.FILTER(Inventory!A:Z,Inventory!C:C=C1,"No Results")</f>
        <v>No Results</v>
      </c>
    </row>
    <row r="4" spans="1:14" s="49" customFormat="1" ht="56.4" customHeight="1"/>
    <row r="5" spans="1:14" s="49" customFormat="1" ht="56.4" customHeight="1"/>
    <row r="6" spans="1:14" s="49" customFormat="1" ht="56.4" customHeight="1"/>
    <row r="7" spans="1:14" s="49" customFormat="1" ht="56.4" customHeight="1"/>
    <row r="8" spans="1:14" s="49" customFormat="1" ht="56.4" customHeight="1"/>
    <row r="9" spans="1:14" s="49" customFormat="1" ht="56.4" customHeight="1"/>
    <row r="10" spans="1:14" s="49" customFormat="1" ht="56.4" customHeight="1"/>
    <row r="11" spans="1:14" s="49" customFormat="1" ht="56.4" customHeight="1"/>
    <row r="12" spans="1:14" s="49" customFormat="1" ht="56.4" customHeight="1"/>
    <row r="13" spans="1:14" s="49" customFormat="1" ht="56.4" customHeight="1"/>
    <row r="14" spans="1:14" s="49" customFormat="1" ht="56.4" customHeight="1"/>
    <row r="15" spans="1:14" s="49" customFormat="1" ht="56.4" customHeight="1"/>
    <row r="16" spans="1:14" s="49" customFormat="1" ht="56.4" customHeight="1"/>
    <row r="17" s="49" customFormat="1" ht="56.4" customHeight="1"/>
    <row r="18" s="49" customFormat="1" ht="56.4" customHeight="1"/>
    <row r="19" s="49" customFormat="1" ht="56.4" customHeight="1"/>
    <row r="20" s="49" customFormat="1" ht="56.4" customHeight="1"/>
    <row r="21" s="49" customFormat="1" ht="56.4" customHeight="1"/>
    <row r="22" s="49" customFormat="1" ht="56.4" customHeight="1"/>
    <row r="23" s="49" customFormat="1" ht="56.4" customHeight="1"/>
    <row r="24" s="49" customFormat="1" ht="56.4" customHeight="1"/>
    <row r="25" s="49" customFormat="1" ht="56.4" customHeight="1"/>
    <row r="26" s="49" customFormat="1" ht="56.4" customHeight="1"/>
    <row r="27" s="49" customFormat="1" ht="56.4" customHeight="1"/>
    <row r="28" s="49" customFormat="1" ht="56.4" customHeight="1"/>
    <row r="29" s="49" customFormat="1" ht="56.4" customHeight="1"/>
    <row r="30" s="49" customFormat="1" ht="56.4" customHeight="1"/>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B96388-EB85-45D0-9314-586DFF7EDECC}">
  <sheetPr codeName="Sheet3">
    <tabColor rgb="FF00B0F0"/>
  </sheetPr>
  <dimension ref="A1:M37"/>
  <sheetViews>
    <sheetView zoomScale="54" workbookViewId="0">
      <selection activeCell="H14" sqref="H14"/>
    </sheetView>
  </sheetViews>
  <sheetFormatPr defaultRowHeight="14.4"/>
  <cols>
    <col min="1" max="2" width="20.77734375" customWidth="1"/>
    <col min="3" max="3" width="29.21875" customWidth="1"/>
    <col min="4" max="4" width="20.77734375" customWidth="1"/>
    <col min="5" max="5" width="23.6640625" customWidth="1"/>
    <col min="6" max="6" width="20.77734375" customWidth="1"/>
    <col min="7" max="7" width="32.33203125" customWidth="1"/>
    <col min="8" max="8" width="20.77734375" customWidth="1"/>
  </cols>
  <sheetData>
    <row r="1" spans="1:13" ht="16.8" customHeight="1">
      <c r="A1" s="1"/>
      <c r="B1" s="1"/>
      <c r="C1" s="1"/>
      <c r="D1" s="1"/>
      <c r="E1" s="1"/>
      <c r="F1" s="1"/>
      <c r="G1" s="1"/>
      <c r="H1" s="1"/>
      <c r="I1" s="37"/>
    </row>
    <row r="2" spans="1:13" ht="64.2" customHeight="1">
      <c r="A2" s="1"/>
      <c r="B2" s="2"/>
      <c r="C2" s="81" t="s">
        <v>2015</v>
      </c>
      <c r="D2" s="81"/>
      <c r="E2" s="3"/>
      <c r="F2" s="4"/>
      <c r="G2" s="42" t="s">
        <v>2016</v>
      </c>
      <c r="H2" s="5"/>
      <c r="I2" s="37"/>
    </row>
    <row r="3" spans="1:13" ht="16.8" customHeight="1">
      <c r="A3" s="1"/>
      <c r="B3" s="6"/>
      <c r="C3" s="82" t="s">
        <v>2017</v>
      </c>
      <c r="D3" s="82"/>
      <c r="E3" s="7"/>
      <c r="F3" s="43" t="s">
        <v>2018</v>
      </c>
      <c r="G3" s="8"/>
      <c r="H3" s="9"/>
      <c r="I3" s="37"/>
    </row>
    <row r="4" spans="1:13" ht="19.2" customHeight="1">
      <c r="A4" s="1"/>
      <c r="B4" s="10" t="s">
        <v>2019</v>
      </c>
      <c r="C4" s="82"/>
      <c r="D4" s="82"/>
      <c r="E4" s="11"/>
      <c r="F4" s="44" t="s">
        <v>2020</v>
      </c>
      <c r="G4" s="12"/>
      <c r="H4" s="9"/>
      <c r="I4" s="37"/>
    </row>
    <row r="5" spans="1:13" ht="16.2" customHeight="1">
      <c r="A5" s="1"/>
      <c r="B5" s="13"/>
      <c r="C5" s="14"/>
      <c r="D5" s="15"/>
      <c r="E5" s="1"/>
      <c r="F5" s="45" t="s">
        <v>2021</v>
      </c>
      <c r="G5" s="16"/>
      <c r="H5" s="17"/>
      <c r="I5" s="37"/>
    </row>
    <row r="6" spans="1:13" ht="40.049999999999997" customHeight="1">
      <c r="A6" s="1"/>
      <c r="B6" s="18"/>
      <c r="C6" s="18"/>
      <c r="D6" s="7"/>
      <c r="E6" s="7"/>
      <c r="F6" s="46"/>
      <c r="G6" s="19"/>
      <c r="H6" s="9"/>
      <c r="I6" s="37"/>
    </row>
    <row r="7" spans="1:13" ht="20.399999999999999" customHeight="1">
      <c r="A7" s="1"/>
      <c r="B7" s="39"/>
      <c r="C7" s="39"/>
      <c r="D7" s="38"/>
      <c r="E7" s="38"/>
      <c r="F7" s="47" t="s">
        <v>2022</v>
      </c>
      <c r="G7" s="20"/>
      <c r="H7" s="21"/>
      <c r="I7" s="37"/>
    </row>
    <row r="8" spans="1:13" ht="20.399999999999999" customHeight="1">
      <c r="A8" s="1"/>
      <c r="B8" s="39"/>
      <c r="C8" s="39"/>
      <c r="D8" s="13"/>
      <c r="E8" s="13"/>
      <c r="F8" s="48" t="s">
        <v>2023</v>
      </c>
      <c r="G8" s="22"/>
      <c r="H8" s="21"/>
      <c r="I8" s="37"/>
    </row>
    <row r="9" spans="1:13" ht="13.8" customHeight="1">
      <c r="A9" s="1"/>
      <c r="B9" s="39"/>
      <c r="C9" s="40"/>
      <c r="D9" s="38"/>
      <c r="E9" s="38"/>
      <c r="F9" s="47"/>
      <c r="G9" s="23"/>
      <c r="H9" s="21"/>
      <c r="I9" s="37"/>
    </row>
    <row r="10" spans="1:13" ht="16.2" customHeight="1">
      <c r="A10" s="1"/>
      <c r="B10" s="39"/>
      <c r="C10" s="39"/>
      <c r="D10" s="13"/>
      <c r="E10" s="13"/>
      <c r="F10" s="48" t="s">
        <v>2024</v>
      </c>
      <c r="G10" s="24"/>
      <c r="H10" s="21"/>
      <c r="I10" s="37"/>
      <c r="M10" s="59"/>
    </row>
    <row r="11" spans="1:13" ht="27.6" customHeight="1">
      <c r="A11" s="1"/>
      <c r="B11" s="41"/>
      <c r="C11" s="13"/>
      <c r="D11" s="38"/>
      <c r="E11" s="38"/>
      <c r="F11" s="47" t="s">
        <v>2025</v>
      </c>
      <c r="G11" s="25"/>
      <c r="H11" s="21"/>
      <c r="I11" s="37"/>
    </row>
    <row r="12" spans="1:13" ht="40.049999999999997" customHeight="1">
      <c r="A12" s="1"/>
      <c r="B12" s="26"/>
      <c r="C12" s="15"/>
      <c r="D12" s="15"/>
      <c r="E12" s="15"/>
      <c r="F12" s="15"/>
      <c r="G12" s="15"/>
      <c r="H12" s="17"/>
      <c r="I12" s="37"/>
    </row>
    <row r="13" spans="1:13" ht="55.8" customHeight="1">
      <c r="A13" s="1"/>
      <c r="B13" s="68" t="s">
        <v>0</v>
      </c>
      <c r="C13" s="68" t="s">
        <v>9</v>
      </c>
      <c r="D13" s="68" t="s">
        <v>2013</v>
      </c>
      <c r="E13" s="68" t="s">
        <v>2027</v>
      </c>
      <c r="F13" s="68" t="s">
        <v>3</v>
      </c>
      <c r="G13" s="68" t="s">
        <v>2014</v>
      </c>
      <c r="H13" s="68" t="s">
        <v>1</v>
      </c>
      <c r="I13" s="27"/>
    </row>
    <row r="14" spans="1:13" ht="193.8" customHeight="1">
      <c r="A14" s="1"/>
      <c r="B14" s="62" t="s">
        <v>2029</v>
      </c>
      <c r="C14" s="69">
        <f>IFERROR(VLOOKUP(B14,Inventory!A:K,10,FALSE),"")</f>
        <v>0</v>
      </c>
      <c r="D14" s="64"/>
      <c r="E14" s="63" t="str">
        <f>IFERROR(VLOOKUP(B14,Inventory!A:K,3,FALSE),"")</f>
        <v>ConcretePots</v>
      </c>
      <c r="F14" s="63" t="str">
        <f>IFERROR(VLOOKUP(B14,Inventory!A:K,4,FALSE),"")</f>
        <v>7cm*7cm</v>
      </c>
      <c r="G14" s="63"/>
      <c r="H14" s="63" t="str">
        <f>IFERROR(VLOOKUP(B14,Inventory!A:K,2,FALSE),"")</f>
        <v>#Fp-C</v>
      </c>
      <c r="I14" s="27"/>
    </row>
    <row r="15" spans="1:13" ht="55.8" customHeight="1">
      <c r="A15" s="1"/>
      <c r="B15" s="62" t="s">
        <v>12</v>
      </c>
      <c r="C15" s="65">
        <f>IFERROR(VLOOKUP(B15,Inventory!A:K,10,FALSE),"")</f>
        <v>0</v>
      </c>
      <c r="D15" s="64"/>
      <c r="E15" s="63" t="str">
        <f>IFERROR(VLOOKUP(B15,Inventory!A:K,3,FALSE),"")</f>
        <v>ConcretePots</v>
      </c>
      <c r="F15" s="63" t="str">
        <f>IFERROR(VLOOKUP(B15,Inventory!A:K,4,FALSE),"")</f>
        <v>6cm*7cm</v>
      </c>
      <c r="G15" s="63"/>
      <c r="H15" s="63" t="str">
        <f>IFERROR(VLOOKUP(B15,Inventory!A:K,2,FALSE),"")</f>
        <v>#Fp-A</v>
      </c>
      <c r="I15" s="27"/>
    </row>
    <row r="16" spans="1:13" ht="55.8" customHeight="1">
      <c r="A16" s="1"/>
      <c r="B16" s="62" t="s">
        <v>2030</v>
      </c>
      <c r="C16" s="65">
        <f>IFERROR(VLOOKUP(B16,Inventory!A:K,10,FALSE),"")</f>
        <v>0</v>
      </c>
      <c r="D16" s="64"/>
      <c r="E16" s="63" t="str">
        <f>IFERROR(VLOOKUP(B16,Inventory!A:K,3,FALSE),"")</f>
        <v>ConcretePots</v>
      </c>
      <c r="F16" s="63" t="str">
        <f>IFERROR(VLOOKUP(B16,Inventory!A:K,4,FALSE),"")</f>
        <v>6cm*5cm</v>
      </c>
      <c r="G16" s="63"/>
      <c r="H16" s="63" t="str">
        <f>IFERROR(VLOOKUP(B16,Inventory!A:K,2,FALSE),"")</f>
        <v>#Fp-D</v>
      </c>
      <c r="I16" s="27"/>
    </row>
    <row r="17" spans="1:9" ht="55.8" customHeight="1">
      <c r="A17" s="1"/>
      <c r="B17" s="62"/>
      <c r="C17" s="65" t="str">
        <f>IFERROR(VLOOKUP(B17,Inventory!A:K,10,FALSE),"")</f>
        <v/>
      </c>
      <c r="D17" s="64"/>
      <c r="E17" s="66" t="str">
        <f>IFERROR(VLOOKUP(B17,Inventory!A:K,3,FALSE),"")</f>
        <v/>
      </c>
      <c r="F17" s="67" t="str">
        <f>IFERROR(VLOOKUP(B17,Inventory!A:K,4,FALSE),"")</f>
        <v/>
      </c>
      <c r="G17" s="66" t="str">
        <f>IFERROR(IF(SimpleInvoice[[#This Row],[Category]]="","",(SimpleInvoice[[#This Row],[Qty]]*SimpleInvoice[[#This Row],[Category]])-SimpleInvoice[[#This Row],[Size]]),"")</f>
        <v/>
      </c>
      <c r="H17" s="66" t="str">
        <f>IFERROR(VLOOKUP(B17,Inventory!A:K,2,FALSE),"")</f>
        <v/>
      </c>
      <c r="I17" s="27"/>
    </row>
    <row r="18" spans="1:9" ht="55.8" customHeight="1">
      <c r="A18" s="1"/>
      <c r="B18" s="62"/>
      <c r="C18" s="65" t="str">
        <f>IFERROR(VLOOKUP(B18,Inventory!A:K,10,FALSE),"")</f>
        <v/>
      </c>
      <c r="D18" s="64"/>
      <c r="E18" s="66" t="str">
        <f>IFERROR(VLOOKUP(B18,Inventory!A:K,3,FALSE),"")</f>
        <v/>
      </c>
      <c r="F18" s="67" t="str">
        <f>IFERROR(VLOOKUP(B18,Inventory!A:K,4,FALSE),"")</f>
        <v/>
      </c>
      <c r="G18" s="66" t="str">
        <f>IFERROR(IF(SimpleInvoice[[#This Row],[Category]]="","",(SimpleInvoice[[#This Row],[Qty]]*SimpleInvoice[[#This Row],[Category]])-SimpleInvoice[[#This Row],[Size]]),"")</f>
        <v/>
      </c>
      <c r="H18" s="66" t="str">
        <f>IFERROR(VLOOKUP(B18,Inventory!A:K,2,FALSE),"")</f>
        <v/>
      </c>
      <c r="I18" s="27"/>
    </row>
    <row r="19" spans="1:9" ht="55.8" customHeight="1">
      <c r="A19" s="1"/>
      <c r="B19" s="62"/>
      <c r="C19" s="65" t="str">
        <f>IFERROR(VLOOKUP(B19,Inventory!A:K,10,FALSE),"")</f>
        <v/>
      </c>
      <c r="D19" s="64"/>
      <c r="E19" s="66" t="str">
        <f>IFERROR(VLOOKUP(B19,Inventory!A:K,3,FALSE),"")</f>
        <v/>
      </c>
      <c r="F19" s="67" t="str">
        <f>IFERROR(VLOOKUP(B19,Inventory!A:K,4,FALSE),"")</f>
        <v/>
      </c>
      <c r="G19" s="66" t="str">
        <f>IFERROR(IF(SimpleInvoice[[#This Row],[Category]]="","",(SimpleInvoice[[#This Row],[Qty]]*SimpleInvoice[[#This Row],[Category]])-SimpleInvoice[[#This Row],[Size]]),"")</f>
        <v/>
      </c>
      <c r="H19" s="66" t="str">
        <f>IFERROR(VLOOKUP(B19,Inventory!A:K,2,FALSE),"")</f>
        <v/>
      </c>
      <c r="I19" s="27"/>
    </row>
    <row r="20" spans="1:9" ht="55.8" customHeight="1">
      <c r="A20" s="1"/>
      <c r="B20" s="62"/>
      <c r="C20" s="65" t="str">
        <f>IFERROR(VLOOKUP(B20,Inventory!A:K,10,FALSE),"")</f>
        <v/>
      </c>
      <c r="D20" s="64"/>
      <c r="E20" s="66" t="str">
        <f>IFERROR(VLOOKUP(B20,Inventory!A:K,3,FALSE),"")</f>
        <v/>
      </c>
      <c r="F20" s="67" t="str">
        <f>IFERROR(VLOOKUP(B20,Inventory!A:K,4,FALSE),"")</f>
        <v/>
      </c>
      <c r="G20" s="66" t="str">
        <f>IFERROR(IF(SimpleInvoice[[#This Row],[Category]]="","",(SimpleInvoice[[#This Row],[Qty]]*SimpleInvoice[[#This Row],[Category]])-SimpleInvoice[[#This Row],[Size]]),"")</f>
        <v/>
      </c>
      <c r="H20" s="66" t="str">
        <f>IFERROR(VLOOKUP(B20,Inventory!A:K,2,FALSE),"")</f>
        <v/>
      </c>
      <c r="I20" s="27"/>
    </row>
    <row r="21" spans="1:9" ht="55.8" customHeight="1">
      <c r="A21" s="1"/>
      <c r="B21" s="62"/>
      <c r="C21" s="65" t="str">
        <f>IFERROR(VLOOKUP(B21,Inventory!A:K,10,FALSE),"")</f>
        <v/>
      </c>
      <c r="D21" s="64"/>
      <c r="E21" s="66" t="str">
        <f>IFERROR(VLOOKUP(B21,Inventory!A:K,3,FALSE),"")</f>
        <v/>
      </c>
      <c r="F21" s="67" t="str">
        <f>IFERROR(VLOOKUP(B21,Inventory!A:K,4,FALSE),"")</f>
        <v/>
      </c>
      <c r="G21" s="66" t="str">
        <f>IFERROR(IF(SimpleInvoice[[#This Row],[Category]]="","",(SimpleInvoice[[#This Row],[Qty]]*SimpleInvoice[[#This Row],[Category]])-SimpleInvoice[[#This Row],[Size]]),"")</f>
        <v/>
      </c>
      <c r="H21" s="66" t="str">
        <f>IFERROR(VLOOKUP(B21,Inventory!A:K,2,FALSE),"")</f>
        <v/>
      </c>
      <c r="I21" s="27"/>
    </row>
    <row r="22" spans="1:9" ht="55.8" customHeight="1">
      <c r="A22" s="1"/>
      <c r="B22" s="62"/>
      <c r="C22" s="65" t="str">
        <f>IFERROR(VLOOKUP(B22,Inventory!A:K,10,FALSE),"")</f>
        <v/>
      </c>
      <c r="D22" s="64"/>
      <c r="E22" s="66" t="str">
        <f>IFERROR(VLOOKUP(B22,Inventory!A:K,3,FALSE),"")</f>
        <v/>
      </c>
      <c r="F22" s="67" t="str">
        <f>IFERROR(VLOOKUP(B22,Inventory!A:K,4,FALSE),"")</f>
        <v/>
      </c>
      <c r="G22" s="66" t="str">
        <f>IFERROR(IF(SimpleInvoice[[#This Row],[Category]]="","",(SimpleInvoice[[#This Row],[Qty]]*SimpleInvoice[[#This Row],[Category]])-SimpleInvoice[[#This Row],[Size]]),"")</f>
        <v/>
      </c>
      <c r="H22" s="66" t="str">
        <f>IFERROR(VLOOKUP(B22,Inventory!A:K,2,FALSE),"")</f>
        <v/>
      </c>
      <c r="I22" s="27"/>
    </row>
    <row r="23" spans="1:9" ht="55.8" customHeight="1">
      <c r="A23" s="1"/>
      <c r="B23" s="62"/>
      <c r="C23" s="65" t="str">
        <f>IFERROR(VLOOKUP(B23,Inventory!A:K,10,FALSE),"")</f>
        <v/>
      </c>
      <c r="D23" s="64"/>
      <c r="E23" s="66" t="str">
        <f>IFERROR(VLOOKUP(B23,Inventory!A:K,3,FALSE),"")</f>
        <v/>
      </c>
      <c r="F23" s="67" t="str">
        <f>IFERROR(VLOOKUP(B23,Inventory!A:K,4,FALSE),"")</f>
        <v/>
      </c>
      <c r="G23" s="66" t="str">
        <f>IFERROR(IF(SimpleInvoice[[#This Row],[Category]]="","",(SimpleInvoice[[#This Row],[Qty]]*SimpleInvoice[[#This Row],[Category]])-SimpleInvoice[[#This Row],[Size]]),"")</f>
        <v/>
      </c>
      <c r="H23" s="66" t="str">
        <f>IFERROR(VLOOKUP(B23,Inventory!A:K,2,FALSE),"")</f>
        <v/>
      </c>
      <c r="I23" s="27"/>
    </row>
    <row r="24" spans="1:9" ht="55.8" customHeight="1">
      <c r="A24" s="1"/>
      <c r="B24" s="62"/>
      <c r="C24" s="65" t="str">
        <f>IFERROR(VLOOKUP(B24,Inventory!A:K,10,FALSE),"")</f>
        <v/>
      </c>
      <c r="D24" s="64"/>
      <c r="E24" s="66" t="str">
        <f>IFERROR(VLOOKUP(B24,Inventory!A:K,3,FALSE),"")</f>
        <v/>
      </c>
      <c r="F24" s="67" t="str">
        <f>IFERROR(VLOOKUP(B24,Inventory!A:K,4,FALSE),"")</f>
        <v/>
      </c>
      <c r="G24" s="66" t="str">
        <f>IFERROR(IF(SimpleInvoice[[#This Row],[Category]]="","",(SimpleInvoice[[#This Row],[Qty]]*SimpleInvoice[[#This Row],[Category]])-SimpleInvoice[[#This Row],[Size]]),"")</f>
        <v/>
      </c>
      <c r="H24" s="66" t="str">
        <f>IFERROR(VLOOKUP(B24,Inventory!A:K,2,FALSE),"")</f>
        <v/>
      </c>
      <c r="I24" s="27"/>
    </row>
    <row r="25" spans="1:9" ht="55.8" customHeight="1">
      <c r="A25" s="1"/>
      <c r="B25" s="62"/>
      <c r="C25" s="65" t="str">
        <f>IFERROR(VLOOKUP(B25,Inventory!A:K,10,FALSE),"")</f>
        <v/>
      </c>
      <c r="D25" s="64"/>
      <c r="E25" s="66" t="str">
        <f>IFERROR(VLOOKUP(B25,Inventory!A:K,3,FALSE),"")</f>
        <v/>
      </c>
      <c r="F25" s="67" t="str">
        <f>IFERROR(VLOOKUP(B25,Inventory!A:K,4,FALSE),"")</f>
        <v/>
      </c>
      <c r="G25" s="66" t="str">
        <f>IFERROR(IF(SimpleInvoice[[#This Row],[Category]]="","",(SimpleInvoice[[#This Row],[Qty]]*SimpleInvoice[[#This Row],[Category]])-SimpleInvoice[[#This Row],[Size]]),"")</f>
        <v/>
      </c>
      <c r="H25" s="66" t="str">
        <f>IFERROR(VLOOKUP(B25,Inventory!A:K,2,FALSE),"")</f>
        <v/>
      </c>
      <c r="I25" s="27"/>
    </row>
    <row r="26" spans="1:9" ht="55.8" customHeight="1">
      <c r="A26" s="1"/>
      <c r="B26" s="62"/>
      <c r="C26" s="65" t="str">
        <f>IFERROR(VLOOKUP(B26,Inventory!A:K,10,FALSE),"")</f>
        <v/>
      </c>
      <c r="D26" s="64"/>
      <c r="E26" s="66" t="str">
        <f>IFERROR(VLOOKUP(B26,Inventory!A:K,3,FALSE),"")</f>
        <v/>
      </c>
      <c r="F26" s="67" t="str">
        <f>IFERROR(VLOOKUP(B26,Inventory!A:K,4,FALSE),"")</f>
        <v/>
      </c>
      <c r="G26" s="66" t="str">
        <f>IFERROR(IF(SimpleInvoice[[#This Row],[Category]]="","",(SimpleInvoice[[#This Row],[Qty]]*SimpleInvoice[[#This Row],[Category]])-SimpleInvoice[[#This Row],[Size]]),"")</f>
        <v/>
      </c>
      <c r="H26" s="66" t="str">
        <f>IFERROR(VLOOKUP(B26,Inventory!A:K,2,FALSE),"")</f>
        <v/>
      </c>
      <c r="I26" s="17"/>
    </row>
    <row r="27" spans="1:9" ht="12" customHeight="1">
      <c r="A27" s="1"/>
      <c r="B27" s="62"/>
      <c r="C27" s="65" t="str">
        <f>IFERROR(VLOOKUP(B27,Inventory!A:K,10,FALSE),"")</f>
        <v/>
      </c>
      <c r="D27" s="64"/>
      <c r="E27" s="66" t="str">
        <f>IFERROR(VLOOKUP(B27,Inventory!A:K,3,FALSE),"")</f>
        <v/>
      </c>
      <c r="F27" s="67" t="str">
        <f>IFERROR(VLOOKUP(B27,Inventory!A:K,4,FALSE),"")</f>
        <v/>
      </c>
      <c r="G27" s="66" t="str">
        <f>IFERROR(IF(SimpleInvoice[[#This Row],[Category]]="","",(SimpleInvoice[[#This Row],[Qty]]*SimpleInvoice[[#This Row],[Category]])-SimpleInvoice[[#This Row],[Size]]),"")</f>
        <v/>
      </c>
      <c r="H27" s="66" t="str">
        <f>IFERROR(VLOOKUP(B27,Inventory!A:K,2,FALSE),"")</f>
        <v/>
      </c>
      <c r="I27" s="37"/>
    </row>
    <row r="28" spans="1:9" ht="9" customHeight="1">
      <c r="A28" s="1"/>
      <c r="B28" s="15"/>
      <c r="C28" s="15"/>
      <c r="D28" s="15"/>
      <c r="E28" s="15"/>
      <c r="F28" s="32"/>
      <c r="G28" s="33"/>
      <c r="H28" s="1"/>
      <c r="I28" s="37"/>
    </row>
    <row r="29" spans="1:9" ht="12" customHeight="1">
      <c r="A29" s="1"/>
      <c r="B29" s="15"/>
      <c r="C29" s="15"/>
      <c r="D29" s="15"/>
      <c r="E29" s="15"/>
      <c r="F29" s="32"/>
      <c r="G29" s="34"/>
      <c r="H29" s="1"/>
      <c r="I29" s="37"/>
    </row>
    <row r="30" spans="1:9" ht="40.049999999999997" customHeight="1">
      <c r="A30" s="1"/>
      <c r="B30" s="15"/>
      <c r="C30" s="15"/>
      <c r="D30" s="15"/>
      <c r="E30" s="15"/>
      <c r="F30" s="32"/>
      <c r="G30" s="33"/>
      <c r="H30" s="1"/>
      <c r="I30" s="37"/>
    </row>
    <row r="31" spans="1:9" ht="40.049999999999997" customHeight="1">
      <c r="A31" s="1"/>
      <c r="B31" s="28"/>
      <c r="C31" s="28"/>
      <c r="D31" s="28"/>
      <c r="E31" s="29"/>
      <c r="F31" s="32"/>
      <c r="G31" s="33"/>
      <c r="H31" s="1"/>
      <c r="I31" s="37"/>
    </row>
    <row r="32" spans="1:9" ht="15.6">
      <c r="A32" s="37"/>
      <c r="B32" s="30"/>
      <c r="C32" s="30"/>
      <c r="D32" s="30"/>
      <c r="E32" s="31"/>
      <c r="F32" s="35"/>
      <c r="G32" s="36"/>
      <c r="H32" s="1"/>
      <c r="I32" s="37"/>
    </row>
    <row r="33" spans="1:9" ht="15.6">
      <c r="A33" s="37"/>
      <c r="B33" s="15"/>
      <c r="C33" s="15"/>
      <c r="D33" s="15"/>
      <c r="E33" s="15"/>
      <c r="F33" s="15"/>
      <c r="G33" s="15"/>
      <c r="H33" s="37"/>
      <c r="I33" s="37"/>
    </row>
    <row r="34" spans="1:9" ht="15.6">
      <c r="A34" s="37"/>
      <c r="B34" s="83"/>
      <c r="C34" s="83"/>
      <c r="D34" s="83"/>
      <c r="E34" s="83"/>
      <c r="F34" s="83"/>
      <c r="G34" s="83"/>
      <c r="H34" s="37"/>
      <c r="I34" s="37"/>
    </row>
    <row r="35" spans="1:9" ht="15.6">
      <c r="A35" s="37"/>
      <c r="B35" s="83"/>
      <c r="C35" s="83"/>
      <c r="D35" s="83"/>
      <c r="E35" s="83"/>
      <c r="F35" s="83"/>
      <c r="G35" s="83"/>
      <c r="H35" s="37"/>
      <c r="I35" s="37"/>
    </row>
    <row r="36" spans="1:9" ht="15.6">
      <c r="A36" s="37"/>
      <c r="B36" s="83" t="s">
        <v>2026</v>
      </c>
      <c r="C36" s="83"/>
      <c r="D36" s="83"/>
      <c r="E36" s="83"/>
      <c r="F36" s="83"/>
      <c r="G36" s="83"/>
      <c r="H36" s="37"/>
      <c r="I36" s="37"/>
    </row>
    <row r="37" spans="1:9" ht="15.6">
      <c r="A37" s="37"/>
      <c r="B37" s="1"/>
      <c r="C37" s="1"/>
      <c r="D37" s="1"/>
      <c r="E37" s="1"/>
      <c r="F37" s="1"/>
      <c r="G37" s="1"/>
      <c r="H37" s="37"/>
      <c r="I37" s="37"/>
    </row>
  </sheetData>
  <mergeCells count="5">
    <mergeCell ref="C2:D2"/>
    <mergeCell ref="C3:D4"/>
    <mergeCell ref="B34:G34"/>
    <mergeCell ref="B35:G35"/>
    <mergeCell ref="B36:G36"/>
  </mergeCells>
  <dataValidations count="36">
    <dataValidation allowBlank="1" showInputMessage="1" showErrorMessage="1" prompt="Company name is automatically appended in this cell" sqref="B34:G34" xr:uid="{D552A169-6537-4085-9288-09B4CB47E89B}"/>
    <dataValidation allowBlank="1" showInputMessage="1" showErrorMessage="1" prompt="Replace the number of days in which the balance is due and service charge percent per month in this cell" sqref="B35:G35" xr:uid="{5119C9B2-5979-454C-B1A7-6BA193C2CC23}"/>
    <dataValidation allowBlank="1" showInputMessage="1" showErrorMessage="1" prompt="Modify company name in this cell and the cell below. Enter company address, phone, fax, and email in cells B7 to B11. Enter Billing details in cells G3 to G11." sqref="C2:D2" xr:uid="{4523D412-E0E3-4558-BEEF-90AC2A8CEAA1}"/>
    <dataValidation allowBlank="1" showInputMessage="1" showErrorMessage="1" prompt="Update this cell with your company's email address and website" sqref="B36:G36" xr:uid="{E385B82B-5693-4139-9F78-9D944578DB56}"/>
    <dataValidation allowBlank="1" showInputMessage="1" showErrorMessage="1" prompt="Enter customer city, state, and ZIP in this cell" sqref="G9" xr:uid="{B628B214-42BA-4263-9829-67852CD45DAA}"/>
    <dataValidation allowBlank="1" showInputMessage="1" showErrorMessage="1" prompt="Enter customer phone number in this cell" sqref="G10" xr:uid="{6F5A3E37-BDDE-4A32-89FF-12AEF01B41EE}"/>
    <dataValidation allowBlank="1" showInputMessage="1" showErrorMessage="1" prompt="Enter customer phone number in the cell at right" sqref="F10" xr:uid="{141CEC5B-57DC-40AC-B8FE-C56E239C339E}"/>
    <dataValidation allowBlank="1" showInputMessage="1" showErrorMessage="1" prompt="Enter customer street address in this cell" sqref="G8" xr:uid="{047DF2FA-ECE9-4BB5-A547-610DE1F14B43}"/>
    <dataValidation allowBlank="1" showInputMessage="1" showErrorMessage="1" prompt="Enter customer address in the cell at right" sqref="F8" xr:uid="{4521C38E-B18C-46E2-A462-AD2DCDFD30C5}"/>
    <dataValidation allowBlank="1" showInputMessage="1" showErrorMessage="1" prompt="Enter customer name in this cell" sqref="G7" xr:uid="{EF851189-0589-4B4E-9E79-AFD1966EA280}"/>
    <dataValidation allowBlank="1" showInputMessage="1" showErrorMessage="1" prompt="Enter customer name in the cell at right" sqref="F7" xr:uid="{460D9471-9B17-4C4F-81BB-840637B0EA22}"/>
    <dataValidation allowBlank="1" showInputMessage="1" showErrorMessage="1" prompt="Enter company fax number in this cell" sqref="B10" xr:uid="{32F4B85B-8FE6-4825-88A1-D1CB3B070314}"/>
    <dataValidation allowBlank="1" showInputMessage="1" showErrorMessage="1" prompt="Enter company's city, state, and ZIP in this cell" sqref="B8" xr:uid="{D17A7487-3748-4341-BC43-E7BA46C26C7E}"/>
    <dataValidation allowBlank="1" showInputMessage="1" showErrorMessage="1" prompt="Enter invoice date in the cell at right" sqref="F4" xr:uid="{1E8D3DCF-5E9C-4276-ACC0-0E62490775DA}"/>
    <dataValidation allowBlank="1" showInputMessage="1" showErrorMessage="1" prompt="Enter your company street address in this cell" sqref="B7" xr:uid="{C6F9524A-8714-4CF5-8124-2428648D98C2}"/>
    <dataValidation allowBlank="1" showInputMessage="1" showErrorMessage="1" prompt="Enter job type in this cell" sqref="G5" xr:uid="{406DCEA6-C746-425F-9A9B-99CAD107FC15}"/>
    <dataValidation allowBlank="1" showInputMessage="1" showErrorMessage="1" prompt="Enter job type in the cell at right" sqref="F5" xr:uid="{01E70EDD-B22A-479F-B487-552B24CDC987}"/>
    <dataValidation allowBlank="1" showInputMessage="1" showErrorMessage="1" prompt="Enter invoice # in this cell" sqref="G3" xr:uid="{D92803DF-3A79-4B16-82ED-7F055133A2EB}"/>
    <dataValidation allowBlank="1" showInputMessage="1" showErrorMessage="1" prompt="Enter invoice # in the cell at right" sqref="F3" xr:uid="{05B4CBA4-E169-40E9-B34B-BCBA7F324D03}"/>
    <dataValidation allowBlank="1" showInputMessage="1" showErrorMessage="1" prompt="Enter invoice date in this cell" sqref="G4" xr:uid="{5A6A4D1F-70FD-4300-A4B4-4750672DBBE5}"/>
    <dataValidation allowBlank="1" showInputMessage="1" showErrorMessage="1" prompt="Create a simple invoice in this worksheet" sqref="A1" xr:uid="{83D879B6-CBA4-404A-86BE-1EF635928C8B}"/>
    <dataValidation allowBlank="1" showInputMessage="1" showErrorMessage="1" prompt="Enter company email address in this cell" sqref="B11" xr:uid="{2179EA05-869F-4EAE-AA5C-7F4A446AE215}"/>
    <dataValidation allowBlank="1" showInputMessage="1" showErrorMessage="1" prompt="Enter company phone number in this cell" sqref="B9" xr:uid="{DCE50FA9-07C9-4C1B-987E-7EC8B45CBC3A}"/>
    <dataValidation allowBlank="1" showInputMessage="1" showErrorMessage="1" prompt="Enter customer fax number in this cell" sqref="G11" xr:uid="{6A82EC7F-B57F-4D93-8195-EEEDBF7C4043}"/>
    <dataValidation allowBlank="1" showInputMessage="1" showErrorMessage="1" prompt="Enter customer fax number in the cell at right" sqref="F11" xr:uid="{C8648C82-0171-449C-94D8-3EE1D19C0234}"/>
    <dataValidation allowBlank="1" showInputMessage="1" showErrorMessage="1" prompt="Enter Item number in this column under this heading" sqref="B13" xr:uid="{64ACCD82-563D-4BC9-8644-0F4A3F45BDAD}"/>
    <dataValidation allowBlank="1" showInputMessage="1" showErrorMessage="1" prompt="Enter Description in this column under this heading" sqref="C13" xr:uid="{98D00375-FB86-4F07-851C-6C3C3CB78AAD}"/>
    <dataValidation allowBlank="1" showInputMessage="1" showErrorMessage="1" prompt="Enter Quantity in this column under this heading" sqref="D13" xr:uid="{FE368E09-7A26-47A8-B1C0-C19A6DC053F4}"/>
    <dataValidation allowBlank="1" showInputMessage="1" showErrorMessage="1" prompt="Enter Unit Price in this column under this heading" sqref="E13" xr:uid="{704CE90F-3FB9-4587-958A-9F00FE561BDA}"/>
    <dataValidation allowBlank="1" showInputMessage="1" showErrorMessage="1" prompt="Enter Discount in this column under this heading" sqref="F13" xr:uid="{B62F000B-A302-40D6-A854-A9145F69CF81}"/>
    <dataValidation allowBlank="1" showInputMessage="1" showErrorMessage="1" prompt="Price is auto calculated under this heading" sqref="G13:H13" xr:uid="{27BEEA61-A7E6-4C02-88FF-B93EB38EF4E6}"/>
    <dataValidation allowBlank="1" showInputMessage="1" showErrorMessage="1" prompt="The subtotal amount is automatically calculated in this cell" sqref="G28" xr:uid="{DB3D746C-A83F-4DBA-8212-3F494DD2B942}"/>
    <dataValidation allowBlank="1" showInputMessage="1" showErrorMessage="1" prompt="Enter tax rate in this cell" sqref="G29" xr:uid="{7AB9E3E0-BA65-4409-96AB-ABD882174ADA}"/>
    <dataValidation allowBlank="1" showInputMessage="1" showErrorMessage="1" prompt="The sales tax is automatically calculated in this cell" sqref="G30" xr:uid="{EAA2AE82-07B7-433B-AD56-DCD67664E5AE}"/>
    <dataValidation allowBlank="1" showInputMessage="1" showErrorMessage="1" prompt="Enter the deposit amount, if any" sqref="G31" xr:uid="{5E76ECE9-A694-4C83-BA28-7012FC50A0E4}"/>
    <dataValidation allowBlank="1" showInputMessage="1" showErrorMessage="1" prompt="The total amount is automatically calculated in this cell" sqref="G32" xr:uid="{B1E97A89-4264-4D02-96B5-826B73A0575F}"/>
  </dataValidations>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Inventory</vt:lpstr>
      <vt:lpstr>History1</vt:lpstr>
      <vt:lpstr>Search</vt:lpstr>
      <vt:lpstr>Invoice</vt:lpstr>
      <vt:lpstr>Inventory!Print_Area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sayedali alsayedali</dc:creator>
  <cp:lastModifiedBy>sayedali alsayedali</cp:lastModifiedBy>
  <cp:lastPrinted>2026-03-28T11:16:39Z</cp:lastPrinted>
  <dcterms:created xsi:type="dcterms:W3CDTF">2015-06-05T18:17:20Z</dcterms:created>
  <dcterms:modified xsi:type="dcterms:W3CDTF">2026-04-17T15:00:19Z</dcterms:modified>
</cp:coreProperties>
</file>