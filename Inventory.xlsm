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8_{B6B593C6-36DB-4101-8560-CC3904794BBB}"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<sst xmlns="http://schemas.openxmlformats.org/spreadsheetml/2006/main" count="4014" uniqueCount="3130">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</sst>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printerSettings" Target="../printerSettings/printerSettings1.bin"/><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21" activePane="bottomLeft" state="frozen"/>
      <selection pane="bottomLeft" activeCell="I124" sqref="I12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0</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0</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0</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0</v>
      </c>
      <c r="F122" s="72" t="s">
        <v>3105</v>
      </c>
      <c r="H122" s="72" t="s">
        <v>2981</v>
      </c>
      <c r="K122" s="72" t="str">
        <f t="shared" si="0"/>
        <v>fp0121.jpeg</v>
      </c>
      <c r="L122" s="57" t="s">
        <v>1133</v>
      </c>
    </row>
    <row r="123" spans="1:12" ht="207.6" customHeight="1">
      <c r="A123" s="56" t="s">
        <v>133</v>
      </c>
      <c r="B123" s="73" t="s">
        <v>3129</v>
      </c>
      <c r="C123" s="72" t="s">
        <v>3048</v>
      </c>
      <c r="E123" s="83">
        <f>SUMIF(History1!B:B, A123, History1!C:C)</f>
        <v>0</v>
      </c>
      <c r="F123" s="72" t="s">
        <v>3105</v>
      </c>
      <c r="H123" s="72" t="s">
        <v>2981</v>
      </c>
      <c r="K123" s="72" t="str">
        <f t="shared" si="0"/>
        <v>fp0122.jpeg</v>
      </c>
      <c r="L123" s="70" t="s">
        <v>1134</v>
      </c>
    </row>
    <row r="124" spans="1:12" ht="207.6" customHeight="1">
      <c r="A124" s="56" t="s">
        <v>134</v>
      </c>
      <c r="B124" s="73" t="s">
        <v>3129</v>
      </c>
      <c r="C124" s="72" t="s">
        <v>3048</v>
      </c>
      <c r="E124" s="83">
        <f>SUMIF(History1!B:B, A124, History1!C:C)</f>
        <v>0</v>
      </c>
      <c r="F124" s="72" t="s">
        <v>3069</v>
      </c>
      <c r="H124" s="72" t="s">
        <v>2981</v>
      </c>
      <c r="K124" s="72" t="str">
        <f t="shared" si="0"/>
        <v>fp0123.jpeg</v>
      </c>
      <c r="L124" s="57" t="s">
        <v>1135</v>
      </c>
    </row>
    <row r="125" spans="1:12" ht="207.6" customHeight="1">
      <c r="A125" s="56" t="s">
        <v>135</v>
      </c>
      <c r="B125" s="73" t="s">
        <v>3129</v>
      </c>
      <c r="C125" s="72" t="s">
        <v>3048</v>
      </c>
      <c r="E125" s="83">
        <f>SUMIF(History1!B:B, A125, History1!C:C)</f>
        <v>0</v>
      </c>
      <c r="F125" s="72" t="s">
        <v>3069</v>
      </c>
      <c r="H125" s="72" t="s">
        <v>2981</v>
      </c>
      <c r="K125" s="72" t="str">
        <f t="shared" si="0"/>
        <v>fp0124.jpeg</v>
      </c>
      <c r="L125" s="57" t="s">
        <v>1136</v>
      </c>
    </row>
    <row r="126" spans="1:12" ht="207.6" customHeight="1">
      <c r="A126" s="56" t="s">
        <v>136</v>
      </c>
      <c r="B126" s="73" t="s">
        <v>3129</v>
      </c>
      <c r="C126" s="72" t="s">
        <v>3048</v>
      </c>
      <c r="E126" s="83">
        <f>SUMIF(History1!B:B, A126, History1!C:C)</f>
        <v>0</v>
      </c>
      <c r="F126" s="72" t="s">
        <v>3069</v>
      </c>
      <c r="H126" s="72" t="s">
        <v>2981</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9" zoomScale="68" workbookViewId="0">
      <selection activeCell="C69" sqref="C69"/>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D69" s="78" t="s">
        <v>2985</v>
      </c>
      <c r="E69" s="78" t="s">
        <v>2986</v>
      </c>
      <c r="F69" s="78" t="str">
        <f>_xlfn.XLOOKUP(TRIM(B69), Inventory!A:A, Inventory!C:C, "")</f>
        <v>Small-Vases</v>
      </c>
    </row>
    <row r="70" spans="1:6" ht="55.8" customHeight="1">
      <c r="A70" s="78" t="s">
        <v>3066</v>
      </c>
      <c r="B70" s="78" t="s">
        <v>130</v>
      </c>
      <c r="D70" s="78" t="s">
        <v>2985</v>
      </c>
      <c r="E70" s="78" t="s">
        <v>2986</v>
      </c>
      <c r="F70" s="78" t="str">
        <f>_xlfn.XLOOKUP(TRIM(B70), Inventory!A:A, Inventory!C:C, "")</f>
        <v>Small-Vases</v>
      </c>
    </row>
    <row r="71" spans="1:6" ht="55.8" customHeight="1">
      <c r="A71" s="78" t="s">
        <v>3066</v>
      </c>
      <c r="B71" s="78" t="s">
        <v>131</v>
      </c>
      <c r="D71" s="78" t="s">
        <v>2985</v>
      </c>
      <c r="E71" s="78" t="s">
        <v>2986</v>
      </c>
      <c r="F71" s="78" t="str">
        <f>_xlfn.XLOOKUP(TRIM(B71), Inventory!A:A, Inventory!C:C, "")</f>
        <v xml:space="preserve">Holder Finger Candle </v>
      </c>
    </row>
    <row r="72" spans="1:6" ht="55.8" customHeight="1">
      <c r="A72" s="78" t="s">
        <v>3066</v>
      </c>
      <c r="B72" s="78" t="s">
        <v>132</v>
      </c>
      <c r="D72" s="78" t="s">
        <v>2985</v>
      </c>
      <c r="E72" s="78" t="s">
        <v>2986</v>
      </c>
      <c r="F72" s="78" t="str">
        <f>_xlfn.XLOOKUP(TRIM(B72), Inventory!A:A, Inventory!C:C, "")</f>
        <v xml:space="preserve">Holder Finger Candle </v>
      </c>
    </row>
    <row r="73" spans="1:6" ht="55.8" customHeight="1">
      <c r="A73" s="78" t="s">
        <v>3066</v>
      </c>
      <c r="B73" s="78" t="s">
        <v>133</v>
      </c>
      <c r="D73" s="78" t="s">
        <v>2985</v>
      </c>
      <c r="E73" s="78" t="s">
        <v>2986</v>
      </c>
      <c r="F73" s="78" t="str">
        <f>_xlfn.XLOOKUP(TRIM(B73), Inventory!A:A, Inventory!C:C, "")</f>
        <v xml:space="preserve">Holder Finger Candle </v>
      </c>
    </row>
    <row r="74" spans="1:6" ht="55.8" customHeight="1">
      <c r="A74" s="78" t="s">
        <v>3066</v>
      </c>
      <c r="B74" s="78" t="s">
        <v>134</v>
      </c>
      <c r="D74" s="78" t="s">
        <v>2985</v>
      </c>
      <c r="E74" s="78" t="s">
        <v>2986</v>
      </c>
      <c r="F74" s="78" t="str">
        <f>_xlfn.XLOOKUP(TRIM(B74), Inventory!A:A, Inventory!C:C, "")</f>
        <v xml:space="preserve">Holder Finger Candle </v>
      </c>
    </row>
    <row r="75" spans="1:6" ht="55.8" customHeight="1">
      <c r="A75" s="78" t="s">
        <v>3066</v>
      </c>
      <c r="B75" s="78" t="s">
        <v>135</v>
      </c>
      <c r="D75" s="78" t="s">
        <v>2985</v>
      </c>
      <c r="E75" s="78" t="s">
        <v>2986</v>
      </c>
      <c r="F75" s="78" t="str">
        <f>_xlfn.XLOOKUP(TRIM(B75), Inventory!A:A, Inventory!C:C, "")</f>
        <v xml:space="preserve">Holder Finger Candle </v>
      </c>
    </row>
    <row r="76" spans="1:6" ht="55.8" customHeight="1">
      <c r="A76" s="78" t="s">
        <v>3066</v>
      </c>
      <c r="B76" s="78" t="s">
        <v>136</v>
      </c>
      <c r="D76" s="78" t="s">
        <v>2985</v>
      </c>
      <c r="E76" s="78" t="s">
        <v>2986</v>
      </c>
      <c r="F76" s="78" t="str">
        <f>_xlfn.XLOOKUP(TRIM(B76), Inventory!A:A, Inventory!C:C, "")</f>
        <v xml:space="preserve">Holder Finger Candle </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2026-04-19T14:54:50Z</dcterms:modified>
</cp:coreProperties>
</file>